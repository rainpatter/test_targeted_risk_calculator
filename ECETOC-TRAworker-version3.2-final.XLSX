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defaultThemeVersion="166925"/>
  <xr:revisionPtr revIDLastSave="51" documentId="14_{45FE0FEC-FF99-4661-A1DD-635E51D542A9}" xr6:coauthVersionLast="47" xr6:coauthVersionMax="47" xr10:uidLastSave="{3F1B4384-0783-4835-9826-B434542F1936}"/>
  <workbookProtection workbookAlgorithmName="SHA-512" workbookHashValue="KyDF/H15jx5u2X5eRRXdhp6AUHMm3hPaDscQgosfYT1+AEj8oRXMlYsAaUwLG/IzSFoiW5sx+IHUW7AoEjmHZg==" workbookSaltValue="LyW/LgmJP7QWHHPFrtsWeQ==" workbookSpinCount="100000" lockStructure="1"/>
  <bookViews>
    <workbookView xWindow="-108" yWindow="-108" windowWidth="23256" windowHeight="12576" xr2:uid="{11ADBD4D-53F2-4CD8-8FF9-877B4A324847}"/>
  </bookViews>
  <sheets>
    <sheet name="TRA calculation" sheetId="1" r:id="rId1"/>
    <sheet name="TRAlookup" sheetId="2" r:id="rId2"/>
  </sheets>
  <definedNames>
    <definedName name="ind">'TRA calculation'!$AC$5:$AC$8</definedName>
    <definedName name="ind_pro">'TRA calculation'!$AB$5:$AB$7</definedName>
    <definedName name="indpro">'TRA calculation'!$AB$5:$AB$8</definedName>
    <definedName name="liquid">'TRA calculation'!$Y$5:$Y$8</definedName>
    <definedName name="phys.state">'TRA calculation'!$X$5:$X$6</definedName>
    <definedName name="_xlnm.Print_Area" localSheetId="0">'TRA calculation'!$A$1:$U$31</definedName>
    <definedName name="_xlnm.Print_Titles" localSheetId="0">'TRA calculation'!$11:$11</definedName>
    <definedName name="pro">'TRA calculation'!$AD$6:$AD$8</definedName>
    <definedName name="prof">'TRA calculation'!$AD$5:$AD$8</definedName>
    <definedName name="solid">'TRA calculation'!$Z$5:$Z$8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1" l="1"/>
  <c r="X14" i="1"/>
  <c r="X15" i="1"/>
  <c r="X16" i="1"/>
  <c r="X17" i="1"/>
  <c r="X18" i="1"/>
  <c r="X19" i="1"/>
  <c r="X20" i="1"/>
  <c r="X21" i="1"/>
  <c r="X22" i="1"/>
  <c r="X23" i="1"/>
  <c r="X24" i="1"/>
  <c r="X25" i="1"/>
  <c r="X26" i="1"/>
  <c r="X27" i="1"/>
  <c r="X28" i="1"/>
  <c r="X29" i="1"/>
  <c r="X30" i="1"/>
  <c r="X31" i="1"/>
  <c r="X12" i="1"/>
  <c r="N8" i="1"/>
  <c r="AJ13" i="1"/>
  <c r="AJ14" i="1"/>
  <c r="AJ15" i="1"/>
  <c r="AJ16" i="1"/>
  <c r="AJ17" i="1"/>
  <c r="AJ18" i="1"/>
  <c r="AJ19" i="1"/>
  <c r="AJ20" i="1"/>
  <c r="AJ21" i="1"/>
  <c r="AJ22" i="1"/>
  <c r="AJ23" i="1"/>
  <c r="AJ24" i="1"/>
  <c r="AJ25" i="1"/>
  <c r="AJ26" i="1"/>
  <c r="AJ27" i="1"/>
  <c r="AJ28" i="1"/>
  <c r="AJ29" i="1"/>
  <c r="AJ30" i="1"/>
  <c r="AJ31" i="1"/>
  <c r="AJ12" i="1"/>
  <c r="W13" i="1"/>
  <c r="AE13" i="1" s="1"/>
  <c r="AH13" i="1" s="1"/>
  <c r="W14" i="1"/>
  <c r="AD14" i="1" s="1"/>
  <c r="W15" i="1"/>
  <c r="AE15" i="1" s="1"/>
  <c r="AF15" i="1" s="1"/>
  <c r="W16" i="1"/>
  <c r="AE16" i="1" s="1"/>
  <c r="AF16" i="1" s="1"/>
  <c r="W17" i="1"/>
  <c r="AE17" i="1" s="1"/>
  <c r="AF17" i="1" s="1"/>
  <c r="W18" i="1"/>
  <c r="AD18" i="1" s="1"/>
  <c r="W19" i="1"/>
  <c r="AE19" i="1" s="1"/>
  <c r="AG19" i="1" s="1"/>
  <c r="W20" i="1"/>
  <c r="AE20" i="1" s="1"/>
  <c r="AG20" i="1" s="1"/>
  <c r="W21" i="1"/>
  <c r="AE21" i="1" s="1"/>
  <c r="AF21" i="1" s="1"/>
  <c r="W22" i="1"/>
  <c r="AD22" i="1" s="1"/>
  <c r="W23" i="1"/>
  <c r="Z23" i="1" s="1"/>
  <c r="W24" i="1"/>
  <c r="AD24" i="1" s="1"/>
  <c r="W25" i="1"/>
  <c r="W26" i="1"/>
  <c r="W27" i="1"/>
  <c r="W28" i="1"/>
  <c r="W29" i="1"/>
  <c r="W30" i="1"/>
  <c r="W31" i="1"/>
  <c r="W12" i="1"/>
  <c r="AD31" i="1" l="1"/>
  <c r="Z31" i="1"/>
  <c r="AD30" i="1"/>
  <c r="Z30" i="1"/>
  <c r="AE29" i="1"/>
  <c r="AD29" i="1"/>
  <c r="Z29" i="1"/>
  <c r="AD28" i="1"/>
  <c r="Z28" i="1"/>
  <c r="AE27" i="1"/>
  <c r="AD27" i="1"/>
  <c r="Z27" i="1"/>
  <c r="AD26" i="1"/>
  <c r="Z26" i="1"/>
  <c r="AE25" i="1"/>
  <c r="AD25" i="1"/>
  <c r="Z25" i="1"/>
  <c r="Z22" i="1"/>
  <c r="Z24" i="1"/>
  <c r="Z21" i="1"/>
  <c r="AD21" i="1"/>
  <c r="Z20" i="1"/>
  <c r="AD20" i="1"/>
  <c r="Z19" i="1"/>
  <c r="AD19" i="1"/>
  <c r="Z18" i="1"/>
  <c r="AD17" i="1"/>
  <c r="AD16" i="1"/>
  <c r="AD23" i="1"/>
  <c r="AH21" i="1"/>
  <c r="AG21" i="1"/>
  <c r="AF20" i="1"/>
  <c r="AH20" i="1"/>
  <c r="AH19" i="1"/>
  <c r="AF19" i="1"/>
  <c r="AH17" i="1"/>
  <c r="AG17" i="1"/>
  <c r="AD12" i="1"/>
  <c r="AG16" i="1"/>
  <c r="AH16" i="1"/>
  <c r="AD15" i="1"/>
  <c r="AH15" i="1"/>
  <c r="AG15" i="1"/>
  <c r="AG13" i="1"/>
  <c r="AF13" i="1"/>
  <c r="Z13" i="1"/>
  <c r="AD13" i="1"/>
  <c r="AE28" i="1"/>
  <c r="AE24" i="1"/>
  <c r="AE12" i="1"/>
  <c r="AE31" i="1"/>
  <c r="AE23" i="1"/>
  <c r="AE30" i="1"/>
  <c r="AE26" i="1"/>
  <c r="AE22" i="1"/>
  <c r="AE18" i="1"/>
  <c r="AE14" i="1"/>
  <c r="AH26" i="1" l="1"/>
  <c r="AG26" i="1"/>
  <c r="AF26" i="1"/>
  <c r="AH28" i="1"/>
  <c r="AG28" i="1"/>
  <c r="AF28" i="1"/>
  <c r="AH25" i="1"/>
  <c r="AG25" i="1"/>
  <c r="AF25" i="1"/>
  <c r="AH27" i="1"/>
  <c r="AG27" i="1"/>
  <c r="AF27" i="1"/>
  <c r="AH29" i="1"/>
  <c r="AG29" i="1"/>
  <c r="AF29" i="1"/>
  <c r="AG31" i="1"/>
  <c r="AH31" i="1"/>
  <c r="AF31" i="1"/>
  <c r="AF30" i="1"/>
  <c r="AG30" i="1"/>
  <c r="AH30" i="1"/>
  <c r="AH24" i="1"/>
  <c r="AG24" i="1"/>
  <c r="AF24" i="1"/>
  <c r="AG23" i="1"/>
  <c r="AF23" i="1"/>
  <c r="AH23" i="1"/>
  <c r="AG22" i="1"/>
  <c r="AH22" i="1"/>
  <c r="AF22" i="1"/>
  <c r="AF18" i="1"/>
  <c r="AG18" i="1"/>
  <c r="AH18" i="1"/>
  <c r="AH14" i="1"/>
  <c r="AG14" i="1"/>
  <c r="AF14" i="1"/>
  <c r="AF12" i="1"/>
  <c r="AG12" i="1"/>
  <c r="AH12" i="1"/>
  <c r="AK14" i="1"/>
  <c r="AK15" i="1"/>
  <c r="AK16" i="1"/>
  <c r="AK17" i="1"/>
  <c r="AK18" i="1"/>
  <c r="AK19" i="1"/>
  <c r="AK20" i="1"/>
  <c r="AK21" i="1"/>
  <c r="AK22" i="1"/>
  <c r="AK23" i="1"/>
  <c r="AK24" i="1"/>
  <c r="AK25" i="1"/>
  <c r="AK26" i="1"/>
  <c r="AK27" i="1"/>
  <c r="AK28" i="1"/>
  <c r="AK29" i="1"/>
  <c r="AK30" i="1"/>
  <c r="AK31" i="1"/>
  <c r="AK12" i="1"/>
  <c r="AK13" i="1"/>
  <c r="AC13" i="1"/>
  <c r="AC14" i="1"/>
  <c r="AC15" i="1"/>
  <c r="AC16" i="1"/>
  <c r="AC17" i="1"/>
  <c r="AC18" i="1"/>
  <c r="AC19" i="1"/>
  <c r="AC20" i="1"/>
  <c r="AC21" i="1"/>
  <c r="AC22" i="1"/>
  <c r="AC23" i="1"/>
  <c r="AC24" i="1"/>
  <c r="AC25" i="1"/>
  <c r="AC26" i="1"/>
  <c r="AC27" i="1"/>
  <c r="AC28" i="1"/>
  <c r="AC29" i="1"/>
  <c r="AC30" i="1"/>
  <c r="AC31" i="1"/>
  <c r="AB12" i="1"/>
  <c r="AC12" i="1"/>
  <c r="Y12" i="1" l="1"/>
  <c r="Z12" i="1" s="1"/>
  <c r="AL12" i="1" l="1"/>
  <c r="U12" i="1" s="1"/>
  <c r="AB22" i="1"/>
  <c r="AB23" i="1"/>
  <c r="AB24" i="1"/>
  <c r="AB25" i="1"/>
  <c r="AB26" i="1"/>
  <c r="AB27" i="1"/>
  <c r="AB28" i="1"/>
  <c r="AB29" i="1"/>
  <c r="AB30" i="1"/>
  <c r="AB31" i="1"/>
  <c r="AA22" i="1"/>
  <c r="AA23" i="1"/>
  <c r="AA24" i="1"/>
  <c r="AA25" i="1"/>
  <c r="AA26" i="1"/>
  <c r="AA27" i="1"/>
  <c r="AA28" i="1"/>
  <c r="AA29" i="1"/>
  <c r="AA30" i="1"/>
  <c r="AA31" i="1"/>
  <c r="Y22" i="1"/>
  <c r="M22" i="1" s="1"/>
  <c r="Y23" i="1"/>
  <c r="M23" i="1" s="1"/>
  <c r="Y24" i="1"/>
  <c r="M24" i="1" s="1"/>
  <c r="Y25" i="1"/>
  <c r="M25" i="1" s="1"/>
  <c r="Y26" i="1"/>
  <c r="M26" i="1" s="1"/>
  <c r="Y27" i="1"/>
  <c r="M27" i="1" s="1"/>
  <c r="Y28" i="1"/>
  <c r="M28" i="1" s="1"/>
  <c r="Y29" i="1"/>
  <c r="M29" i="1" s="1"/>
  <c r="Y30" i="1"/>
  <c r="M30" i="1" s="1"/>
  <c r="Y31" i="1"/>
  <c r="M31" i="1" s="1"/>
  <c r="Q31" i="1" l="1"/>
  <c r="AL30" i="1"/>
  <c r="U30" i="1" s="1"/>
  <c r="AL26" i="1"/>
  <c r="U26" i="1" s="1"/>
  <c r="AL22" i="1"/>
  <c r="U22" i="1" s="1"/>
  <c r="AL27" i="1"/>
  <c r="U27" i="1" s="1"/>
  <c r="AL29" i="1"/>
  <c r="U29" i="1" s="1"/>
  <c r="AL25" i="1"/>
  <c r="U25" i="1" s="1"/>
  <c r="AL28" i="1"/>
  <c r="U28" i="1" s="1"/>
  <c r="AL24" i="1"/>
  <c r="U24" i="1" s="1"/>
  <c r="AL31" i="1"/>
  <c r="U31" i="1" s="1"/>
  <c r="AL23" i="1"/>
  <c r="U23" i="1" s="1"/>
  <c r="Q22" i="1"/>
  <c r="Q28" i="1"/>
  <c r="Q27" i="1"/>
  <c r="Q30" i="1"/>
  <c r="Q26" i="1"/>
  <c r="Q29" i="1"/>
  <c r="Q25" i="1"/>
  <c r="Q24" i="1"/>
  <c r="O29" i="1" l="1"/>
  <c r="S29" i="1" s="1"/>
  <c r="O27" i="1"/>
  <c r="S27" i="1" s="1"/>
  <c r="O26" i="1"/>
  <c r="S26" i="1" s="1"/>
  <c r="O28" i="1"/>
  <c r="S28" i="1" s="1"/>
  <c r="O25" i="1"/>
  <c r="S25" i="1" s="1"/>
  <c r="O24" i="1"/>
  <c r="S24" i="1" s="1"/>
  <c r="O30" i="1"/>
  <c r="S30" i="1" s="1"/>
  <c r="O22" i="1"/>
  <c r="S22" i="1" s="1"/>
  <c r="N25" i="1"/>
  <c r="R25" i="1" s="1"/>
  <c r="P25" i="1"/>
  <c r="T25" i="1" s="1"/>
  <c r="P24" i="1"/>
  <c r="T24" i="1" s="1"/>
  <c r="N24" i="1"/>
  <c r="R24" i="1" s="1"/>
  <c r="N22" i="1"/>
  <c r="R22" i="1" s="1"/>
  <c r="P22" i="1"/>
  <c r="T22" i="1" s="1"/>
  <c r="P27" i="1"/>
  <c r="T27" i="1" s="1"/>
  <c r="N27" i="1"/>
  <c r="R27" i="1" s="1"/>
  <c r="P28" i="1"/>
  <c r="T28" i="1" s="1"/>
  <c r="N28" i="1"/>
  <c r="R28" i="1" s="1"/>
  <c r="N26" i="1"/>
  <c r="R26" i="1" s="1"/>
  <c r="P26" i="1"/>
  <c r="T26" i="1" s="1"/>
  <c r="N29" i="1"/>
  <c r="R29" i="1" s="1"/>
  <c r="P29" i="1"/>
  <c r="T29" i="1" s="1"/>
  <c r="N30" i="1"/>
  <c r="R30" i="1" s="1"/>
  <c r="P30" i="1"/>
  <c r="T30" i="1" s="1"/>
  <c r="O31" i="1"/>
  <c r="S31" i="1" s="1"/>
  <c r="N31" i="1"/>
  <c r="R31" i="1" s="1"/>
  <c r="P31" i="1"/>
  <c r="T31" i="1" s="1"/>
  <c r="Q23" i="1"/>
  <c r="AB13" i="1"/>
  <c r="AB14" i="1"/>
  <c r="AB15" i="1"/>
  <c r="AB16" i="1"/>
  <c r="AB17" i="1"/>
  <c r="AB18" i="1"/>
  <c r="AB19" i="1"/>
  <c r="AB20" i="1"/>
  <c r="AB21" i="1"/>
  <c r="AA13" i="1"/>
  <c r="AA14" i="1"/>
  <c r="AA15" i="1"/>
  <c r="AA16" i="1"/>
  <c r="AA17" i="1"/>
  <c r="AA18" i="1"/>
  <c r="AA19" i="1"/>
  <c r="AA20" i="1"/>
  <c r="AA21" i="1"/>
  <c r="AA12" i="1"/>
  <c r="M12" i="1" s="1"/>
  <c r="Q12" i="1" l="1"/>
  <c r="O23" i="1"/>
  <c r="S23" i="1" s="1"/>
  <c r="N23" i="1"/>
  <c r="R23" i="1" s="1"/>
  <c r="P23" i="1"/>
  <c r="T23" i="1" s="1"/>
  <c r="Y21" i="1"/>
  <c r="M21" i="1" s="1"/>
  <c r="Y20" i="1"/>
  <c r="M20" i="1" s="1"/>
  <c r="Y19" i="1"/>
  <c r="M19" i="1" s="1"/>
  <c r="Y18" i="1"/>
  <c r="M18" i="1" s="1"/>
  <c r="Y17" i="1"/>
  <c r="Y16" i="1"/>
  <c r="Z16" i="1" s="1"/>
  <c r="Y15" i="1"/>
  <c r="Z15" i="1" s="1"/>
  <c r="Y14" i="1"/>
  <c r="M14" i="1" s="1"/>
  <c r="Y13" i="1"/>
  <c r="M17" i="1" l="1"/>
  <c r="Q17" i="1" s="1"/>
  <c r="Z17" i="1"/>
  <c r="AL13" i="1"/>
  <c r="U13" i="1" s="1"/>
  <c r="M13" i="1"/>
  <c r="Q13" i="1" s="1"/>
  <c r="AL15" i="1"/>
  <c r="U15" i="1" s="1"/>
  <c r="M15" i="1"/>
  <c r="Q15" i="1" s="1"/>
  <c r="AL16" i="1"/>
  <c r="U16" i="1" s="1"/>
  <c r="M16" i="1"/>
  <c r="Q16" i="1" s="1"/>
  <c r="Z14" i="1"/>
  <c r="AL14" i="1" s="1"/>
  <c r="U14" i="1" s="1"/>
  <c r="Q14" i="1"/>
  <c r="O12" i="1"/>
  <c r="S12" i="1" s="1"/>
  <c r="N12" i="1"/>
  <c r="R12" i="1" s="1"/>
  <c r="P12" i="1"/>
  <c r="T12" i="1" s="1"/>
  <c r="AL17" i="1"/>
  <c r="U17" i="1" s="1"/>
  <c r="AL21" i="1"/>
  <c r="U21" i="1" s="1"/>
  <c r="AL19" i="1"/>
  <c r="U19" i="1" s="1"/>
  <c r="AL20" i="1"/>
  <c r="U20" i="1" s="1"/>
  <c r="AL18" i="1"/>
  <c r="U18" i="1" s="1"/>
  <c r="Q20" i="1"/>
  <c r="Q21" i="1"/>
  <c r="Q19" i="1"/>
  <c r="Q18" i="1"/>
  <c r="O17" i="1" l="1"/>
  <c r="S17" i="1" s="1"/>
  <c r="O19" i="1"/>
  <c r="S19" i="1" s="1"/>
  <c r="O18" i="1"/>
  <c r="S18" i="1" s="1"/>
  <c r="O20" i="1"/>
  <c r="S20" i="1" s="1"/>
  <c r="O21" i="1"/>
  <c r="S21" i="1" s="1"/>
  <c r="O15" i="1"/>
  <c r="S15" i="1" s="1"/>
  <c r="O16" i="1"/>
  <c r="S16" i="1" s="1"/>
  <c r="O14" i="1"/>
  <c r="S14" i="1" s="1"/>
  <c r="O13" i="1"/>
  <c r="S13" i="1" s="1"/>
  <c r="N19" i="1"/>
  <c r="R19" i="1" s="1"/>
  <c r="P19" i="1"/>
  <c r="T19" i="1" s="1"/>
  <c r="P21" i="1"/>
  <c r="T21" i="1" s="1"/>
  <c r="N16" i="1"/>
  <c r="R16" i="1" s="1"/>
  <c r="P18" i="1"/>
  <c r="T18" i="1" s="1"/>
  <c r="N15" i="1"/>
  <c r="R15" i="1" s="1"/>
  <c r="N13" i="1"/>
  <c r="R13" i="1" s="1"/>
  <c r="N20" i="1"/>
  <c r="R20" i="1" s="1"/>
  <c r="N14" i="1"/>
  <c r="R14" i="1" s="1"/>
  <c r="P17" i="1"/>
  <c r="T17" i="1" s="1"/>
  <c r="N21" i="1"/>
  <c r="R21" i="1" s="1"/>
  <c r="P16" i="1"/>
  <c r="T16" i="1" s="1"/>
  <c r="N18" i="1"/>
  <c r="R18" i="1" s="1"/>
  <c r="P15" i="1"/>
  <c r="T15" i="1" s="1"/>
  <c r="P13" i="1"/>
  <c r="T13" i="1" s="1"/>
  <c r="P20" i="1"/>
  <c r="T20" i="1" s="1"/>
  <c r="P14" i="1"/>
  <c r="T14" i="1" s="1"/>
  <c r="N17" i="1"/>
  <c r="R17" i="1" s="1"/>
</calcChain>
</file>

<file path=xl/sharedStrings.xml><?xml version="1.0" encoding="utf-8"?>
<sst xmlns="http://schemas.openxmlformats.org/spreadsheetml/2006/main" count="1869" uniqueCount="885">
  <si>
    <t>ECETOC TRA Worker version 3.2 (stand alone tool)</t>
  </si>
  <si>
    <r>
      <rPr>
        <b/>
        <sz val="14"/>
        <color theme="1"/>
        <rFont val="Calibri"/>
        <family val="2"/>
        <scheme val="minor"/>
      </rPr>
      <t>DISCLAIMER:</t>
    </r>
    <r>
      <rPr>
        <sz val="14"/>
        <color theme="1"/>
        <rFont val="Calibri"/>
        <family val="2"/>
        <scheme val="minor"/>
      </rPr>
      <t xml:space="preserve"> please note that the tool is provided for personal use only. It should not be copied or forwarded to third parties. The tool has been subjected to thorough testing. Despite this, ECETOC does not guarantee that the ECETOC TRA tool works error-free. ECETOC is making this tool available for users to aid them in the risk assessment of their materials. ECETOC offers no warranty either to the reliability of the tool and of the provided information or to the conclusions or assumptions made by any user on the basis of the use of this tool or the use of such information. All usage is at the discretion of the user and ECETOC is not liable for any consequences resulting from such use.
 </t>
    </r>
  </si>
  <si>
    <t>Reference values (DNEL or OEL):</t>
  </si>
  <si>
    <t>How to select the correct fugacity band for liquids</t>
  </si>
  <si>
    <t>How to select the correct fugacity band for solids</t>
  </si>
  <si>
    <t>phys.state</t>
  </si>
  <si>
    <t>liquid</t>
  </si>
  <si>
    <t>solid</t>
  </si>
  <si>
    <t>indpro</t>
  </si>
  <si>
    <t>ind</t>
  </si>
  <si>
    <t>prof</t>
  </si>
  <si>
    <t xml:space="preserve">Substance name:  </t>
  </si>
  <si>
    <t>General description</t>
  </si>
  <si>
    <t>Relative dustiness potential</t>
  </si>
  <si>
    <t>TRA fugacity</t>
  </si>
  <si>
    <t>Typical materials</t>
  </si>
  <si>
    <t>very low</t>
  </si>
  <si>
    <t>low</t>
  </si>
  <si>
    <t>no PPE</t>
  </si>
  <si>
    <t>Long-term inhalation:</t>
  </si>
  <si>
    <t xml:space="preserve"> (mg/m3)</t>
  </si>
  <si>
    <t>Vapour pressure at operating temperature (Pa):</t>
  </si>
  <si>
    <t xml:space="preserve">Not dusty </t>
  </si>
  <si>
    <t>Low</t>
  </si>
  <si>
    <t>Plastic granules, pelleted fertilisers</t>
  </si>
  <si>
    <t>medium</t>
  </si>
  <si>
    <t>PPE80%</t>
  </si>
  <si>
    <t xml:space="preserve">CAS no:  </t>
  </si>
  <si>
    <t>Long-term dermal:</t>
  </si>
  <si>
    <t>(mg/kg/day)</t>
  </si>
  <si>
    <t>Slightly dusty</t>
  </si>
  <si>
    <t>10 - 100 times dustier</t>
  </si>
  <si>
    <t>Dry garden peat, sugar, salt</t>
  </si>
  <si>
    <t>high</t>
  </si>
  <si>
    <t>PPE90%</t>
  </si>
  <si>
    <t>Short-term inhalation:</t>
  </si>
  <si>
    <t>(mg/m3)</t>
  </si>
  <si>
    <t xml:space="preserve">Fugacity band at this vapour pressure: </t>
  </si>
  <si>
    <t xml:space="preserve">Dusty </t>
  </si>
  <si>
    <t>100-1000 times dustier</t>
  </si>
  <si>
    <t>Medium</t>
  </si>
  <si>
    <t>Talc, graphite</t>
  </si>
  <si>
    <t>PPE95%</t>
  </si>
  <si>
    <t xml:space="preserve">Molecular weight:  </t>
  </si>
  <si>
    <t>(g/mol)</t>
  </si>
  <si>
    <t>Local dermal:</t>
  </si>
  <si>
    <r>
      <t>(</t>
    </r>
    <r>
      <rPr>
        <b/>
        <sz val="11"/>
        <color theme="0"/>
        <rFont val="Calibri"/>
        <family val="2"/>
      </rPr>
      <t>µg</t>
    </r>
    <r>
      <rPr>
        <b/>
        <sz val="11"/>
        <color theme="0"/>
        <rFont val="Calibri"/>
        <family val="2"/>
        <scheme val="minor"/>
      </rPr>
      <t>/cm2)</t>
    </r>
  </si>
  <si>
    <t>Very/extremely dusty</t>
  </si>
  <si>
    <t>&gt; 1000 times dustier</t>
  </si>
  <si>
    <t>High</t>
  </si>
  <si>
    <t>Cement dust, milled powders, plaster, flour, lyophilised powders</t>
  </si>
  <si>
    <t>Scenario name</t>
  </si>
  <si>
    <t>PROC</t>
  </si>
  <si>
    <t>Ind/Prof</t>
  </si>
  <si>
    <t>Physical state</t>
  </si>
  <si>
    <t>Fugacity</t>
  </si>
  <si>
    <t>Ventilation</t>
  </si>
  <si>
    <t>Duration</t>
  </si>
  <si>
    <t>Concentration</t>
  </si>
  <si>
    <t>LEV</t>
  </si>
  <si>
    <t>RPE mask</t>
  </si>
  <si>
    <t>PPE gloves</t>
  </si>
  <si>
    <t>LEV for dermal</t>
  </si>
  <si>
    <t>Predicted 8hr inhalatory exposure
(mg/m3)</t>
  </si>
  <si>
    <t>Predicted 8hr dermal exposure 
(mg/kg/day)</t>
  </si>
  <si>
    <t>Predicted short-term inhalatory exposure
(mg/m3)</t>
  </si>
  <si>
    <r>
      <t>Predicted local dermal exposure
(</t>
    </r>
    <r>
      <rPr>
        <b/>
        <sz val="11"/>
        <color theme="0"/>
        <rFont val="Calibri"/>
        <family val="2"/>
      </rPr>
      <t>µg/cm2)</t>
    </r>
  </si>
  <si>
    <t>RCR 
(long-term inhalation)</t>
  </si>
  <si>
    <t>RCR
(long-term dermal)</t>
  </si>
  <si>
    <t>RCR 
(short-term inhalation)</t>
  </si>
  <si>
    <t>RCR
(local dermal)</t>
  </si>
  <si>
    <t>Remarks</t>
  </si>
  <si>
    <t>Ventilation Reduction Factor</t>
  </si>
  <si>
    <t>Duration Reduction Factor (inhalation)</t>
  </si>
  <si>
    <t>Duration Reduction Factor (dermal)</t>
  </si>
  <si>
    <t>Concentration Reduction Factor</t>
  </si>
  <si>
    <t>RPE Reduction Factor</t>
  </si>
  <si>
    <t>PPE Reduction Factor</t>
  </si>
  <si>
    <t>Multiplier short-term</t>
  </si>
  <si>
    <t>Look-up descriptor</t>
  </si>
  <si>
    <t>Initial estimate inhalation</t>
  </si>
  <si>
    <t>Initial estimate dermal</t>
  </si>
  <si>
    <t>Message TRA only estimates  vapour phase exposure</t>
  </si>
  <si>
    <t>Message no reduction for LEV for PROC1</t>
  </si>
  <si>
    <t>Message no reduction for duration on dermal estimate</t>
  </si>
  <si>
    <t>PROC1</t>
  </si>
  <si>
    <t>indoors - no or basic ventilation</t>
  </si>
  <si>
    <t>&gt;4hr</t>
  </si>
  <si>
    <t>&gt;25%</t>
  </si>
  <si>
    <t>no</t>
  </si>
  <si>
    <t>no RPE</t>
  </si>
  <si>
    <t>PROC2</t>
  </si>
  <si>
    <t>PROC3</t>
  </si>
  <si>
    <t>PROC4</t>
  </si>
  <si>
    <t>PROC5</t>
  </si>
  <si>
    <t>PROC6</t>
  </si>
  <si>
    <t>PROC7</t>
  </si>
  <si>
    <t>PROC8a</t>
  </si>
  <si>
    <t>PROC8b</t>
  </si>
  <si>
    <t>PROC9</t>
  </si>
  <si>
    <t>PROC10</t>
  </si>
  <si>
    <t>PROC11</t>
  </si>
  <si>
    <t>PROC12</t>
  </si>
  <si>
    <t>PROC13</t>
  </si>
  <si>
    <t>PROC14</t>
  </si>
  <si>
    <t>PROC15</t>
  </si>
  <si>
    <t>PROC16</t>
  </si>
  <si>
    <t>PROC17</t>
  </si>
  <si>
    <t>PROC18</t>
  </si>
  <si>
    <t>PROC19</t>
  </si>
  <si>
    <t>descriptor/look-up term inhalation</t>
  </si>
  <si>
    <t>init exp inhalation</t>
  </si>
  <si>
    <t>init exp dermal</t>
  </si>
  <si>
    <t>init exp local dermal</t>
  </si>
  <si>
    <t>reduction factor lev inhal</t>
  </si>
  <si>
    <t>reduction factor LEV dermal</t>
  </si>
  <si>
    <t>Message supporting exposure prediction</t>
  </si>
  <si>
    <t>PROCs</t>
  </si>
  <si>
    <t>PROC description</t>
  </si>
  <si>
    <t>PROC1solidyeshighind</t>
  </si>
  <si>
    <t>1 - Use in closed process, no likelihood of exposure</t>
  </si>
  <si>
    <t>PROC1solidyesmediumind</t>
  </si>
  <si>
    <t xml:space="preserve">2 - Use in closed, continuous  process with occasional controlled exposure </t>
  </si>
  <si>
    <t>PROC1solidyeslowind</t>
  </si>
  <si>
    <t>3 - Use in closed batch process (synthesis or formulation)</t>
  </si>
  <si>
    <t>PROC1solidyeshighprof</t>
  </si>
  <si>
    <t xml:space="preserve">4 - Use in batch and other process (synthesis) where opportunity for exposure arises </t>
  </si>
  <si>
    <t>PROC1solidyesmediumprof</t>
  </si>
  <si>
    <t>5 -Mixing or blending in batch processes (multistage and/or significant contact)</t>
  </si>
  <si>
    <t>PROC1solidyeslowprof</t>
  </si>
  <si>
    <t>6 -Calendering operations</t>
  </si>
  <si>
    <t>PROC1solidnohighind</t>
  </si>
  <si>
    <t>7 -Industrial spraying</t>
  </si>
  <si>
    <t>PROC1solidnomediumind</t>
  </si>
  <si>
    <t>8a -Transfer of chemicals from/to vessels/ large containers at non dedicated facilities</t>
  </si>
  <si>
    <t>PROC1solidnolowind</t>
  </si>
  <si>
    <t>8b -Transfer of chemicals from/to vessels/ large containers at dedicated facilities</t>
  </si>
  <si>
    <t>PROC1solidnohighprof</t>
  </si>
  <si>
    <t>9 -Transfer of chemicals into small containers (dedicated filling line)</t>
  </si>
  <si>
    <t>PROC1solidnomediumprof</t>
  </si>
  <si>
    <t xml:space="preserve">10 - Roller application or brushing </t>
  </si>
  <si>
    <t>PROC1solidnolowprof</t>
  </si>
  <si>
    <t xml:space="preserve">11- Non industrial spraying </t>
  </si>
  <si>
    <t>PROC1liquidyeshighind</t>
  </si>
  <si>
    <t>12 - Use of blow agents for foam production</t>
  </si>
  <si>
    <t>PROC1liquidyesmediumind</t>
  </si>
  <si>
    <t xml:space="preserve">13 -Treatment of articles by dipping and pouring </t>
  </si>
  <si>
    <t>PROC1liquidyeslowind</t>
  </si>
  <si>
    <t>14 - Production of preparations or articles by tabletting, compression, extrusion, pelletisation</t>
  </si>
  <si>
    <t>PROC1liquidyesvery lowind</t>
  </si>
  <si>
    <t>15 - Use of laboratory reagents in small scale laboratories</t>
  </si>
  <si>
    <t>PROC1liquidyeshighprof</t>
  </si>
  <si>
    <t>16 - Using material as fuel sources, limited exposure to unburned product to be expected</t>
  </si>
  <si>
    <t>PROC1liquidyesmediumprof</t>
  </si>
  <si>
    <t>17 - Lubrication at high energy conditions and in partly open process</t>
  </si>
  <si>
    <t>PROC1liquidyeslowprof</t>
  </si>
  <si>
    <t>18 - Greasing at high energy conditions</t>
  </si>
  <si>
    <t>PROC1liquidyesvery lowprof</t>
  </si>
  <si>
    <t>19 - Hand-mixing with intimate contact (only PPE available)</t>
  </si>
  <si>
    <t>PROC1liquidnohighind</t>
  </si>
  <si>
    <t>PROC20</t>
  </si>
  <si>
    <t xml:space="preserve">20 - Heat and pressure transfer fluids (closed systems) in dispersive use </t>
  </si>
  <si>
    <t>PROC1liquidnomediumind</t>
  </si>
  <si>
    <t>PROC21</t>
  </si>
  <si>
    <t>21 - Low energy manipulation of substances in materials and/or articles</t>
  </si>
  <si>
    <t>PROC1liquidnolowind</t>
  </si>
  <si>
    <t>PROC22</t>
  </si>
  <si>
    <t>22 - Potentially closed operations with minerals at elevated temperature</t>
  </si>
  <si>
    <t>PROC1liquidnovery lowind</t>
  </si>
  <si>
    <t>PROC23</t>
  </si>
  <si>
    <t>23 - Open processing and transfer of minerals at elevated temperature</t>
  </si>
  <si>
    <t>PROC1liquidnohighprof</t>
  </si>
  <si>
    <t>PROC24</t>
  </si>
  <si>
    <t xml:space="preserve">24 - High (mechanical) energy work-up of substances bound in materials and/or articles </t>
  </si>
  <si>
    <t>PROC1liquidnomediumprof</t>
  </si>
  <si>
    <t>PROC25</t>
  </si>
  <si>
    <t>25 - Hot work operations with metals</t>
  </si>
  <si>
    <t>PROC1liquidnolowprof</t>
  </si>
  <si>
    <t>PROC1liquidnovery lowprof</t>
  </si>
  <si>
    <t>PROC2solidyeshighind</t>
  </si>
  <si>
    <t>PROC2solidyesmediumind</t>
  </si>
  <si>
    <t>PROC2solidyeslowind</t>
  </si>
  <si>
    <t>PROC2solidyeshighprof</t>
  </si>
  <si>
    <t>PROC2solidyesmediumprof</t>
  </si>
  <si>
    <t>PROC2solidyeslowprof</t>
  </si>
  <si>
    <t>PROC2solidnohighind</t>
  </si>
  <si>
    <t>PROC2solidnomediumind</t>
  </si>
  <si>
    <t>PROC2solidnolowind</t>
  </si>
  <si>
    <t>PROC2solidnohighprof</t>
  </si>
  <si>
    <t>PROC2solidnomediumprof</t>
  </si>
  <si>
    <t>PROC2solidnolowprof</t>
  </si>
  <si>
    <t>PROC2liquidyeshighind</t>
  </si>
  <si>
    <t>PROC2liquidyesmediumind</t>
  </si>
  <si>
    <t>PROC2liquidyeslowind</t>
  </si>
  <si>
    <t>PROC2liquidyesvery lowind</t>
  </si>
  <si>
    <t>PROC2liquidyeshighprof</t>
  </si>
  <si>
    <t>PROC2liquidyesmediumprof</t>
  </si>
  <si>
    <t>PROC2liquidyeslowprof</t>
  </si>
  <si>
    <t>PROC2liquidyesvery lowprof</t>
  </si>
  <si>
    <t>PROC2liquidnohighind</t>
  </si>
  <si>
    <t>PROC2liquidnomediumind</t>
  </si>
  <si>
    <t>PROC2liquidnolowind</t>
  </si>
  <si>
    <t>PROC2liquidnovery lowind</t>
  </si>
  <si>
    <t>PROC2liquidnohighprof</t>
  </si>
  <si>
    <t>PROC2liquidnomediumprof</t>
  </si>
  <si>
    <t>PROC2liquidnolowprof</t>
  </si>
  <si>
    <t>PROC2liquidnovery lowprof</t>
  </si>
  <si>
    <t>PROC3solidyeshighind</t>
  </si>
  <si>
    <t>PROC3solidyesmediumind</t>
  </si>
  <si>
    <t>PROC3solidyeslowind</t>
  </si>
  <si>
    <t>PROC3solidyeshighprof</t>
  </si>
  <si>
    <t>PROC3solidyesmediumprof</t>
  </si>
  <si>
    <t>PROC3solidyeslowprof</t>
  </si>
  <si>
    <t>PROC3solidnohighind</t>
  </si>
  <si>
    <t>PROC3solidnomediumind</t>
  </si>
  <si>
    <t>PROC3solidnolowind</t>
  </si>
  <si>
    <t>PROC3solidnohighprof</t>
  </si>
  <si>
    <t>PROC3solidnomediumprof</t>
  </si>
  <si>
    <t>PROC3solidnolowprof</t>
  </si>
  <si>
    <t>PROC3liquidyeshighind</t>
  </si>
  <si>
    <t>PROC3liquidyesmediumind</t>
  </si>
  <si>
    <t>PROC3liquidyeslowind</t>
  </si>
  <si>
    <t>PROC3liquidyesvery lowind</t>
  </si>
  <si>
    <t>PROC3liquidyeshighprof</t>
  </si>
  <si>
    <t>PROC3liquidyesmediumprof</t>
  </si>
  <si>
    <t>PROC3liquidyeslowprof</t>
  </si>
  <si>
    <t>PROC3liquidyesvery lowprof</t>
  </si>
  <si>
    <t>PROC3liquidnohighind</t>
  </si>
  <si>
    <t>PROC3liquidnomediumind</t>
  </si>
  <si>
    <t>PROC3liquidnolowind</t>
  </si>
  <si>
    <t>PROC3liquidnovery lowind</t>
  </si>
  <si>
    <t>PROC3liquidnohighprof</t>
  </si>
  <si>
    <t>PROC3liquidnomediumprof</t>
  </si>
  <si>
    <t>PROC3liquidnolowprof</t>
  </si>
  <si>
    <t>PROC3liquidnovery lowprof</t>
  </si>
  <si>
    <t>PROC4solidyeshighind</t>
  </si>
  <si>
    <t>PROC4solidyesmediumind</t>
  </si>
  <si>
    <t>PROC4solidyeslowind</t>
  </si>
  <si>
    <t>PROC4solidyeshighprof</t>
  </si>
  <si>
    <t>PROC4solidyesmediumprof</t>
  </si>
  <si>
    <t>PROC4solidyeslowprof</t>
  </si>
  <si>
    <t>PROC4solidnohighind</t>
  </si>
  <si>
    <t>PROC4solidnomediumind</t>
  </si>
  <si>
    <t>PROC4solidnolowind</t>
  </si>
  <si>
    <t>PROC4solidnohighprof</t>
  </si>
  <si>
    <t>PROC4solidnomediumprof</t>
  </si>
  <si>
    <t>PROC4solidnolowprof</t>
  </si>
  <si>
    <t>PROC4liquidyeshighind</t>
  </si>
  <si>
    <t>PROC4liquidyesmediumind</t>
  </si>
  <si>
    <t>PROC4liquidyeslowind</t>
  </si>
  <si>
    <t>PROC4liquidyesvery lowind</t>
  </si>
  <si>
    <t>PROC4liquidyeshighprof</t>
  </si>
  <si>
    <t>PROC4liquidyesmediumprof</t>
  </si>
  <si>
    <t>PROC4liquidyeslowprof</t>
  </si>
  <si>
    <t>PROC4liquidyesvery lowprof</t>
  </si>
  <si>
    <t>PROC4liquidnohighind</t>
  </si>
  <si>
    <t>PROC4liquidnomediumind</t>
  </si>
  <si>
    <t>PROC4liquidnolowind</t>
  </si>
  <si>
    <t>PROC4liquidnovery lowind</t>
  </si>
  <si>
    <t>PROC4liquidnohighprof</t>
  </si>
  <si>
    <t>PROC4liquidnomediumprof</t>
  </si>
  <si>
    <t>PROC4liquidnolowprof</t>
  </si>
  <si>
    <t>PROC4liquidnovery lowprof</t>
  </si>
  <si>
    <t>PROC5solidyeshighind</t>
  </si>
  <si>
    <t>PROC5solidyesmediumind</t>
  </si>
  <si>
    <t>PROC5solidyeslowind</t>
  </si>
  <si>
    <t>PROC5solidyeshighprof</t>
  </si>
  <si>
    <t>PROC5solidyesmediumprof</t>
  </si>
  <si>
    <t>PROC5solidyeslowprof</t>
  </si>
  <si>
    <t>PROC5solidnohighind</t>
  </si>
  <si>
    <t>PROC5solidnomediumind</t>
  </si>
  <si>
    <t>PROC5solidnolowind</t>
  </si>
  <si>
    <t>PROC5solidnohighprof</t>
  </si>
  <si>
    <t>PROC5solidnomediumprof</t>
  </si>
  <si>
    <t>PROC5solidnolowprof</t>
  </si>
  <si>
    <t>PROC5liquidyeshighind</t>
  </si>
  <si>
    <t>PROC5liquidyesmediumind</t>
  </si>
  <si>
    <t>PROC5liquidyeslowind</t>
  </si>
  <si>
    <t>PROC5liquidyesvery lowind</t>
  </si>
  <si>
    <t>PROC5liquidyeshighprof</t>
  </si>
  <si>
    <t>PROC5liquidyesmediumprof</t>
  </si>
  <si>
    <t>PROC5liquidyeslowprof</t>
  </si>
  <si>
    <t>PROC5liquidyesvery lowprof</t>
  </si>
  <si>
    <t>PROC5liquidnohighind</t>
  </si>
  <si>
    <t>PROC5liquidnomediumind</t>
  </si>
  <si>
    <t>PROC5liquidnolowind</t>
  </si>
  <si>
    <t>PROC5liquidnovery lowind</t>
  </si>
  <si>
    <t>PROC5liquidnohighprof</t>
  </si>
  <si>
    <t>PROC5liquidnomediumprof</t>
  </si>
  <si>
    <t>PROC5liquidnolowprof</t>
  </si>
  <si>
    <t>PROC5liquidnovery lowprof</t>
  </si>
  <si>
    <t>PROC6solidyeshighind</t>
  </si>
  <si>
    <t>PROC6solidyesmediumind</t>
  </si>
  <si>
    <t>PROC6solidyeslowind</t>
  </si>
  <si>
    <t>PROC6solidyeshighprof</t>
  </si>
  <si>
    <t>PROC6solidyesmediumprof</t>
  </si>
  <si>
    <t>PROC6solidyeslowprof</t>
  </si>
  <si>
    <t>PROC6solidnohighind</t>
  </si>
  <si>
    <t>PROC6solidnomediumind</t>
  </si>
  <si>
    <t>PROC6solidnolowind</t>
  </si>
  <si>
    <t>PROC6solidnohighprof</t>
  </si>
  <si>
    <t>PROC6solidnomediumprof</t>
  </si>
  <si>
    <t>PROC6solidnolowprof</t>
  </si>
  <si>
    <t>PROC6liquidyeshighind</t>
  </si>
  <si>
    <t>PROC6liquidyesmediumind</t>
  </si>
  <si>
    <t>PROC6liquidyeslowind</t>
  </si>
  <si>
    <t>PROC6liquidyesvery lowind</t>
  </si>
  <si>
    <t>PROC6liquidyeshighprof</t>
  </si>
  <si>
    <t>PROC6liquidyesmediumprof</t>
  </si>
  <si>
    <t>PROC6liquidyeslowprof</t>
  </si>
  <si>
    <t>PROC6liquidyesvery lowprof</t>
  </si>
  <si>
    <t>PROC6liquidnohighind</t>
  </si>
  <si>
    <t>PROC6liquidnomediumind</t>
  </si>
  <si>
    <t>PROC6liquidnolowind</t>
  </si>
  <si>
    <t>PROC6liquidnovery lowind</t>
  </si>
  <si>
    <t>PROC6liquidnohighprof</t>
  </si>
  <si>
    <t>PROC6liquidnomediumprof</t>
  </si>
  <si>
    <t>PROC6liquidnolowprof</t>
  </si>
  <si>
    <t>PROC6liquidnovery lowprof</t>
  </si>
  <si>
    <t>PROC7solidyeshighind</t>
  </si>
  <si>
    <t>PROC7solidyesmediumind</t>
  </si>
  <si>
    <t>PROC7solidyeslowind</t>
  </si>
  <si>
    <t>PROC7solidyeshighprof</t>
  </si>
  <si>
    <t>n/a</t>
  </si>
  <si>
    <t>PROC7 only for industrial use</t>
  </si>
  <si>
    <t>PROC7solidyesmediumprof</t>
  </si>
  <si>
    <t>PROC7solidyeslowprof</t>
  </si>
  <si>
    <t>PROC7solidnohighind</t>
  </si>
  <si>
    <t>PROC7solidnomediumind</t>
  </si>
  <si>
    <t>PROC7solidnolowind</t>
  </si>
  <si>
    <t>PROC7solidnohighprof</t>
  </si>
  <si>
    <t>PROC7solidnomediumprof</t>
  </si>
  <si>
    <t>PROC7solidnolowprof</t>
  </si>
  <si>
    <t>PROC7liquidyeshighind</t>
  </si>
  <si>
    <t>PROC7liquidyesmediumind</t>
  </si>
  <si>
    <t>PROC7liquidyeslowind</t>
  </si>
  <si>
    <t>PROC7liquidyesvery lowind</t>
  </si>
  <si>
    <t>PROC7liquidyeshighprof</t>
  </si>
  <si>
    <t>PROC7liquidyesmediumprof</t>
  </si>
  <si>
    <t>PROC7liquidyeslowprof</t>
  </si>
  <si>
    <t>PROC7liquidyesvery lowprof</t>
  </si>
  <si>
    <t>PROC7liquidnohighind</t>
  </si>
  <si>
    <t>PROC7liquidnomediumind</t>
  </si>
  <si>
    <t>PROC7liquidnolowind</t>
  </si>
  <si>
    <t>PROC7liquidnovery lowind</t>
  </si>
  <si>
    <t>PROC7liquidnohighprof</t>
  </si>
  <si>
    <t>PROC7liquidnomediumprof</t>
  </si>
  <si>
    <t>PROC7liquidnolowprof</t>
  </si>
  <si>
    <t>PROC7liquidnovery lowprof</t>
  </si>
  <si>
    <t>PROC8asolidyeshighind</t>
  </si>
  <si>
    <t>PROC8asolidyesmediumind</t>
  </si>
  <si>
    <t>PROC8asolidyeslowind</t>
  </si>
  <si>
    <t>PROC8asolidyeshighprof</t>
  </si>
  <si>
    <t>PROC8asolidyesmediumprof</t>
  </si>
  <si>
    <t>PROC8asolidyeslowprof</t>
  </si>
  <si>
    <t>PROC8asolidnohighind</t>
  </si>
  <si>
    <t>PROC8asolidnomediumind</t>
  </si>
  <si>
    <t>PROC8asolidnolowind</t>
  </si>
  <si>
    <t>PROC8asolidnohighprof</t>
  </si>
  <si>
    <t>PROC8asolidnomediumprof</t>
  </si>
  <si>
    <t>PROC8asolidnolowprof</t>
  </si>
  <si>
    <t>PROC8aliquidyeshighind</t>
  </si>
  <si>
    <t>PROC8aliquidyesmediumind</t>
  </si>
  <si>
    <t>PROC8aliquidyeslowind</t>
  </si>
  <si>
    <t>PROC8aliquidyesvery lowind</t>
  </si>
  <si>
    <t>PROC8aliquidyeshighprof</t>
  </si>
  <si>
    <t>PROC8aliquidyesmediumprof</t>
  </si>
  <si>
    <t>PROC8aliquidyeslowprof</t>
  </si>
  <si>
    <t>PROC8aliquidyesvery lowprof</t>
  </si>
  <si>
    <t>PROC8aliquidnohighind</t>
  </si>
  <si>
    <t>PROC8aliquidnomediumind</t>
  </si>
  <si>
    <t>PROC8aliquidnolowind</t>
  </si>
  <si>
    <t>PROC8aliquidnovery lowind</t>
  </si>
  <si>
    <t>PROC8aliquidnohighprof</t>
  </si>
  <si>
    <t>PROC8aliquidnomediumprof</t>
  </si>
  <si>
    <t>PROC8aliquidnolowprof</t>
  </si>
  <si>
    <t>PROC8aliquidnovery lowprof</t>
  </si>
  <si>
    <t>PROC8bsolidyeshighind</t>
  </si>
  <si>
    <t>PROC8bsolidyesmediumind</t>
  </si>
  <si>
    <t>PROC8bsolidyeslowind</t>
  </si>
  <si>
    <t>PROC8bsolidyeshighprof</t>
  </si>
  <si>
    <t>PROC8bsolidyesmediumprof</t>
  </si>
  <si>
    <t>PROC8bsolidyeslowprof</t>
  </si>
  <si>
    <t>PROC8bsolidnohighind</t>
  </si>
  <si>
    <t>PROC8bsolidnomediumind</t>
  </si>
  <si>
    <t>PROC8bsolidnolowind</t>
  </si>
  <si>
    <t>PROC8bsolidnohighprof</t>
  </si>
  <si>
    <t>PROC8bsolidnomediumprof</t>
  </si>
  <si>
    <t>PROC8bsolidnolowprof</t>
  </si>
  <si>
    <t>PROC8bliquidyeshighind</t>
  </si>
  <si>
    <t>PROC8bliquidyesmediumind</t>
  </si>
  <si>
    <t>PROC8bliquidyeslowind</t>
  </si>
  <si>
    <t>PROC8bliquidyesvery lowind</t>
  </si>
  <si>
    <t>PROC8bliquidyeshighprof</t>
  </si>
  <si>
    <t>PROC8bliquidyesmediumprof</t>
  </si>
  <si>
    <t>PROC8bliquidyeslowprof</t>
  </si>
  <si>
    <t>PROC8bliquidyesvery lowprof</t>
  </si>
  <si>
    <t>PROC8bliquidnohighind</t>
  </si>
  <si>
    <t>PROC8bliquidnomediumind</t>
  </si>
  <si>
    <t>PROC8bliquidnolowind</t>
  </si>
  <si>
    <t>PROC8bliquidnovery lowind</t>
  </si>
  <si>
    <t>PROC8bliquidnohighprof</t>
  </si>
  <si>
    <t>PROC8bliquidnomediumprof</t>
  </si>
  <si>
    <t>PROC8bliquidnolowprof</t>
  </si>
  <si>
    <t>PROC8bliquidnovery lowprof</t>
  </si>
  <si>
    <t>PROC9solidyeshighind</t>
  </si>
  <si>
    <t>PROC9solidyesmediumind</t>
  </si>
  <si>
    <t>PROC9solidyeslowind</t>
  </si>
  <si>
    <t>PROC9solidyeshighprof</t>
  </si>
  <si>
    <t>PROC9solidyesmediumprof</t>
  </si>
  <si>
    <t>PROC9solidyeslowprof</t>
  </si>
  <si>
    <t>PROC9solidnohighind</t>
  </si>
  <si>
    <t>PROC9solidnomediumind</t>
  </si>
  <si>
    <t>PROC9solidnolowind</t>
  </si>
  <si>
    <t>PROC9solidnohighprof</t>
  </si>
  <si>
    <t>PROC9solidnomediumprof</t>
  </si>
  <si>
    <t>PROC9solidnolowprof</t>
  </si>
  <si>
    <t>PROC9liquidyeshighind</t>
  </si>
  <si>
    <t>PROC9liquidyesmediumind</t>
  </si>
  <si>
    <t>PROC9liquidyeslowind</t>
  </si>
  <si>
    <t>PROC9liquidyesvery lowind</t>
  </si>
  <si>
    <t>PROC9liquidyeshighprof</t>
  </si>
  <si>
    <t>PROC9liquidyesmediumprof</t>
  </si>
  <si>
    <t>PROC9liquidyeslowprof</t>
  </si>
  <si>
    <t>PROC9liquidyesvery lowprof</t>
  </si>
  <si>
    <t>PROC9liquidnohighind</t>
  </si>
  <si>
    <t>PROC9liquidnomediumind</t>
  </si>
  <si>
    <t>PROC9liquidnolowind</t>
  </si>
  <si>
    <t>PROC9liquidnovery lowind</t>
  </si>
  <si>
    <t>PROC9liquidnohighprof</t>
  </si>
  <si>
    <t>PROC9liquidnomediumprof</t>
  </si>
  <si>
    <t>PROC9liquidnolowprof</t>
  </si>
  <si>
    <t>PROC9liquidnovery lowprof</t>
  </si>
  <si>
    <t>PROC10solidyeshighind</t>
  </si>
  <si>
    <t>PROC10solidyesmediumind</t>
  </si>
  <si>
    <t>PROC10solidyeslowind</t>
  </si>
  <si>
    <t>PROC10solidyeshighprof</t>
  </si>
  <si>
    <t>PROC10solidyesmediumprof</t>
  </si>
  <si>
    <t>PROC10solidyeslowprof</t>
  </si>
  <si>
    <t>PROC10solidnohighind</t>
  </si>
  <si>
    <t>PROC10solidnomediumind</t>
  </si>
  <si>
    <t>PROC10solidnolowind</t>
  </si>
  <si>
    <t>PROC10solidnohighprof</t>
  </si>
  <si>
    <t>PROC10solidnomediumprof</t>
  </si>
  <si>
    <t>PROC10solidnolowprof</t>
  </si>
  <si>
    <t>PROC10liquidyeshighind</t>
  </si>
  <si>
    <t>PROC10liquidyesmediumind</t>
  </si>
  <si>
    <t>PROC10liquidyeslowind</t>
  </si>
  <si>
    <t>PROC10liquidyesvery lowind</t>
  </si>
  <si>
    <t>PROC10liquidyeshighprof</t>
  </si>
  <si>
    <t>PROC10liquidyesmediumprof</t>
  </si>
  <si>
    <t>PROC10liquidyeslowprof</t>
  </si>
  <si>
    <t>PROC10liquidyesvery lowprof</t>
  </si>
  <si>
    <t>PROC10liquidnohighind</t>
  </si>
  <si>
    <t>PROC10liquidnomediumind</t>
  </si>
  <si>
    <t>PROC10liquidnolowind</t>
  </si>
  <si>
    <t>PROC10liquidnovery lowind</t>
  </si>
  <si>
    <t>PROC10liquidnohighprof</t>
  </si>
  <si>
    <t>PROC10liquidnomediumprof</t>
  </si>
  <si>
    <t>PROC10liquidnolowprof</t>
  </si>
  <si>
    <t>PROC10liquidnovery lowprof</t>
  </si>
  <si>
    <t>PROC11solidyeshighind</t>
  </si>
  <si>
    <t>PROC11 only for professional use</t>
  </si>
  <si>
    <t>PROC11solidyesmediumind</t>
  </si>
  <si>
    <t>PROC11solidyeslowind</t>
  </si>
  <si>
    <t>PROC11solidyeshighprof</t>
  </si>
  <si>
    <t>PROC11solidyesmediumprof</t>
  </si>
  <si>
    <t>PROC11solidyeslowprof</t>
  </si>
  <si>
    <t>PROC11solidnohighind</t>
  </si>
  <si>
    <t>PROC11solidnomediumind</t>
  </si>
  <si>
    <t>PROC11solidnolowind</t>
  </si>
  <si>
    <t>PROC11solidnohighprof</t>
  </si>
  <si>
    <t>PROC11solidnomediumprof</t>
  </si>
  <si>
    <t>PROC11solidnolowprof</t>
  </si>
  <si>
    <t>PROC11liquidyeshighind</t>
  </si>
  <si>
    <t>PROC11liquidyesmediumind</t>
  </si>
  <si>
    <t>PROC11liquidyeslowind</t>
  </si>
  <si>
    <t>PROC11liquidyesvery lowind</t>
  </si>
  <si>
    <t>PROC11liquidyeshighprof</t>
  </si>
  <si>
    <t>PROC11liquidyesmediumprof</t>
  </si>
  <si>
    <t>PROC11liquidyeslowprof</t>
  </si>
  <si>
    <t>PROC11liquidyesvery lowprof</t>
  </si>
  <si>
    <t>PROC11liquidnohighind</t>
  </si>
  <si>
    <t>PROC11liquidnomediumind</t>
  </si>
  <si>
    <t>PROC11liquidnolowind</t>
  </si>
  <si>
    <t>PROC11liquidnovery lowind</t>
  </si>
  <si>
    <t>PROC11liquidnohighprof</t>
  </si>
  <si>
    <t>PROC11liquidnomediumprof</t>
  </si>
  <si>
    <t>PROC11liquidnolowprof</t>
  </si>
  <si>
    <t>PROC11liquidnovery lowprof</t>
  </si>
  <si>
    <t>PROC12solidyeshighind</t>
  </si>
  <si>
    <t>Not for solids</t>
  </si>
  <si>
    <t>PROC12solidyesmediumind</t>
  </si>
  <si>
    <t>PROC12solidyeslowind</t>
  </si>
  <si>
    <t>PROC12solidyeshighprof</t>
  </si>
  <si>
    <t>PROC12solidyesmediumprof</t>
  </si>
  <si>
    <t>PROC12solidyeslowprof</t>
  </si>
  <si>
    <t>PROC12solidnohighind</t>
  </si>
  <si>
    <t>PROC12solidnomediumind</t>
  </si>
  <si>
    <t>PROC12solidnolowind</t>
  </si>
  <si>
    <t>PROC12solidnohighprof</t>
  </si>
  <si>
    <t>PROC12solidnomediumprof</t>
  </si>
  <si>
    <t>PROC12solidnolowprof</t>
  </si>
  <si>
    <t>PROC12liquidyeshighind</t>
  </si>
  <si>
    <t>PROC12liquidyesmediumind</t>
  </si>
  <si>
    <t>PROC12liquidyeslowind</t>
  </si>
  <si>
    <t>PROC12liquidyesvery lowind</t>
  </si>
  <si>
    <t>PROC12liquidyeshighprof</t>
  </si>
  <si>
    <t>PROC12liquidyesmediumprof</t>
  </si>
  <si>
    <t>PROC12liquidyeslowprof</t>
  </si>
  <si>
    <t>PROC12liquidyesvery lowprof</t>
  </si>
  <si>
    <t>PROC12liquidnohighind</t>
  </si>
  <si>
    <t>PROC12liquidnomediumind</t>
  </si>
  <si>
    <t>PROC12liquidnolowind</t>
  </si>
  <si>
    <t>PROC12liquidnovery lowind</t>
  </si>
  <si>
    <t>PROC12liquidnohighprof</t>
  </si>
  <si>
    <t>PROC12liquidnomediumprof</t>
  </si>
  <si>
    <t>PROC12liquidnolowprof</t>
  </si>
  <si>
    <t>PROC12liquidnovery lowprof</t>
  </si>
  <si>
    <t>PROC13solidyeshighind</t>
  </si>
  <si>
    <t>PROC13solidyesmediumind</t>
  </si>
  <si>
    <t>PROC13solidyeslowind</t>
  </si>
  <si>
    <t>PROC13solidyeshighprof</t>
  </si>
  <si>
    <t>PROC13solidyesmediumprof</t>
  </si>
  <si>
    <t>PROC13solidyeslowprof</t>
  </si>
  <si>
    <t>PROC13solidnohighind</t>
  </si>
  <si>
    <t>PROC13solidnomediumind</t>
  </si>
  <si>
    <t>PROC13solidnolowind</t>
  </si>
  <si>
    <t>PROC13solidnohighprof</t>
  </si>
  <si>
    <t>PROC13solidnomediumprof</t>
  </si>
  <si>
    <t>PROC13solidnolowprof</t>
  </si>
  <si>
    <t>PROC13liquidyeshighind</t>
  </si>
  <si>
    <t>PROC13liquidyesmediumind</t>
  </si>
  <si>
    <t>PROC13liquidyeslowind</t>
  </si>
  <si>
    <t>PROC13liquidyesvery lowind</t>
  </si>
  <si>
    <t>PROC13liquidyeshighprof</t>
  </si>
  <si>
    <t>PROC13liquidyesmediumprof</t>
  </si>
  <si>
    <t>PROC13liquidyeslowprof</t>
  </si>
  <si>
    <t>PROC13liquidyesvery lowprof</t>
  </si>
  <si>
    <t>PROC13liquidnohighind</t>
  </si>
  <si>
    <t>PROC13liquidnomediumind</t>
  </si>
  <si>
    <t>PROC13liquidnolowind</t>
  </si>
  <si>
    <t>PROC13liquidnovery lowind</t>
  </si>
  <si>
    <t>PROC13liquidnohighprof</t>
  </si>
  <si>
    <t>PROC13liquidnomediumprof</t>
  </si>
  <si>
    <t>PROC13liquidnolowprof</t>
  </si>
  <si>
    <t>PROC13liquidnovery lowprof</t>
  </si>
  <si>
    <t>PROC14solidyeshighind</t>
  </si>
  <si>
    <t>PROC14solidyesmediumind</t>
  </si>
  <si>
    <t>PROC14solidyeslowind</t>
  </si>
  <si>
    <t>PROC14solidyeshighprof</t>
  </si>
  <si>
    <t>PROC14solidyesmediumprof</t>
  </si>
  <si>
    <t>PROC14solidyeslowprof</t>
  </si>
  <si>
    <t>PROC14solidnohighind</t>
  </si>
  <si>
    <t>PROC14solidnomediumind</t>
  </si>
  <si>
    <t>PROC14solidnolowind</t>
  </si>
  <si>
    <t>PROC14solidnohighprof</t>
  </si>
  <si>
    <t>PROC14solidnomediumprof</t>
  </si>
  <si>
    <t>PROC14solidnolowprof</t>
  </si>
  <si>
    <t>PROC14liquidyeshighind</t>
  </si>
  <si>
    <t>PROC14liquidyesmediumind</t>
  </si>
  <si>
    <t>PROC14liquidyeslowind</t>
  </si>
  <si>
    <t>PROC14liquidyesvery lowind</t>
  </si>
  <si>
    <t>PROC14liquidyeshighprof</t>
  </si>
  <si>
    <t>PROC14liquidyesmediumprof</t>
  </si>
  <si>
    <t>PROC14liquidyeslowprof</t>
  </si>
  <si>
    <t>PROC14liquidyesvery lowprof</t>
  </si>
  <si>
    <t>PROC14liquidnohighind</t>
  </si>
  <si>
    <t>PROC14liquidnomediumind</t>
  </si>
  <si>
    <t>PROC14liquidnolowind</t>
  </si>
  <si>
    <t>PROC14liquidnovery lowind</t>
  </si>
  <si>
    <t>PROC14liquidnohighprof</t>
  </si>
  <si>
    <t>PROC14liquidnomediumprof</t>
  </si>
  <si>
    <t>PROC14liquidnolowprof</t>
  </si>
  <si>
    <t>PROC14liquidnovery lowprof</t>
  </si>
  <si>
    <t>PROC15solidyeshighind</t>
  </si>
  <si>
    <t>PROC15solidyesmediumind</t>
  </si>
  <si>
    <t>PROC15solidyeslowind</t>
  </si>
  <si>
    <t>PROC15solidyeshighprof</t>
  </si>
  <si>
    <t>PROC15solidyesmediumprof</t>
  </si>
  <si>
    <t>PROC15solidyeslowprof</t>
  </si>
  <si>
    <t>PROC15solidnohighind</t>
  </si>
  <si>
    <t>PROC15solidnomediumind</t>
  </si>
  <si>
    <t>PROC15solidnolowind</t>
  </si>
  <si>
    <t>PROC15solidnohighprof</t>
  </si>
  <si>
    <t>PROC15solidnomediumprof</t>
  </si>
  <si>
    <t>PROC15solidnolowprof</t>
  </si>
  <si>
    <t>PROC15liquidyeshighind</t>
  </si>
  <si>
    <t>PROC15liquidyesmediumind</t>
  </si>
  <si>
    <t>PROC15liquidyeslowind</t>
  </si>
  <si>
    <t>PROC15liquidyesvery lowind</t>
  </si>
  <si>
    <t>PROC15liquidyeshighprof</t>
  </si>
  <si>
    <t>PROC15liquidyesmediumprof</t>
  </si>
  <si>
    <t>PROC15liquidyeslowprof</t>
  </si>
  <si>
    <t>PROC15liquidyesvery lowprof</t>
  </si>
  <si>
    <t>PROC15liquidnohighind</t>
  </si>
  <si>
    <t>PROC15liquidnomediumind</t>
  </si>
  <si>
    <t>PROC15liquidnolowind</t>
  </si>
  <si>
    <t>PROC15liquidnovery lowind</t>
  </si>
  <si>
    <t>PROC15liquidnohighprof</t>
  </si>
  <si>
    <t>PROC15liquidnomediumprof</t>
  </si>
  <si>
    <t>PROC15liquidnolowprof</t>
  </si>
  <si>
    <t>PROC15liquidnovery lowprof</t>
  </si>
  <si>
    <t>PROC16solidyeshighind</t>
  </si>
  <si>
    <t>PROC16solidyesmediumind</t>
  </si>
  <si>
    <t>PROC16solidyeslowind</t>
  </si>
  <si>
    <t>PROC16solidyeshighprof</t>
  </si>
  <si>
    <t>PROC16solidyesmediumprof</t>
  </si>
  <si>
    <t>PROC16solidyeslowprof</t>
  </si>
  <si>
    <t>PROC16solidnohighind</t>
  </si>
  <si>
    <t>PROC16solidnomediumind</t>
  </si>
  <si>
    <t>PROC16solidnolowind</t>
  </si>
  <si>
    <t>PROC16solidnohighprof</t>
  </si>
  <si>
    <t>PROC16solidnomediumprof</t>
  </si>
  <si>
    <t>PROC16solidnolowprof</t>
  </si>
  <si>
    <t>PROC16liquidyeshighind</t>
  </si>
  <si>
    <t>PROC16liquidyesmediumind</t>
  </si>
  <si>
    <t>PROC16liquidyeslowind</t>
  </si>
  <si>
    <t>PROC16liquidyesvery lowind</t>
  </si>
  <si>
    <t>PROC16liquidyeshighprof</t>
  </si>
  <si>
    <t>PROC16liquidyesmediumprof</t>
  </si>
  <si>
    <t>PROC16liquidyeslowprof</t>
  </si>
  <si>
    <t>PROC16liquidyesvery lowprof</t>
  </si>
  <si>
    <t>PROC16liquidnohighind</t>
  </si>
  <si>
    <t>PROC16liquidnomediumind</t>
  </si>
  <si>
    <t>PROC16liquidnolowind</t>
  </si>
  <si>
    <t>PROC16liquidnovery lowind</t>
  </si>
  <si>
    <t>PROC16liquidnohighprof</t>
  </si>
  <si>
    <t>PROC16liquidnomediumprof</t>
  </si>
  <si>
    <t>PROC16liquidnolowprof</t>
  </si>
  <si>
    <t>PROC16liquidnovery lowprof</t>
  </si>
  <si>
    <t>PROC17solidyeshighind</t>
  </si>
  <si>
    <t>PROC17solidyesmediumind</t>
  </si>
  <si>
    <t>PROC17solidyeslowind</t>
  </si>
  <si>
    <t>PROC17solidyeshighprof</t>
  </si>
  <si>
    <t>PROC17solidyesmediumprof</t>
  </si>
  <si>
    <t>PROC17solidyeslowprof</t>
  </si>
  <si>
    <t>PROC17solidnohighind</t>
  </si>
  <si>
    <t>PROC17solidnomediumind</t>
  </si>
  <si>
    <t>PROC17solidnolowind</t>
  </si>
  <si>
    <t>PROC17solidnohighprof</t>
  </si>
  <si>
    <t>PROC17solidnomediumprof</t>
  </si>
  <si>
    <t>PROC17solidnolowprof</t>
  </si>
  <si>
    <t>PROC17liquidyeshighind</t>
  </si>
  <si>
    <t>PROC17liquidyesmediumind</t>
  </si>
  <si>
    <t>PROC17liquidyeslowind</t>
  </si>
  <si>
    <t>PROC17liquidyesvery lowind</t>
  </si>
  <si>
    <t>PROC17liquidyeshighprof</t>
  </si>
  <si>
    <t>PROC17liquidyesmediumprof</t>
  </si>
  <si>
    <t>PROC17liquidyeslowprof</t>
  </si>
  <si>
    <t>PROC17liquidyesvery lowprof</t>
  </si>
  <si>
    <t>PROC17liquidnohighind</t>
  </si>
  <si>
    <t>PROC17liquidnomediumind</t>
  </si>
  <si>
    <t>PROC17liquidnolowind</t>
  </si>
  <si>
    <t>PROC17liquidnovery lowind</t>
  </si>
  <si>
    <t>PROC17liquidnohighprof</t>
  </si>
  <si>
    <t>PROC17liquidnomediumprof</t>
  </si>
  <si>
    <t>PROC17liquidnolowprof</t>
  </si>
  <si>
    <t>PROC17liquidnovery lowprof</t>
  </si>
  <si>
    <t>PROC18solidyeshighind</t>
  </si>
  <si>
    <t>PROC18solidyesmediumind</t>
  </si>
  <si>
    <t>PROC18solidyeslowind</t>
  </si>
  <si>
    <t>PROC18solidyeshighprof</t>
  </si>
  <si>
    <t>PROC18solidyesmediumprof</t>
  </si>
  <si>
    <t>PROC18solidyeslowprof</t>
  </si>
  <si>
    <t>PROC18solidnohighind</t>
  </si>
  <si>
    <t>PROC18solidnomediumind</t>
  </si>
  <si>
    <t>PROC18solidnolowind</t>
  </si>
  <si>
    <t>PROC18solidnohighprof</t>
  </si>
  <si>
    <t>PROC18solidnomediumprof</t>
  </si>
  <si>
    <t>PROC18solidnolowprof</t>
  </si>
  <si>
    <t>PROC18liquidyeshighind</t>
  </si>
  <si>
    <t>PROC18liquidyesmediumind</t>
  </si>
  <si>
    <t>PROC18liquidyeslowind</t>
  </si>
  <si>
    <t>PROC18liquidyesvery lowind</t>
  </si>
  <si>
    <t>PROC18liquidyeshighprof</t>
  </si>
  <si>
    <t>PROC18liquidyesmediumprof</t>
  </si>
  <si>
    <t>PROC18liquidyeslowprof</t>
  </si>
  <si>
    <t>PROC18liquidyesvery lowprof</t>
  </si>
  <si>
    <t>PROC18liquidnohighind</t>
  </si>
  <si>
    <t>PROC18liquidnomediumind</t>
  </si>
  <si>
    <t>PROC18liquidnolowind</t>
  </si>
  <si>
    <t>PROC18liquidnovery lowind</t>
  </si>
  <si>
    <t>PROC18liquidnohighprof</t>
  </si>
  <si>
    <t>PROC18liquidnomediumprof</t>
  </si>
  <si>
    <t>PROC18liquidnolowprof</t>
  </si>
  <si>
    <t>PROC18liquidnovery lowprof</t>
  </si>
  <si>
    <t>PROC19solidyeshighind</t>
  </si>
  <si>
    <t>PROC19solidyesmediumind</t>
  </si>
  <si>
    <t>PROC19solidyeslowind</t>
  </si>
  <si>
    <t>PROC19solidyeshighprof</t>
  </si>
  <si>
    <t>PROC19solidyesmediumprof</t>
  </si>
  <si>
    <t>PROC19solidyeslowprof</t>
  </si>
  <si>
    <t>PROC19solidnohighind</t>
  </si>
  <si>
    <t>PROC19solidnomediumind</t>
  </si>
  <si>
    <t>PROC19solidnolowind</t>
  </si>
  <si>
    <t>PROC19solidnohighprof</t>
  </si>
  <si>
    <t>PROC19solidnomediumprof</t>
  </si>
  <si>
    <t>PROC19solidnolowprof</t>
  </si>
  <si>
    <t>PROC19liquidyeshighind</t>
  </si>
  <si>
    <t>PROC19liquidyesmediumind</t>
  </si>
  <si>
    <t>PROC19liquidyeslowind</t>
  </si>
  <si>
    <t>PROC19liquidyesvery lowind</t>
  </si>
  <si>
    <t>PROC19liquidyeshighprof</t>
  </si>
  <si>
    <t>PROC19liquidyesmediumprof</t>
  </si>
  <si>
    <t>PROC19liquidyeslowprof</t>
  </si>
  <si>
    <t>PROC19liquidyesvery lowprof</t>
  </si>
  <si>
    <t>PROC19liquidnohighind</t>
  </si>
  <si>
    <t>PROC19liquidnomediumind</t>
  </si>
  <si>
    <t>PROC19liquidnolowind</t>
  </si>
  <si>
    <t>PROC19liquidnovery lowind</t>
  </si>
  <si>
    <t>PROC19liquidnohighprof</t>
  </si>
  <si>
    <t>PROC19liquidnomediumprof</t>
  </si>
  <si>
    <t>PROC19liquidnolowprof</t>
  </si>
  <si>
    <t>PROC19liquidnovery lowprof</t>
  </si>
  <si>
    <t>PROC20solidyeshighind</t>
  </si>
  <si>
    <t xml:space="preserve">Industrial use covered by PROC 2 </t>
  </si>
  <si>
    <t>PROC20solidyesmediumind</t>
  </si>
  <si>
    <t>PROC20solidyeslowind</t>
  </si>
  <si>
    <t>PROC20solidyeshighprof</t>
  </si>
  <si>
    <t>PROC20solidyesmediumprof</t>
  </si>
  <si>
    <t>PROC20solidyeslowprof</t>
  </si>
  <si>
    <t>PROC20solidnohighind</t>
  </si>
  <si>
    <t>PROC20solidnomediumind</t>
  </si>
  <si>
    <t>PROC20solidnolowind</t>
  </si>
  <si>
    <t>PROC20solidnohighprof</t>
  </si>
  <si>
    <t>PROC20solidnomediumprof</t>
  </si>
  <si>
    <t>PROC20solidnolowprof</t>
  </si>
  <si>
    <t>PROC20liquidyeshighind</t>
  </si>
  <si>
    <t>PROC20liquidyesmediumind</t>
  </si>
  <si>
    <t>PROC20liquidyeslowind</t>
  </si>
  <si>
    <t>PROC20liquidyesvery lowind</t>
  </si>
  <si>
    <t>PROC20liquidyeshighprof</t>
  </si>
  <si>
    <t>PROC20liquidyesmediumprof</t>
  </si>
  <si>
    <t>PROC20liquidyeslowprof</t>
  </si>
  <si>
    <t>PROC20liquidyesvery lowprof</t>
  </si>
  <si>
    <t>PROC20liquidnohighind</t>
  </si>
  <si>
    <t>PROC20liquidnomediumind</t>
  </si>
  <si>
    <t>PROC20liquidnolowind</t>
  </si>
  <si>
    <t>PROC20liquidnovery lowind</t>
  </si>
  <si>
    <t>PROC20liquidnohighprof</t>
  </si>
  <si>
    <t>PROC20liquidnomediumprof</t>
  </si>
  <si>
    <t>PROC20liquidnolowprof</t>
  </si>
  <si>
    <t>PROC20liquidnovery lowprof</t>
  </si>
  <si>
    <t>PROC21solidyeshighind</t>
  </si>
  <si>
    <t>PROC21solidyesmediumind</t>
  </si>
  <si>
    <t>PROC21solidyeslowind</t>
  </si>
  <si>
    <t>PROC21solidyeshighprof</t>
  </si>
  <si>
    <t>PROC21solidyesmediumprof</t>
  </si>
  <si>
    <t>PROC21solidyeslowprof</t>
  </si>
  <si>
    <t>PROC21solidnohighind</t>
  </si>
  <si>
    <t>PROC21solidnomediumind</t>
  </si>
  <si>
    <t>PROC21solidnolowind</t>
  </si>
  <si>
    <t>PROC21solidnohighprof</t>
  </si>
  <si>
    <t>PROC21solidnomediumprof</t>
  </si>
  <si>
    <t>PROC21solidnolowprof</t>
  </si>
  <si>
    <t>PROC21liquidyeshighind</t>
  </si>
  <si>
    <t>Only for solids</t>
  </si>
  <si>
    <t>PROC21liquidyesmediumind</t>
  </si>
  <si>
    <t>PROC21liquidyeslowind</t>
  </si>
  <si>
    <t>PROC21liquidyesvery lowind</t>
  </si>
  <si>
    <t>PROC21liquidyeshighprof</t>
  </si>
  <si>
    <t>PROC21liquidyesmediumprof</t>
  </si>
  <si>
    <t>PROC21liquidyeslowprof</t>
  </si>
  <si>
    <t>PROC21liquidyesvery lowprof</t>
  </si>
  <si>
    <t>PROC21liquidnohighind</t>
  </si>
  <si>
    <t>PROC21liquidnomediumind</t>
  </si>
  <si>
    <t>PROC21liquidnolowind</t>
  </si>
  <si>
    <t>PROC21liquidnovery lowind</t>
  </si>
  <si>
    <t>PROC21liquidnohighprof</t>
  </si>
  <si>
    <t>PROC21liquidnomediumprof</t>
  </si>
  <si>
    <t>PROC21liquidnolowprof</t>
  </si>
  <si>
    <t>PROC21liquidnovery lowprof</t>
  </si>
  <si>
    <t>PROC22solidyeshighind</t>
  </si>
  <si>
    <t>PROC22solidyesmediumind</t>
  </si>
  <si>
    <t>PROC22solidyeslowind</t>
  </si>
  <si>
    <t>PROC22solidyeshighprof</t>
  </si>
  <si>
    <t>PROC22 only for industrial use</t>
  </si>
  <si>
    <t>PROC22solidyesmediumprof</t>
  </si>
  <si>
    <t>PROC22solidyeslowprof</t>
  </si>
  <si>
    <t>PROC22solidnohighind</t>
  </si>
  <si>
    <t>PROC22solidnomediumind</t>
  </si>
  <si>
    <t>PROC22solidnolowind</t>
  </si>
  <si>
    <t>PROC22solidnohighprof</t>
  </si>
  <si>
    <t>PROC22solidnomediumprof</t>
  </si>
  <si>
    <t>PROC22solidnolowprof</t>
  </si>
  <si>
    <t>PROC22liquidyeshighind</t>
  </si>
  <si>
    <t>PROC22liquidyesmediumind</t>
  </si>
  <si>
    <t>PROC22liquidyeslowind</t>
  </si>
  <si>
    <t>PROC22liquidyesvery lowind</t>
  </si>
  <si>
    <t>PROC22liquidyeshighprof</t>
  </si>
  <si>
    <t>PROC22liquidyesmediumprof</t>
  </si>
  <si>
    <t>PROC22liquidyeslowprof</t>
  </si>
  <si>
    <t>PROC22liquidyesvery lowprof</t>
  </si>
  <si>
    <t>PROC22liquidnohighind</t>
  </si>
  <si>
    <t>PROC22liquidnomediumind</t>
  </si>
  <si>
    <t>PROC22liquidnolowind</t>
  </si>
  <si>
    <t>PROC22liquidnovery lowind</t>
  </si>
  <si>
    <t>PROC22liquidnohighprof</t>
  </si>
  <si>
    <t>PROC22liquidnomediumprof</t>
  </si>
  <si>
    <t>PROC22liquidnolowprof</t>
  </si>
  <si>
    <t>PROC22liquidnovery lowprof</t>
  </si>
  <si>
    <t>PROC23solidyeshighind</t>
  </si>
  <si>
    <t>PROC23solidyesmediumind</t>
  </si>
  <si>
    <t>PROC23solidyeslowind</t>
  </si>
  <si>
    <t>PROC23solidyeshighprof</t>
  </si>
  <si>
    <t>PROC23solidyesmediumprof</t>
  </si>
  <si>
    <t>PROC23solidyeslowprof</t>
  </si>
  <si>
    <t>PROC23solidnohighind</t>
  </si>
  <si>
    <t>PROC23solidnomediumind</t>
  </si>
  <si>
    <t>PROC23solidnolowind</t>
  </si>
  <si>
    <t>PROC23solidnohighprof</t>
  </si>
  <si>
    <t>PROC23solidnomediumprof</t>
  </si>
  <si>
    <t>PROC23solidnolowprof</t>
  </si>
  <si>
    <t>PROC23liquidyeshighind</t>
  </si>
  <si>
    <t>PROC23liquidyesmediumind</t>
  </si>
  <si>
    <t>PROC23liquidyeslowind</t>
  </si>
  <si>
    <t>PROC23liquidyesvery lowind</t>
  </si>
  <si>
    <t>PROC23liquidyeshighprof</t>
  </si>
  <si>
    <t>PROC23liquidyesmediumprof</t>
  </si>
  <si>
    <t>PROC23liquidyeslowprof</t>
  </si>
  <si>
    <t>PROC23liquidyesvery lowprof</t>
  </si>
  <si>
    <t>PROC23liquidnohighind</t>
  </si>
  <si>
    <t>PROC23liquidnomediumind</t>
  </si>
  <si>
    <t>PROC23liquidnolowind</t>
  </si>
  <si>
    <t>PROC23liquidnovery lowind</t>
  </si>
  <si>
    <t>PROC23liquidnohighprof</t>
  </si>
  <si>
    <t>PROC23liquidnomediumprof</t>
  </si>
  <si>
    <t>PROC23liquidnolowprof</t>
  </si>
  <si>
    <t>PROC23liquidnovery lowprof</t>
  </si>
  <si>
    <t>PROC24solidyeshighind</t>
  </si>
  <si>
    <t>PROC24solidyesmediumind</t>
  </si>
  <si>
    <t>PROC24solidyeslowind</t>
  </si>
  <si>
    <t>PROC24solidyeshighprof</t>
  </si>
  <si>
    <t>PROC24solidyesmediumprof</t>
  </si>
  <si>
    <t>PROC24solidyeslowprof</t>
  </si>
  <si>
    <t>PROC24solidnohighind</t>
  </si>
  <si>
    <t>PROC24solidnomediumind</t>
  </si>
  <si>
    <t>PROC24solidnolowind</t>
  </si>
  <si>
    <t>PROC24solidnohighprof</t>
  </si>
  <si>
    <t>PROC24solidnomediumprof</t>
  </si>
  <si>
    <t>PROC24solidnolowprof</t>
  </si>
  <si>
    <t>PROC24liquidyeshighind</t>
  </si>
  <si>
    <t>PROC24liquidyesmediumind</t>
  </si>
  <si>
    <t>PROC24liquidyesvery lowind</t>
  </si>
  <si>
    <t>PROC24liquidyeshighprof</t>
  </si>
  <si>
    <t>PROC24liquidyesmediumprof</t>
  </si>
  <si>
    <t>PROC24liquidyeslowprof</t>
  </si>
  <si>
    <t>PROC24liquidyesvery lowprof</t>
  </si>
  <si>
    <t>PROC24liquidnohighind</t>
  </si>
  <si>
    <t>PROC24liquidnomediumind</t>
  </si>
  <si>
    <t>PROC24liquidnolowind</t>
  </si>
  <si>
    <t>PROC24liquidnovery lowind</t>
  </si>
  <si>
    <t>PROC24liquidnohighprof</t>
  </si>
  <si>
    <t>PROC24liquidnomediumprof</t>
  </si>
  <si>
    <t>PROC24liquidnolowprof</t>
  </si>
  <si>
    <t>PROC24liquidnovery lowprof</t>
  </si>
  <si>
    <t>PROC25solidyeshighind</t>
  </si>
  <si>
    <t>PROC25solidyesmediumind</t>
  </si>
  <si>
    <t>PROC25solidyeslowind</t>
  </si>
  <si>
    <t>PROC25solidyeshighprof</t>
  </si>
  <si>
    <t>PROC25solidyesmediumprof</t>
  </si>
  <si>
    <t>PROC25solidyeslowprof</t>
  </si>
  <si>
    <t>PROC25solidnohighind</t>
  </si>
  <si>
    <t>PROC25solidnomediumind</t>
  </si>
  <si>
    <t>PROC25solidnolowind</t>
  </si>
  <si>
    <t>PROC25solidnohighprof</t>
  </si>
  <si>
    <t>PROC25solidnomediumprof</t>
  </si>
  <si>
    <t>PROC25solidnolowprof</t>
  </si>
  <si>
    <t>PROC25liquidyeshighind</t>
  </si>
  <si>
    <t>PROC25liquidyesmediumind</t>
  </si>
  <si>
    <t>PROC25liquidyeslowind</t>
  </si>
  <si>
    <t>PROC25liquidyesvery lowind</t>
  </si>
  <si>
    <t>PROC25liquidyeshighprof</t>
  </si>
  <si>
    <t>PROC25liquidyesmediumprof</t>
  </si>
  <si>
    <t>PROC25liquidyeslowprof</t>
  </si>
  <si>
    <t>PROC25liquidyesvery lowprof</t>
  </si>
  <si>
    <t>PROC25liquidnohighind</t>
  </si>
  <si>
    <t>PROC25liquidnomediumind</t>
  </si>
  <si>
    <t>PROC25liquidnolowind</t>
  </si>
  <si>
    <t>PROC25liquidnovery lowind</t>
  </si>
  <si>
    <t>PROC25liquidnohighprof</t>
  </si>
  <si>
    <t>PROC25liquidnomediumprof</t>
  </si>
  <si>
    <t>PROC25liquidnolowprof</t>
  </si>
  <si>
    <t>PROC25liquidnovery lowprof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</si>
</sst>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21" x14ac:knownFonts="1">
    <font>
      <sz val="11"/>
      <color theme="1"/>
      <name val="Calibri"/>
      <family val="2"/>
      <scheme val="minor"/>
    </font>
    <font>
      <sz val="8"/>
      <name val="Calibri"/>
      <family val="2"/>
      <scheme val="minor"/>
    </font>
    <font>
      <sz val="10"/>
      <color theme="1"/>
      <name val="Calibri"/>
      <family val="2"/>
    </font>
    <font>
      <b/>
      <sz val="11"/>
      <color theme="1"/>
      <name val="Calibri"/>
      <family val="2"/>
      <scheme val="minor"/>
    </font>
    <font>
      <b/>
      <sz val="10"/>
      <name val="Arial"/>
      <family val="2"/>
    </font>
    <font>
      <b/>
      <sz val="10"/>
      <color theme="1"/>
      <name val="Calibri"/>
      <family val="2"/>
    </font>
    <font>
      <sz val="10"/>
      <name val="Calibri"/>
      <family val="2"/>
    </font>
    <font>
      <b/>
      <sz val="11"/>
      <name val="Calibri"/>
      <family val="2"/>
      <scheme val="minor"/>
    </font>
    <font>
      <sz val="11"/>
      <color indexed="8"/>
      <name val="Calibri"/>
      <family val="2"/>
      <scheme val="minor"/>
    </font>
    <font>
      <b/>
      <i/>
      <sz val="11"/>
      <color indexed="8"/>
      <name val="Calibri"/>
      <family val="2"/>
      <scheme val="minor"/>
    </font>
    <font>
      <b/>
      <i/>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b/>
      <sz val="10"/>
      <color theme="0"/>
      <name val="Arial"/>
      <family val="2"/>
    </font>
    <font>
      <b/>
      <sz val="11"/>
      <color theme="0"/>
      <name val="Calibri"/>
      <family val="2"/>
    </font>
    <font>
      <sz val="14"/>
      <color theme="1"/>
      <name val="Calibri"/>
      <family val="2"/>
      <scheme val="minor"/>
    </font>
    <font>
      <b/>
      <sz val="18"/>
      <color theme="0"/>
      <name val="Calibri"/>
      <family val="2"/>
      <scheme val="minor"/>
    </font>
    <font>
      <sz val="18"/>
      <color theme="1"/>
      <name val="Calibri"/>
      <family val="2"/>
      <scheme val="minor"/>
    </font>
    <font>
      <b/>
      <sz val="14"/>
      <color theme="1"/>
      <name val="Calibri"/>
      <family val="2"/>
      <scheme val="minor"/>
    </font>
    <font>
      <b/>
      <sz val="12"/>
      <color rgb="FFFF000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rgb="FF009F65"/>
        <bgColor indexed="64"/>
      </patternFill>
    </fill>
    <fill>
      <patternFill patternType="solid">
        <fgColor rgb="FF7EE9B2"/>
        <bgColor indexed="64"/>
      </patternFill>
    </fill>
    <fill>
      <patternFill patternType="solid">
        <fgColor rgb="FFFFFFCC"/>
        <bgColor indexed="64"/>
      </patternFill>
    </fill>
  </fills>
  <borders count="25">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right style="thin">
        <color indexed="64"/>
      </right>
      <top/>
      <bottom style="medium">
        <color indexed="64"/>
      </bottom>
      <diagonal/>
    </border>
  </borders>
  <cellStyleXfs count="1">
    <xf numFmtId="0" fontId="0" fillId="0" borderId="0"/>
  </cellStyleXfs>
  <cellXfs count="134">
    <xf numFmtId="0" fontId="0" fillId="0" borderId="0" xfId="0"/>
    <xf numFmtId="0" fontId="2" fillId="0" borderId="0" xfId="0" applyFont="1" applyAlignment="1">
      <alignment horizontal="left"/>
    </xf>
    <xf numFmtId="49" fontId="0" fillId="0" borderId="0" xfId="0" applyNumberFormat="1" applyAlignment="1" applyProtection="1">
      <alignment vertical="center"/>
      <protection hidden="1"/>
    </xf>
    <xf numFmtId="2" fontId="0" fillId="0" borderId="0" xfId="0" applyNumberFormat="1" applyAlignment="1" applyProtection="1">
      <alignment vertical="center"/>
      <protection hidden="1"/>
    </xf>
    <xf numFmtId="0" fontId="0" fillId="0" borderId="0" xfId="0" applyAlignment="1" applyProtection="1">
      <alignment vertical="center"/>
      <protection hidden="1"/>
    </xf>
    <xf numFmtId="0" fontId="5" fillId="0" borderId="1" xfId="0" applyFont="1" applyBorder="1" applyAlignment="1">
      <alignment horizontal="left"/>
    </xf>
    <xf numFmtId="49" fontId="5" fillId="0" borderId="1" xfId="0" applyNumberFormat="1" applyFont="1" applyBorder="1" applyAlignment="1">
      <alignment horizontal="left"/>
    </xf>
    <xf numFmtId="49" fontId="2" fillId="0" borderId="0" xfId="0" applyNumberFormat="1" applyFont="1" applyAlignment="1">
      <alignment horizontal="left"/>
    </xf>
    <xf numFmtId="0" fontId="2" fillId="0" borderId="0" xfId="0" applyFont="1" applyAlignment="1">
      <alignment horizontal="left" vertical="top"/>
    </xf>
    <xf numFmtId="0" fontId="2" fillId="0" borderId="1" xfId="0" applyFont="1" applyBorder="1" applyAlignment="1">
      <alignment horizontal="left"/>
    </xf>
    <xf numFmtId="49" fontId="2" fillId="0" borderId="1" xfId="0" applyNumberFormat="1" applyFont="1" applyBorder="1" applyAlignment="1">
      <alignment horizontal="left"/>
    </xf>
    <xf numFmtId="0" fontId="2" fillId="0" borderId="0" xfId="0" applyFont="1"/>
    <xf numFmtId="0" fontId="2" fillId="3" borderId="0" xfId="0" applyFont="1" applyFill="1" applyAlignment="1">
      <alignment horizontal="left"/>
    </xf>
    <xf numFmtId="0" fontId="2" fillId="3" borderId="1" xfId="0" applyFont="1" applyFill="1" applyBorder="1" applyAlignment="1">
      <alignment horizontal="left"/>
    </xf>
    <xf numFmtId="0" fontId="2" fillId="2" borderId="0" xfId="0" applyFont="1" applyFill="1" applyAlignment="1">
      <alignment horizontal="left"/>
    </xf>
    <xf numFmtId="2" fontId="0" fillId="4" borderId="5" xfId="0" applyNumberFormat="1" applyFill="1" applyBorder="1" applyAlignment="1" applyProtection="1">
      <alignment horizontal="center" vertical="center"/>
      <protection hidden="1"/>
    </xf>
    <xf numFmtId="0" fontId="0" fillId="4" borderId="5" xfId="0" applyFill="1" applyBorder="1" applyAlignment="1" applyProtection="1">
      <alignment vertical="center"/>
      <protection hidden="1"/>
    </xf>
    <xf numFmtId="166" fontId="0" fillId="4" borderId="5" xfId="0" applyNumberFormat="1" applyFill="1" applyBorder="1" applyAlignment="1" applyProtection="1">
      <alignment horizontal="right" vertical="center" wrapText="1"/>
      <protection hidden="1"/>
    </xf>
    <xf numFmtId="2" fontId="0" fillId="4" borderId="0" xfId="0" applyNumberFormat="1" applyFill="1" applyAlignment="1" applyProtection="1">
      <alignment vertical="center"/>
      <protection hidden="1"/>
    </xf>
    <xf numFmtId="49" fontId="0" fillId="4" borderId="0" xfId="0" applyNumberFormat="1" applyFill="1" applyAlignment="1" applyProtection="1">
      <alignment vertical="center"/>
      <protection hidden="1"/>
    </xf>
    <xf numFmtId="164" fontId="0" fillId="4" borderId="0" xfId="0" applyNumberFormat="1" applyFill="1" applyAlignment="1" applyProtection="1">
      <alignment vertical="center" wrapText="1"/>
      <protection hidden="1"/>
    </xf>
    <xf numFmtId="49" fontId="0" fillId="4" borderId="0" xfId="0" applyNumberFormat="1" applyFill="1" applyAlignment="1" applyProtection="1">
      <alignment vertical="center" wrapText="1"/>
      <protection hidden="1"/>
    </xf>
    <xf numFmtId="164" fontId="0" fillId="0" borderId="0" xfId="0" applyNumberFormat="1" applyAlignment="1" applyProtection="1">
      <alignment vertical="center" wrapText="1"/>
      <protection hidden="1"/>
    </xf>
    <xf numFmtId="49" fontId="0" fillId="0" borderId="0" xfId="0" applyNumberFormat="1" applyAlignment="1" applyProtection="1">
      <alignment vertical="center" wrapText="1"/>
      <protection hidden="1"/>
    </xf>
    <xf numFmtId="0" fontId="0" fillId="4" borderId="0" xfId="0" applyFill="1" applyAlignment="1" applyProtection="1">
      <alignment horizontal="left" vertical="center"/>
      <protection hidden="1"/>
    </xf>
    <xf numFmtId="0" fontId="0" fillId="0" borderId="0" xfId="0" applyAlignment="1" applyProtection="1">
      <alignment horizontal="left" vertical="center"/>
      <protection hidden="1"/>
    </xf>
    <xf numFmtId="165" fontId="0" fillId="4" borderId="5" xfId="0" applyNumberFormat="1" applyFill="1" applyBorder="1" applyAlignment="1" applyProtection="1">
      <alignment horizontal="left" vertical="top" wrapText="1"/>
      <protection hidden="1"/>
    </xf>
    <xf numFmtId="165" fontId="0" fillId="4" borderId="0" xfId="0" applyNumberFormat="1" applyFill="1" applyAlignment="1" applyProtection="1">
      <alignment horizontal="left" vertical="top" wrapText="1"/>
      <protection hidden="1"/>
    </xf>
    <xf numFmtId="0" fontId="0" fillId="4" borderId="0" xfId="0" applyFill="1" applyAlignment="1" applyProtection="1">
      <alignment vertical="center"/>
      <protection hidden="1"/>
    </xf>
    <xf numFmtId="0" fontId="0" fillId="4" borderId="0" xfId="0" applyFill="1" applyAlignment="1" applyProtection="1">
      <alignment horizontal="left" vertical="top" wrapText="1"/>
      <protection hidden="1"/>
    </xf>
    <xf numFmtId="0" fontId="0" fillId="0" borderId="0" xfId="0" applyAlignment="1" applyProtection="1">
      <alignment horizontal="left" vertical="top" wrapText="1"/>
      <protection hidden="1"/>
    </xf>
    <xf numFmtId="11" fontId="0" fillId="4" borderId="0" xfId="0" applyNumberFormat="1" applyFill="1" applyAlignment="1" applyProtection="1">
      <alignment horizontal="center" vertical="center" wrapText="1"/>
      <protection hidden="1"/>
    </xf>
    <xf numFmtId="11" fontId="0" fillId="4" borderId="0" xfId="0" applyNumberFormat="1" applyFill="1" applyAlignment="1" applyProtection="1">
      <alignment horizontal="center" vertical="center"/>
      <protection hidden="1"/>
    </xf>
    <xf numFmtId="11" fontId="0" fillId="0" borderId="0" xfId="0" applyNumberFormat="1" applyAlignment="1" applyProtection="1">
      <alignment horizontal="center" vertical="center" wrapText="1"/>
      <protection hidden="1"/>
    </xf>
    <xf numFmtId="11" fontId="0" fillId="0" borderId="0" xfId="0" applyNumberFormat="1" applyAlignment="1" applyProtection="1">
      <alignment horizontal="center" vertical="center"/>
      <protection hidden="1"/>
    </xf>
    <xf numFmtId="49" fontId="0" fillId="4" borderId="0" xfId="0" applyNumberFormat="1" applyFill="1" applyAlignment="1" applyProtection="1">
      <alignment horizontal="center" vertical="center"/>
      <protection hidden="1"/>
    </xf>
    <xf numFmtId="49" fontId="0" fillId="0" borderId="0" xfId="0" applyNumberFormat="1" applyAlignment="1" applyProtection="1">
      <alignment horizontal="center" vertical="center"/>
      <protection hidden="1"/>
    </xf>
    <xf numFmtId="0" fontId="0" fillId="4" borderId="0" xfId="0" applyFill="1" applyAlignment="1" applyProtection="1">
      <alignment horizontal="center" vertical="center"/>
      <protection hidden="1"/>
    </xf>
    <xf numFmtId="0" fontId="0" fillId="0" borderId="0" xfId="0" applyAlignment="1" applyProtection="1">
      <alignment horizontal="center" vertical="center"/>
      <protection hidden="1"/>
    </xf>
    <xf numFmtId="2" fontId="3" fillId="0" borderId="6" xfId="0" applyNumberFormat="1" applyFont="1" applyBorder="1" applyAlignment="1" applyProtection="1">
      <alignment vertical="center"/>
      <protection hidden="1"/>
    </xf>
    <xf numFmtId="2" fontId="0" fillId="0" borderId="7" xfId="0" applyNumberFormat="1" applyBorder="1" applyAlignment="1" applyProtection="1">
      <alignment vertical="center"/>
      <protection hidden="1"/>
    </xf>
    <xf numFmtId="2" fontId="0" fillId="0" borderId="8" xfId="0" applyNumberFormat="1" applyBorder="1" applyAlignment="1" applyProtection="1">
      <alignment vertical="center"/>
      <protection hidden="1"/>
    </xf>
    <xf numFmtId="2" fontId="0" fillId="0" borderId="9" xfId="0" applyNumberFormat="1" applyBorder="1" applyAlignment="1" applyProtection="1">
      <alignment vertical="center"/>
      <protection hidden="1"/>
    </xf>
    <xf numFmtId="2" fontId="0" fillId="0" borderId="10" xfId="0" applyNumberFormat="1" applyBorder="1" applyAlignment="1" applyProtection="1">
      <alignment vertical="center"/>
      <protection hidden="1"/>
    </xf>
    <xf numFmtId="2" fontId="0" fillId="0" borderId="11" xfId="0" applyNumberFormat="1" applyBorder="1" applyAlignment="1" applyProtection="1">
      <alignment vertical="center"/>
      <protection hidden="1"/>
    </xf>
    <xf numFmtId="2" fontId="0" fillId="0" borderId="1" xfId="0" applyNumberFormat="1" applyBorder="1" applyAlignment="1" applyProtection="1">
      <alignment vertical="center"/>
      <protection hidden="1"/>
    </xf>
    <xf numFmtId="2" fontId="0" fillId="0" borderId="12" xfId="0" applyNumberFormat="1" applyBorder="1" applyAlignment="1" applyProtection="1">
      <alignment vertical="center"/>
      <protection hidden="1"/>
    </xf>
    <xf numFmtId="49" fontId="0" fillId="4" borderId="5" xfId="0" applyNumberFormat="1" applyFill="1" applyBorder="1" applyAlignment="1" applyProtection="1">
      <alignment horizontal="left" vertical="center"/>
      <protection hidden="1"/>
    </xf>
    <xf numFmtId="0" fontId="0" fillId="4" borderId="5" xfId="0" applyFill="1" applyBorder="1" applyAlignment="1" applyProtection="1">
      <alignment horizontal="left" vertical="top" wrapText="1"/>
      <protection hidden="1"/>
    </xf>
    <xf numFmtId="0" fontId="6" fillId="0" borderId="0" xfId="0" applyFont="1" applyAlignment="1">
      <alignment horizontal="left"/>
    </xf>
    <xf numFmtId="0" fontId="6" fillId="0" borderId="0" xfId="0" applyFont="1" applyAlignment="1">
      <alignment horizontal="left" vertical="top"/>
    </xf>
    <xf numFmtId="49" fontId="0" fillId="5" borderId="0" xfId="0" applyNumberFormat="1" applyFill="1" applyAlignment="1" applyProtection="1">
      <alignment horizontal="center" vertical="center"/>
      <protection hidden="1"/>
    </xf>
    <xf numFmtId="0" fontId="0" fillId="5" borderId="0" xfId="0" applyFill="1" applyAlignment="1" applyProtection="1">
      <alignment horizontal="center" vertical="center"/>
      <protection hidden="1"/>
    </xf>
    <xf numFmtId="0" fontId="0" fillId="5" borderId="0" xfId="0" applyFill="1" applyAlignment="1" applyProtection="1">
      <alignment vertical="center"/>
      <protection hidden="1"/>
    </xf>
    <xf numFmtId="14" fontId="0" fillId="5" borderId="0" xfId="0" applyNumberFormat="1" applyFill="1" applyAlignment="1" applyProtection="1">
      <alignment vertical="center"/>
      <protection hidden="1"/>
    </xf>
    <xf numFmtId="0" fontId="12" fillId="5" borderId="0" xfId="0" applyFont="1" applyFill="1" applyAlignment="1" applyProtection="1">
      <alignment vertical="center"/>
      <protection hidden="1"/>
    </xf>
    <xf numFmtId="0" fontId="0" fillId="5" borderId="0" xfId="0" applyFill="1" applyAlignment="1" applyProtection="1">
      <alignment horizontal="left" vertical="center"/>
      <protection hidden="1"/>
    </xf>
    <xf numFmtId="0" fontId="11" fillId="5" borderId="0" xfId="0" applyFont="1" applyFill="1" applyAlignment="1" applyProtection="1">
      <alignment horizontal="right" vertical="center"/>
      <protection hidden="1"/>
    </xf>
    <xf numFmtId="0" fontId="12" fillId="5" borderId="0" xfId="0" applyFont="1" applyFill="1" applyAlignment="1" applyProtection="1">
      <alignment horizontal="right" vertical="center"/>
      <protection hidden="1"/>
    </xf>
    <xf numFmtId="0" fontId="3" fillId="5" borderId="0" xfId="0" applyFont="1" applyFill="1" applyAlignment="1" applyProtection="1">
      <alignment horizontal="left" vertical="center"/>
      <protection hidden="1"/>
    </xf>
    <xf numFmtId="0" fontId="11" fillId="5" borderId="0" xfId="0" applyFont="1" applyFill="1" applyAlignment="1" applyProtection="1">
      <alignment vertical="center"/>
      <protection hidden="1"/>
    </xf>
    <xf numFmtId="0" fontId="11" fillId="5" borderId="5" xfId="0" applyFont="1" applyFill="1" applyBorder="1" applyAlignment="1" applyProtection="1">
      <alignment vertical="center"/>
      <protection hidden="1"/>
    </xf>
    <xf numFmtId="0" fontId="14" fillId="5" borderId="5" xfId="0" applyFont="1" applyFill="1" applyBorder="1" applyAlignment="1" applyProtection="1">
      <alignment horizontal="left" vertical="center"/>
      <protection hidden="1"/>
    </xf>
    <xf numFmtId="49" fontId="11" fillId="5" borderId="5" xfId="0" applyNumberFormat="1" applyFont="1" applyFill="1" applyBorder="1" applyAlignment="1" applyProtection="1">
      <alignment horizontal="center" vertical="center"/>
      <protection hidden="1"/>
    </xf>
    <xf numFmtId="49" fontId="11" fillId="5" borderId="5" xfId="0" applyNumberFormat="1" applyFont="1" applyFill="1" applyBorder="1" applyAlignment="1" applyProtection="1">
      <alignment horizontal="center" vertical="center" wrapText="1"/>
      <protection hidden="1"/>
    </xf>
    <xf numFmtId="49" fontId="11" fillId="5" borderId="0" xfId="0" applyNumberFormat="1" applyFont="1" applyFill="1" applyAlignment="1" applyProtection="1">
      <alignment horizontal="left" vertical="top"/>
      <protection hidden="1"/>
    </xf>
    <xf numFmtId="49" fontId="12" fillId="5" borderId="0" xfId="0" applyNumberFormat="1" applyFont="1" applyFill="1" applyAlignment="1" applyProtection="1">
      <alignment horizontal="center" vertical="center"/>
      <protection hidden="1"/>
    </xf>
    <xf numFmtId="49" fontId="12" fillId="5" borderId="0" xfId="0" applyNumberFormat="1" applyFont="1" applyFill="1" applyAlignment="1" applyProtection="1">
      <alignment horizontal="left" vertical="top"/>
      <protection hidden="1"/>
    </xf>
    <xf numFmtId="49" fontId="11" fillId="5" borderId="0" xfId="0" applyNumberFormat="1" applyFont="1" applyFill="1" applyAlignment="1" applyProtection="1">
      <alignment horizontal="center" vertical="center"/>
      <protection hidden="1"/>
    </xf>
    <xf numFmtId="11" fontId="11" fillId="5" borderId="0" xfId="0" applyNumberFormat="1" applyFont="1" applyFill="1" applyAlignment="1" applyProtection="1">
      <alignment horizontal="center" vertical="center" wrapText="1"/>
      <protection hidden="1"/>
    </xf>
    <xf numFmtId="11" fontId="0" fillId="5" borderId="0" xfId="0" applyNumberFormat="1" applyFill="1" applyAlignment="1" applyProtection="1">
      <alignment horizontal="center" vertical="center" wrapText="1"/>
      <protection hidden="1"/>
    </xf>
    <xf numFmtId="11" fontId="0" fillId="5" borderId="0" xfId="0" applyNumberFormat="1" applyFill="1" applyAlignment="1" applyProtection="1">
      <alignment horizontal="center" vertical="center"/>
      <protection hidden="1"/>
    </xf>
    <xf numFmtId="11" fontId="12" fillId="5" borderId="0" xfId="0" applyNumberFormat="1" applyFont="1" applyFill="1" applyAlignment="1" applyProtection="1">
      <alignment horizontal="center" vertical="center" wrapText="1"/>
      <protection hidden="1"/>
    </xf>
    <xf numFmtId="11" fontId="12" fillId="5" borderId="0" xfId="0" applyNumberFormat="1" applyFont="1" applyFill="1" applyAlignment="1" applyProtection="1">
      <alignment horizontal="center" vertical="center"/>
      <protection hidden="1"/>
    </xf>
    <xf numFmtId="11" fontId="11" fillId="5" borderId="5" xfId="0" applyNumberFormat="1" applyFont="1" applyFill="1" applyBorder="1" applyAlignment="1" applyProtection="1">
      <alignment horizontal="center" vertical="top" wrapText="1"/>
      <protection hidden="1"/>
    </xf>
    <xf numFmtId="0" fontId="11" fillId="5" borderId="5" xfId="0" applyFont="1" applyFill="1" applyBorder="1" applyAlignment="1" applyProtection="1">
      <alignment horizontal="left" vertical="top" wrapText="1"/>
      <protection hidden="1"/>
    </xf>
    <xf numFmtId="166" fontId="0" fillId="7" borderId="14" xfId="0" applyNumberFormat="1" applyFill="1" applyBorder="1" applyAlignment="1" applyProtection="1">
      <alignment horizontal="center" vertical="center"/>
      <protection locked="0"/>
    </xf>
    <xf numFmtId="0" fontId="0" fillId="7" borderId="0" xfId="0" applyFill="1" applyAlignment="1" applyProtection="1">
      <alignment horizontal="left" vertical="center"/>
      <protection locked="0"/>
    </xf>
    <xf numFmtId="0" fontId="0" fillId="7" borderId="5" xfId="0" applyFill="1" applyBorder="1" applyAlignment="1" applyProtection="1">
      <alignment vertical="top" wrapText="1"/>
      <protection locked="0"/>
    </xf>
    <xf numFmtId="49" fontId="0" fillId="7" borderId="5" xfId="0" applyNumberFormat="1" applyFill="1" applyBorder="1" applyAlignment="1" applyProtection="1">
      <alignment horizontal="center" vertical="center"/>
      <protection locked="0"/>
    </xf>
    <xf numFmtId="0" fontId="0" fillId="6" borderId="13" xfId="0" applyFill="1" applyBorder="1" applyAlignment="1" applyProtection="1">
      <alignment vertical="center"/>
      <protection hidden="1"/>
    </xf>
    <xf numFmtId="49" fontId="0" fillId="6" borderId="0" xfId="0" applyNumberFormat="1" applyFill="1" applyAlignment="1" applyProtection="1">
      <alignment horizontal="center" vertical="center"/>
      <protection hidden="1"/>
    </xf>
    <xf numFmtId="49" fontId="3" fillId="6" borderId="0" xfId="0" applyNumberFormat="1" applyFont="1" applyFill="1" applyAlignment="1" applyProtection="1">
      <alignment horizontal="center" vertical="center"/>
      <protection hidden="1"/>
    </xf>
    <xf numFmtId="11" fontId="0" fillId="6" borderId="14" xfId="0" applyNumberFormat="1" applyFill="1" applyBorder="1" applyAlignment="1" applyProtection="1">
      <alignment horizontal="center" vertical="center"/>
      <protection hidden="1"/>
    </xf>
    <xf numFmtId="49" fontId="0" fillId="6" borderId="15" xfId="0" applyNumberFormat="1" applyFill="1" applyBorder="1" applyAlignment="1" applyProtection="1">
      <alignment horizontal="center" vertical="center"/>
      <protection hidden="1"/>
    </xf>
    <xf numFmtId="0" fontId="0" fillId="6" borderId="16" xfId="0" applyFill="1" applyBorder="1" applyAlignment="1" applyProtection="1">
      <alignment horizontal="center" vertical="center"/>
      <protection hidden="1"/>
    </xf>
    <xf numFmtId="49" fontId="0" fillId="6" borderId="16" xfId="0" applyNumberFormat="1" applyFill="1" applyBorder="1" applyAlignment="1" applyProtection="1">
      <alignment horizontal="center" vertical="center"/>
      <protection hidden="1"/>
    </xf>
    <xf numFmtId="11" fontId="0" fillId="6" borderId="17" xfId="0" applyNumberFormat="1" applyFill="1" applyBorder="1" applyAlignment="1" applyProtection="1">
      <alignment horizontal="center" vertical="center"/>
      <protection hidden="1"/>
    </xf>
    <xf numFmtId="0" fontId="13" fillId="5" borderId="0" xfId="0" applyFont="1" applyFill="1" applyAlignment="1" applyProtection="1">
      <alignment vertical="center"/>
      <protection hidden="1"/>
    </xf>
    <xf numFmtId="0" fontId="0" fillId="5" borderId="0" xfId="0" applyFill="1" applyProtection="1">
      <protection hidden="1"/>
    </xf>
    <xf numFmtId="0" fontId="17" fillId="5" borderId="0" xfId="0" applyFont="1" applyFill="1" applyAlignment="1" applyProtection="1">
      <alignment vertical="center"/>
      <protection hidden="1"/>
    </xf>
    <xf numFmtId="0" fontId="18" fillId="5" borderId="0" xfId="0" applyFont="1" applyFill="1" applyProtection="1">
      <protection hidden="1"/>
    </xf>
    <xf numFmtId="0" fontId="0" fillId="7" borderId="20" xfId="0" applyFill="1" applyBorder="1" applyAlignment="1" applyProtection="1">
      <alignment vertical="top" wrapText="1"/>
      <protection locked="0"/>
    </xf>
    <xf numFmtId="0" fontId="3" fillId="0" borderId="0" xfId="0" applyFont="1" applyAlignment="1" applyProtection="1">
      <alignment horizontal="left" vertical="top" wrapText="1"/>
      <protection hidden="1"/>
    </xf>
    <xf numFmtId="2" fontId="4" fillId="0" borderId="0" xfId="0" applyNumberFormat="1" applyFont="1" applyAlignment="1" applyProtection="1">
      <alignment vertical="top" wrapText="1"/>
      <protection hidden="1"/>
    </xf>
    <xf numFmtId="49" fontId="4" fillId="0" borderId="0" xfId="0" applyNumberFormat="1" applyFont="1" applyAlignment="1" applyProtection="1">
      <alignment vertical="top" wrapText="1"/>
      <protection hidden="1"/>
    </xf>
    <xf numFmtId="164" fontId="3" fillId="0" borderId="0" xfId="0" applyNumberFormat="1" applyFont="1" applyAlignment="1" applyProtection="1">
      <alignment vertical="center" wrapText="1"/>
      <protection hidden="1"/>
    </xf>
    <xf numFmtId="49" fontId="3" fillId="0" borderId="0" xfId="0" applyNumberFormat="1" applyFont="1" applyAlignment="1" applyProtection="1">
      <alignment vertical="center" wrapText="1"/>
      <protection hidden="1"/>
    </xf>
    <xf numFmtId="0" fontId="0" fillId="4" borderId="0" xfId="0" applyFill="1" applyAlignment="1" applyProtection="1">
      <alignment vertical="center" wrapText="1"/>
      <protection hidden="1"/>
    </xf>
    <xf numFmtId="0" fontId="8" fillId="6" borderId="5" xfId="0" applyFont="1" applyFill="1" applyBorder="1" applyAlignment="1">
      <alignment horizontal="left" vertical="top" wrapText="1"/>
    </xf>
    <xf numFmtId="0" fontId="8" fillId="6" borderId="21" xfId="0" applyFont="1" applyFill="1" applyBorder="1" applyAlignment="1">
      <alignment horizontal="left" vertical="top" wrapText="1"/>
    </xf>
    <xf numFmtId="0" fontId="8" fillId="6" borderId="20" xfId="0" applyFont="1" applyFill="1" applyBorder="1" applyAlignment="1">
      <alignment horizontal="left" vertical="top" wrapText="1"/>
    </xf>
    <xf numFmtId="0" fontId="9" fillId="6" borderId="22" xfId="0" applyFont="1" applyFill="1" applyBorder="1" applyAlignment="1">
      <alignment horizontal="center" vertical="top" wrapText="1"/>
    </xf>
    <xf numFmtId="11" fontId="10" fillId="6" borderId="22" xfId="0" applyNumberFormat="1" applyFont="1" applyFill="1" applyBorder="1" applyAlignment="1" applyProtection="1">
      <alignment horizontal="left" vertical="center"/>
      <protection hidden="1"/>
    </xf>
    <xf numFmtId="11" fontId="0" fillId="5" borderId="16" xfId="0" applyNumberFormat="1" applyFill="1" applyBorder="1" applyAlignment="1" applyProtection="1">
      <alignment horizontal="center" vertical="center"/>
      <protection hidden="1"/>
    </xf>
    <xf numFmtId="11" fontId="0" fillId="5" borderId="23" xfId="0" applyNumberFormat="1" applyFill="1" applyBorder="1" applyAlignment="1" applyProtection="1">
      <alignment horizontal="center" vertical="center"/>
      <protection hidden="1"/>
    </xf>
    <xf numFmtId="0" fontId="12" fillId="5" borderId="10" xfId="0" applyFont="1" applyFill="1" applyBorder="1" applyAlignment="1" applyProtection="1">
      <alignment horizontal="left" vertical="top" wrapText="1"/>
      <protection hidden="1"/>
    </xf>
    <xf numFmtId="0" fontId="0" fillId="5" borderId="10" xfId="0" applyFill="1" applyBorder="1" applyAlignment="1" applyProtection="1">
      <alignment horizontal="left" vertical="top" wrapText="1"/>
      <protection hidden="1"/>
    </xf>
    <xf numFmtId="0" fontId="0" fillId="5" borderId="24" xfId="0" applyFill="1" applyBorder="1" applyAlignment="1" applyProtection="1">
      <alignment horizontal="left" vertical="top" wrapText="1"/>
      <protection hidden="1"/>
    </xf>
    <xf numFmtId="0" fontId="20" fillId="6" borderId="20" xfId="0" applyFont="1" applyFill="1" applyBorder="1" applyAlignment="1">
      <alignment horizontal="center" vertical="top" wrapText="1"/>
    </xf>
    <xf numFmtId="0" fontId="20" fillId="6" borderId="5" xfId="0" applyFont="1" applyFill="1" applyBorder="1" applyAlignment="1">
      <alignment horizontal="center" vertical="top" wrapText="1"/>
    </xf>
    <xf numFmtId="0" fontId="20" fillId="6" borderId="21" xfId="0" applyFont="1" applyFill="1" applyBorder="1" applyAlignment="1">
      <alignment horizontal="center" vertical="top" wrapText="1"/>
    </xf>
    <xf numFmtId="0" fontId="20" fillId="6" borderId="14" xfId="0" applyFont="1" applyFill="1" applyBorder="1" applyAlignment="1" applyProtection="1">
      <alignment horizontal="center" vertical="center"/>
      <protection hidden="1"/>
    </xf>
    <xf numFmtId="11" fontId="0" fillId="4" borderId="5" xfId="0" applyNumberFormat="1" applyFill="1" applyBorder="1" applyAlignment="1" applyProtection="1">
      <alignment horizontal="center" vertical="center" wrapText="1"/>
      <protection hidden="1"/>
    </xf>
    <xf numFmtId="11" fontId="0" fillId="4" borderId="5" xfId="0" applyNumberFormat="1" applyFill="1" applyBorder="1" applyAlignment="1" applyProtection="1">
      <alignment horizontal="center" vertical="center"/>
      <protection hidden="1"/>
    </xf>
    <xf numFmtId="2" fontId="0" fillId="7" borderId="0" xfId="0" applyNumberFormat="1" applyFill="1" applyAlignment="1" applyProtection="1">
      <alignment horizontal="center" vertical="center"/>
      <protection locked="0"/>
    </xf>
    <xf numFmtId="0" fontId="8" fillId="6" borderId="19" xfId="0" applyFont="1" applyFill="1" applyBorder="1" applyAlignment="1">
      <alignment horizontal="justify" vertical="top" wrapText="1"/>
    </xf>
    <xf numFmtId="0" fontId="8" fillId="6" borderId="21" xfId="0" applyFont="1" applyFill="1" applyBorder="1" applyAlignment="1">
      <alignment horizontal="justify" vertical="top" wrapText="1"/>
    </xf>
    <xf numFmtId="0" fontId="8" fillId="6" borderId="20" xfId="0" applyFont="1" applyFill="1" applyBorder="1" applyAlignment="1">
      <alignment horizontal="justify" vertical="top" wrapText="1"/>
    </xf>
    <xf numFmtId="0" fontId="8" fillId="6" borderId="5" xfId="0" applyFont="1" applyFill="1" applyBorder="1" applyAlignment="1">
      <alignment horizontal="justify" vertical="top" wrapText="1"/>
    </xf>
    <xf numFmtId="0" fontId="8" fillId="6" borderId="12" xfId="0" applyFont="1" applyFill="1" applyBorder="1" applyAlignment="1">
      <alignment horizontal="justify" vertical="top" wrapText="1"/>
    </xf>
    <xf numFmtId="49" fontId="3" fillId="6" borderId="2" xfId="0" applyNumberFormat="1" applyFont="1" applyFill="1" applyBorder="1" applyAlignment="1" applyProtection="1">
      <alignment horizontal="left" vertical="top"/>
      <protection hidden="1"/>
    </xf>
    <xf numFmtId="49" fontId="3" fillId="6" borderId="4" xfId="0" applyNumberFormat="1" applyFont="1" applyFill="1" applyBorder="1" applyAlignment="1" applyProtection="1">
      <alignment horizontal="left" vertical="top"/>
      <protection hidden="1"/>
    </xf>
    <xf numFmtId="49" fontId="3" fillId="6" borderId="3" xfId="0" applyNumberFormat="1" applyFont="1" applyFill="1" applyBorder="1" applyAlignment="1" applyProtection="1">
      <alignment horizontal="left" vertical="top"/>
      <protection hidden="1"/>
    </xf>
    <xf numFmtId="0" fontId="16" fillId="2" borderId="0" xfId="0" applyFont="1" applyFill="1" applyAlignment="1" applyProtection="1">
      <alignment horizontal="left" vertical="top" wrapText="1"/>
      <protection hidden="1"/>
    </xf>
    <xf numFmtId="0" fontId="16" fillId="2" borderId="0" xfId="0" applyFont="1" applyFill="1" applyAlignment="1" applyProtection="1">
      <alignment horizontal="left" vertical="top"/>
      <protection hidden="1"/>
    </xf>
    <xf numFmtId="0" fontId="7" fillId="6" borderId="24" xfId="0" applyFont="1" applyFill="1" applyBorder="1"/>
    <xf numFmtId="0" fontId="7" fillId="6" borderId="22" xfId="0" applyFont="1" applyFill="1" applyBorder="1"/>
    <xf numFmtId="0" fontId="8" fillId="6" borderId="18" xfId="0" applyFont="1" applyFill="1" applyBorder="1" applyAlignment="1">
      <alignment horizontal="justify" vertical="top" wrapText="1"/>
    </xf>
    <xf numFmtId="0" fontId="9" fillId="6" borderId="24" xfId="0" applyFont="1" applyFill="1" applyBorder="1" applyAlignment="1">
      <alignment vertical="top" wrapText="1"/>
    </xf>
    <xf numFmtId="0" fontId="9" fillId="6" borderId="22" xfId="0" applyFont="1" applyFill="1" applyBorder="1" applyAlignment="1">
      <alignment vertical="top" wrapText="1"/>
    </xf>
    <xf numFmtId="0" fontId="3" fillId="6" borderId="13" xfId="0" applyFont="1" applyFill="1" applyBorder="1" applyAlignment="1" applyProtection="1">
      <alignment vertical="center"/>
      <protection hidden="1"/>
    </xf>
    <xf numFmtId="0" fontId="3" fillId="6" borderId="0" xfId="0" applyFont="1" applyFill="1" applyAlignment="1" applyProtection="1">
      <alignment vertical="center"/>
      <protection hidden="1"/>
    </xf>
    <xf numFmtId="0" fontId="0" fillId="7" borderId="0" xfId="0" applyFill="1" applyAlignment="1" applyProtection="1">
      <alignment horizontal="left" vertical="center"/>
      <protection locked="0"/>
    </xf>
  </cellXfs>
  <cellStyles count="1">
    <cellStyle name="Normal" xfId="0" builtinId="0"/>
  </cellStyles>
  <dxfs count="3">
    <dxf>
      <font>
        <b/>
        <i val="0"/>
        <strike val="0"/>
        <color rgb="FFFF0000"/>
      </font>
    </dxf>
    <dxf>
      <border>
        <left/>
        <right/>
        <top/>
        <bottom/>
        <vertical/>
        <horizontal/>
      </border>
    </dxf>
    <dxf>
      <font>
        <b/>
        <i val="0"/>
        <color rgb="FFFF0000"/>
      </font>
    </dxf>
  </dxfs>
  <tableStyles count="0" defaultTableStyle="TableStyleMedium2" defaultPivotStyle="PivotStyleLight16"/>
  <colors>
    <mruColors>
      <color rgb="FF7EE9B2"/>
      <color rgb="FFFFFFCC"/>
      <color rgb="FF009F65"/>
      <color rgb="FF006633"/>
      <color rgb="FFCCFFFF"/>
      <color rgb="FF00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565541</xdr:colOff>
      <xdr:row>1</xdr:row>
      <xdr:rowOff>118305</xdr:rowOff>
    </xdr:from>
    <xdr:to>
      <xdr:col>1</xdr:col>
      <xdr:colOff>439169</xdr:colOff>
      <xdr:row>2</xdr:row>
      <xdr:rowOff>210625</xdr:rowOff>
    </xdr:to>
    <xdr:pic>
      <xdr:nvPicPr>
        <xdr:cNvPr id="12" name="Picture 11" descr="ECETOC">
          <a:extLst>
            <a:ext uri="{FF2B5EF4-FFF2-40B4-BE49-F238E27FC236}">
              <a16:creationId xmlns:a16="http://schemas.microsoft.com/office/drawing/2014/main" id="{59276103-8A5A-4A57-9D9D-A099AC5FDE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541" y="411382"/>
          <a:ext cx="3398953" cy="799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ACB5-54DD-4189-81BC-3742EFCBAD9A}">
  <sheetPr>
    <pageSetUpPr fitToPage="1"/>
  </sheetPr>
  <dimension ref="A1:KW1472"/>
  <sheetViews>
    <sheetView tabSelected="1" zoomScale="70" zoomScaleNormal="78" workbookViewId="0">
      <pane xSplit="2" ySplit="11" topLeftCell="C12" activePane="bottomRight" state="frozen"/>
      <selection pane="topRight" activeCell="C1" sqref="C1"/>
      <selection pane="bottomLeft" activeCell="A12" sqref="A12"/>
      <selection pane="bottomRight" activeCell="B12" sqref="B12"/>
    </sheetView>
  </sheetViews>
  <sheetFormatPr defaultRowHeight="14.4" x14ac:dyDescent="0.3"/>
  <cols>
    <col min="1" max="1" width="51.5546875" style="4" customWidth="1"/>
    <col min="2" max="2" width="11.6640625" style="25" customWidth="1"/>
    <col min="3" max="5" width="10.33203125" style="38" customWidth="1"/>
    <col min="6" max="6" width="30.33203125" style="36" customWidth="1"/>
    <col min="7" max="7" width="11.6640625" style="36" customWidth="1"/>
    <col min="8" max="8" width="13.33203125" style="36" customWidth="1"/>
    <col min="9" max="9" width="5.5546875" style="36" customWidth="1"/>
    <col min="10" max="10" width="9.6640625" style="36" customWidth="1"/>
    <col min="11" max="12" width="12" style="36" customWidth="1"/>
    <col min="13" max="13" width="14.109375" style="33" customWidth="1"/>
    <col min="14" max="14" width="13.6640625" style="34" customWidth="1"/>
    <col min="15" max="15" width="17.33203125" style="34" customWidth="1"/>
    <col min="16" max="16" width="15.109375" style="34" customWidth="1"/>
    <col min="17" max="17" width="11.88671875" style="34" customWidth="1"/>
    <col min="18" max="18" width="11.33203125" style="34" customWidth="1"/>
    <col min="19" max="19" width="12.33203125" style="34" customWidth="1"/>
    <col min="20" max="20" width="14.33203125" style="34" customWidth="1"/>
    <col min="21" max="21" width="80.6640625" style="30" customWidth="1"/>
    <col min="22" max="22" width="9" style="30" hidden="1" customWidth="1"/>
    <col min="23" max="23" width="9.33203125" style="25" hidden="1" customWidth="1"/>
    <col min="24" max="24" width="14.5546875" style="3" hidden="1" customWidth="1"/>
    <col min="25" max="25" width="11.6640625" style="3" hidden="1" customWidth="1"/>
    <col min="26" max="26" width="13.44140625" style="3" hidden="1" customWidth="1"/>
    <col min="27" max="27" width="14.88671875" style="3" hidden="1" customWidth="1"/>
    <col min="28" max="28" width="11" style="3" hidden="1" customWidth="1"/>
    <col min="29" max="29" width="10.33203125" style="3" hidden="1" customWidth="1"/>
    <col min="30" max="30" width="11.88671875" style="3" hidden="1" customWidth="1"/>
    <col min="31" max="31" width="25.44140625" style="2" hidden="1" customWidth="1"/>
    <col min="32" max="32" width="13.109375" style="22" hidden="1" customWidth="1"/>
    <col min="33" max="33" width="11.33203125" style="23" hidden="1" customWidth="1"/>
    <col min="34" max="34" width="11.6640625" style="23" hidden="1" customWidth="1"/>
    <col min="35" max="35" width="5.44140625" style="2" hidden="1" customWidth="1"/>
    <col min="36" max="36" width="47.6640625" style="30" hidden="1" customWidth="1"/>
    <col min="37" max="37" width="25" style="30" hidden="1" customWidth="1"/>
    <col min="38" max="38" width="29.6640625" style="30" hidden="1" customWidth="1"/>
    <col min="39" max="39" width="8.88671875" style="28" hidden="1" customWidth="1"/>
    <col min="40" max="210" width="8.88671875" style="28"/>
    <col min="211" max="267" width="8.88671875" style="4"/>
    <col min="268" max="268" width="11.33203125" style="4" customWidth="1"/>
    <col min="269" max="269" width="10.33203125" style="4" customWidth="1"/>
    <col min="270" max="270" width="4.44140625" style="4" customWidth="1"/>
    <col min="271" max="271" width="8.109375" style="4" customWidth="1"/>
    <col min="272" max="274" width="10.88671875" style="4" customWidth="1"/>
    <col min="275" max="275" width="19" style="4" customWidth="1"/>
    <col min="276" max="276" width="8.88671875" style="4"/>
    <col min="277" max="277" width="13.109375" style="4" customWidth="1"/>
    <col min="278" max="278" width="15.6640625" style="4" customWidth="1"/>
    <col min="279" max="279" width="14.5546875" style="4" customWidth="1"/>
    <col min="280" max="285" width="8.88671875" style="4"/>
    <col min="286" max="286" width="20.33203125" style="4" customWidth="1"/>
    <col min="287" max="292" width="8.88671875" style="4"/>
    <col min="293" max="293" width="14.33203125" style="4" customWidth="1"/>
    <col min="294" max="523" width="8.88671875" style="4"/>
    <col min="524" max="524" width="11.33203125" style="4" customWidth="1"/>
    <col min="525" max="525" width="10.33203125" style="4" customWidth="1"/>
    <col min="526" max="526" width="4.44140625" style="4" customWidth="1"/>
    <col min="527" max="527" width="8.109375" style="4" customWidth="1"/>
    <col min="528" max="530" width="10.88671875" style="4" customWidth="1"/>
    <col min="531" max="531" width="19" style="4" customWidth="1"/>
    <col min="532" max="532" width="8.88671875" style="4"/>
    <col min="533" max="533" width="13.109375" style="4" customWidth="1"/>
    <col min="534" max="534" width="15.6640625" style="4" customWidth="1"/>
    <col min="535" max="535" width="14.5546875" style="4" customWidth="1"/>
    <col min="536" max="541" width="8.88671875" style="4"/>
    <col min="542" max="542" width="20.33203125" style="4" customWidth="1"/>
    <col min="543" max="548" width="8.88671875" style="4"/>
    <col min="549" max="549" width="14.33203125" style="4" customWidth="1"/>
    <col min="550" max="779" width="8.88671875" style="4"/>
    <col min="780" max="780" width="11.33203125" style="4" customWidth="1"/>
    <col min="781" max="781" width="10.33203125" style="4" customWidth="1"/>
    <col min="782" max="782" width="4.44140625" style="4" customWidth="1"/>
    <col min="783" max="783" width="8.109375" style="4" customWidth="1"/>
    <col min="784" max="786" width="10.88671875" style="4" customWidth="1"/>
    <col min="787" max="787" width="19" style="4" customWidth="1"/>
    <col min="788" max="788" width="8.88671875" style="4"/>
    <col min="789" max="789" width="13.109375" style="4" customWidth="1"/>
    <col min="790" max="790" width="15.6640625" style="4" customWidth="1"/>
    <col min="791" max="791" width="14.5546875" style="4" customWidth="1"/>
    <col min="792" max="797" width="8.88671875" style="4"/>
    <col min="798" max="798" width="20.33203125" style="4" customWidth="1"/>
    <col min="799" max="804" width="8.88671875" style="4"/>
    <col min="805" max="805" width="14.33203125" style="4" customWidth="1"/>
    <col min="806" max="1035" width="8.88671875" style="4"/>
    <col min="1036" max="1036" width="11.33203125" style="4" customWidth="1"/>
    <col min="1037" max="1037" width="10.33203125" style="4" customWidth="1"/>
    <col min="1038" max="1038" width="4.44140625" style="4" customWidth="1"/>
    <col min="1039" max="1039" width="8.109375" style="4" customWidth="1"/>
    <col min="1040" max="1042" width="10.88671875" style="4" customWidth="1"/>
    <col min="1043" max="1043" width="19" style="4" customWidth="1"/>
    <col min="1044" max="1044" width="8.88671875" style="4"/>
    <col min="1045" max="1045" width="13.109375" style="4" customWidth="1"/>
    <col min="1046" max="1046" width="15.6640625" style="4" customWidth="1"/>
    <col min="1047" max="1047" width="14.5546875" style="4" customWidth="1"/>
    <col min="1048" max="1053" width="8.88671875" style="4"/>
    <col min="1054" max="1054" width="20.33203125" style="4" customWidth="1"/>
    <col min="1055" max="1060" width="8.88671875" style="4"/>
    <col min="1061" max="1061" width="14.33203125" style="4" customWidth="1"/>
    <col min="1062" max="1291" width="8.88671875" style="4"/>
    <col min="1292" max="1292" width="11.33203125" style="4" customWidth="1"/>
    <col min="1293" max="1293" width="10.33203125" style="4" customWidth="1"/>
    <col min="1294" max="1294" width="4.44140625" style="4" customWidth="1"/>
    <col min="1295" max="1295" width="8.109375" style="4" customWidth="1"/>
    <col min="1296" max="1298" width="10.88671875" style="4" customWidth="1"/>
    <col min="1299" max="1299" width="19" style="4" customWidth="1"/>
    <col min="1300" max="1300" width="8.88671875" style="4"/>
    <col min="1301" max="1301" width="13.109375" style="4" customWidth="1"/>
    <col min="1302" max="1302" width="15.6640625" style="4" customWidth="1"/>
    <col min="1303" max="1303" width="14.5546875" style="4" customWidth="1"/>
    <col min="1304" max="1309" width="8.88671875" style="4"/>
    <col min="1310" max="1310" width="20.33203125" style="4" customWidth="1"/>
    <col min="1311" max="1316" width="8.88671875" style="4"/>
    <col min="1317" max="1317" width="14.33203125" style="4" customWidth="1"/>
    <col min="1318" max="1547" width="8.88671875" style="4"/>
    <col min="1548" max="1548" width="11.33203125" style="4" customWidth="1"/>
    <col min="1549" max="1549" width="10.33203125" style="4" customWidth="1"/>
    <col min="1550" max="1550" width="4.44140625" style="4" customWidth="1"/>
    <col min="1551" max="1551" width="8.109375" style="4" customWidth="1"/>
    <col min="1552" max="1554" width="10.88671875" style="4" customWidth="1"/>
    <col min="1555" max="1555" width="19" style="4" customWidth="1"/>
    <col min="1556" max="1556" width="8.88671875" style="4"/>
    <col min="1557" max="1557" width="13.109375" style="4" customWidth="1"/>
    <col min="1558" max="1558" width="15.6640625" style="4" customWidth="1"/>
    <col min="1559" max="1559" width="14.5546875" style="4" customWidth="1"/>
    <col min="1560" max="1565" width="8.88671875" style="4"/>
    <col min="1566" max="1566" width="20.33203125" style="4" customWidth="1"/>
    <col min="1567" max="1572" width="8.88671875" style="4"/>
    <col min="1573" max="1573" width="14.33203125" style="4" customWidth="1"/>
    <col min="1574" max="1803" width="8.88671875" style="4"/>
    <col min="1804" max="1804" width="11.33203125" style="4" customWidth="1"/>
    <col min="1805" max="1805" width="10.33203125" style="4" customWidth="1"/>
    <col min="1806" max="1806" width="4.44140625" style="4" customWidth="1"/>
    <col min="1807" max="1807" width="8.109375" style="4" customWidth="1"/>
    <col min="1808" max="1810" width="10.88671875" style="4" customWidth="1"/>
    <col min="1811" max="1811" width="19" style="4" customWidth="1"/>
    <col min="1812" max="1812" width="8.88671875" style="4"/>
    <col min="1813" max="1813" width="13.109375" style="4" customWidth="1"/>
    <col min="1814" max="1814" width="15.6640625" style="4" customWidth="1"/>
    <col min="1815" max="1815" width="14.5546875" style="4" customWidth="1"/>
    <col min="1816" max="1821" width="8.88671875" style="4"/>
    <col min="1822" max="1822" width="20.33203125" style="4" customWidth="1"/>
    <col min="1823" max="1828" width="8.88671875" style="4"/>
    <col min="1829" max="1829" width="14.33203125" style="4" customWidth="1"/>
    <col min="1830" max="2059" width="8.88671875" style="4"/>
    <col min="2060" max="2060" width="11.33203125" style="4" customWidth="1"/>
    <col min="2061" max="2061" width="10.33203125" style="4" customWidth="1"/>
    <col min="2062" max="2062" width="4.44140625" style="4" customWidth="1"/>
    <col min="2063" max="2063" width="8.109375" style="4" customWidth="1"/>
    <col min="2064" max="2066" width="10.88671875" style="4" customWidth="1"/>
    <col min="2067" max="2067" width="19" style="4" customWidth="1"/>
    <col min="2068" max="2068" width="8.88671875" style="4"/>
    <col min="2069" max="2069" width="13.109375" style="4" customWidth="1"/>
    <col min="2070" max="2070" width="15.6640625" style="4" customWidth="1"/>
    <col min="2071" max="2071" width="14.5546875" style="4" customWidth="1"/>
    <col min="2072" max="2077" width="8.88671875" style="4"/>
    <col min="2078" max="2078" width="20.33203125" style="4" customWidth="1"/>
    <col min="2079" max="2084" width="8.88671875" style="4"/>
    <col min="2085" max="2085" width="14.33203125" style="4" customWidth="1"/>
    <col min="2086" max="2315" width="8.88671875" style="4"/>
    <col min="2316" max="2316" width="11.33203125" style="4" customWidth="1"/>
    <col min="2317" max="2317" width="10.33203125" style="4" customWidth="1"/>
    <col min="2318" max="2318" width="4.44140625" style="4" customWidth="1"/>
    <col min="2319" max="2319" width="8.109375" style="4" customWidth="1"/>
    <col min="2320" max="2322" width="10.88671875" style="4" customWidth="1"/>
    <col min="2323" max="2323" width="19" style="4" customWidth="1"/>
    <col min="2324" max="2324" width="8.88671875" style="4"/>
    <col min="2325" max="2325" width="13.109375" style="4" customWidth="1"/>
    <col min="2326" max="2326" width="15.6640625" style="4" customWidth="1"/>
    <col min="2327" max="2327" width="14.5546875" style="4" customWidth="1"/>
    <col min="2328" max="2333" width="8.88671875" style="4"/>
    <col min="2334" max="2334" width="20.33203125" style="4" customWidth="1"/>
    <col min="2335" max="2340" width="8.88671875" style="4"/>
    <col min="2341" max="2341" width="14.33203125" style="4" customWidth="1"/>
    <col min="2342" max="2571" width="8.88671875" style="4"/>
    <col min="2572" max="2572" width="11.33203125" style="4" customWidth="1"/>
    <col min="2573" max="2573" width="10.33203125" style="4" customWidth="1"/>
    <col min="2574" max="2574" width="4.44140625" style="4" customWidth="1"/>
    <col min="2575" max="2575" width="8.109375" style="4" customWidth="1"/>
    <col min="2576" max="2578" width="10.88671875" style="4" customWidth="1"/>
    <col min="2579" max="2579" width="19" style="4" customWidth="1"/>
    <col min="2580" max="2580" width="8.88671875" style="4"/>
    <col min="2581" max="2581" width="13.109375" style="4" customWidth="1"/>
    <col min="2582" max="2582" width="15.6640625" style="4" customWidth="1"/>
    <col min="2583" max="2583" width="14.5546875" style="4" customWidth="1"/>
    <col min="2584" max="2589" width="8.88671875" style="4"/>
    <col min="2590" max="2590" width="20.33203125" style="4" customWidth="1"/>
    <col min="2591" max="2596" width="8.88671875" style="4"/>
    <col min="2597" max="2597" width="14.33203125" style="4" customWidth="1"/>
    <col min="2598" max="2827" width="8.88671875" style="4"/>
    <col min="2828" max="2828" width="11.33203125" style="4" customWidth="1"/>
    <col min="2829" max="2829" width="10.33203125" style="4" customWidth="1"/>
    <col min="2830" max="2830" width="4.44140625" style="4" customWidth="1"/>
    <col min="2831" max="2831" width="8.109375" style="4" customWidth="1"/>
    <col min="2832" max="2834" width="10.88671875" style="4" customWidth="1"/>
    <col min="2835" max="2835" width="19" style="4" customWidth="1"/>
    <col min="2836" max="2836" width="8.88671875" style="4"/>
    <col min="2837" max="2837" width="13.109375" style="4" customWidth="1"/>
    <col min="2838" max="2838" width="15.6640625" style="4" customWidth="1"/>
    <col min="2839" max="2839" width="14.5546875" style="4" customWidth="1"/>
    <col min="2840" max="2845" width="8.88671875" style="4"/>
    <col min="2846" max="2846" width="20.33203125" style="4" customWidth="1"/>
    <col min="2847" max="2852" width="8.88671875" style="4"/>
    <col min="2853" max="2853" width="14.33203125" style="4" customWidth="1"/>
    <col min="2854" max="3083" width="8.88671875" style="4"/>
    <col min="3084" max="3084" width="11.33203125" style="4" customWidth="1"/>
    <col min="3085" max="3085" width="10.33203125" style="4" customWidth="1"/>
    <col min="3086" max="3086" width="4.44140625" style="4" customWidth="1"/>
    <col min="3087" max="3087" width="8.109375" style="4" customWidth="1"/>
    <col min="3088" max="3090" width="10.88671875" style="4" customWidth="1"/>
    <col min="3091" max="3091" width="19" style="4" customWidth="1"/>
    <col min="3092" max="3092" width="8.88671875" style="4"/>
    <col min="3093" max="3093" width="13.109375" style="4" customWidth="1"/>
    <col min="3094" max="3094" width="15.6640625" style="4" customWidth="1"/>
    <col min="3095" max="3095" width="14.5546875" style="4" customWidth="1"/>
    <col min="3096" max="3101" width="8.88671875" style="4"/>
    <col min="3102" max="3102" width="20.33203125" style="4" customWidth="1"/>
    <col min="3103" max="3108" width="8.88671875" style="4"/>
    <col min="3109" max="3109" width="14.33203125" style="4" customWidth="1"/>
    <col min="3110" max="3339" width="8.88671875" style="4"/>
    <col min="3340" max="3340" width="11.33203125" style="4" customWidth="1"/>
    <col min="3341" max="3341" width="10.33203125" style="4" customWidth="1"/>
    <col min="3342" max="3342" width="4.44140625" style="4" customWidth="1"/>
    <col min="3343" max="3343" width="8.109375" style="4" customWidth="1"/>
    <col min="3344" max="3346" width="10.88671875" style="4" customWidth="1"/>
    <col min="3347" max="3347" width="19" style="4" customWidth="1"/>
    <col min="3348" max="3348" width="8.88671875" style="4"/>
    <col min="3349" max="3349" width="13.109375" style="4" customWidth="1"/>
    <col min="3350" max="3350" width="15.6640625" style="4" customWidth="1"/>
    <col min="3351" max="3351" width="14.5546875" style="4" customWidth="1"/>
    <col min="3352" max="3357" width="8.88671875" style="4"/>
    <col min="3358" max="3358" width="20.33203125" style="4" customWidth="1"/>
    <col min="3359" max="3364" width="8.88671875" style="4"/>
    <col min="3365" max="3365" width="14.33203125" style="4" customWidth="1"/>
    <col min="3366" max="3595" width="8.88671875" style="4"/>
    <col min="3596" max="3596" width="11.33203125" style="4" customWidth="1"/>
    <col min="3597" max="3597" width="10.33203125" style="4" customWidth="1"/>
    <col min="3598" max="3598" width="4.44140625" style="4" customWidth="1"/>
    <col min="3599" max="3599" width="8.109375" style="4" customWidth="1"/>
    <col min="3600" max="3602" width="10.88671875" style="4" customWidth="1"/>
    <col min="3603" max="3603" width="19" style="4" customWidth="1"/>
    <col min="3604" max="3604" width="8.88671875" style="4"/>
    <col min="3605" max="3605" width="13.109375" style="4" customWidth="1"/>
    <col min="3606" max="3606" width="15.6640625" style="4" customWidth="1"/>
    <col min="3607" max="3607" width="14.5546875" style="4" customWidth="1"/>
    <col min="3608" max="3613" width="8.88671875" style="4"/>
    <col min="3614" max="3614" width="20.33203125" style="4" customWidth="1"/>
    <col min="3615" max="3620" width="8.88671875" style="4"/>
    <col min="3621" max="3621" width="14.33203125" style="4" customWidth="1"/>
    <col min="3622" max="3851" width="8.88671875" style="4"/>
    <col min="3852" max="3852" width="11.33203125" style="4" customWidth="1"/>
    <col min="3853" max="3853" width="10.33203125" style="4" customWidth="1"/>
    <col min="3854" max="3854" width="4.44140625" style="4" customWidth="1"/>
    <col min="3855" max="3855" width="8.109375" style="4" customWidth="1"/>
    <col min="3856" max="3858" width="10.88671875" style="4" customWidth="1"/>
    <col min="3859" max="3859" width="19" style="4" customWidth="1"/>
    <col min="3860" max="3860" width="8.88671875" style="4"/>
    <col min="3861" max="3861" width="13.109375" style="4" customWidth="1"/>
    <col min="3862" max="3862" width="15.6640625" style="4" customWidth="1"/>
    <col min="3863" max="3863" width="14.5546875" style="4" customWidth="1"/>
    <col min="3864" max="3869" width="8.88671875" style="4"/>
    <col min="3870" max="3870" width="20.33203125" style="4" customWidth="1"/>
    <col min="3871" max="3876" width="8.88671875" style="4"/>
    <col min="3877" max="3877" width="14.33203125" style="4" customWidth="1"/>
    <col min="3878" max="4107" width="8.88671875" style="4"/>
    <col min="4108" max="4108" width="11.33203125" style="4" customWidth="1"/>
    <col min="4109" max="4109" width="10.33203125" style="4" customWidth="1"/>
    <col min="4110" max="4110" width="4.44140625" style="4" customWidth="1"/>
    <col min="4111" max="4111" width="8.109375" style="4" customWidth="1"/>
    <col min="4112" max="4114" width="10.88671875" style="4" customWidth="1"/>
    <col min="4115" max="4115" width="19" style="4" customWidth="1"/>
    <col min="4116" max="4116" width="8.88671875" style="4"/>
    <col min="4117" max="4117" width="13.109375" style="4" customWidth="1"/>
    <col min="4118" max="4118" width="15.6640625" style="4" customWidth="1"/>
    <col min="4119" max="4119" width="14.5546875" style="4" customWidth="1"/>
    <col min="4120" max="4125" width="8.88671875" style="4"/>
    <col min="4126" max="4126" width="20.33203125" style="4" customWidth="1"/>
    <col min="4127" max="4132" width="8.88671875" style="4"/>
    <col min="4133" max="4133" width="14.33203125" style="4" customWidth="1"/>
    <col min="4134" max="4363" width="8.88671875" style="4"/>
    <col min="4364" max="4364" width="11.33203125" style="4" customWidth="1"/>
    <col min="4365" max="4365" width="10.33203125" style="4" customWidth="1"/>
    <col min="4366" max="4366" width="4.44140625" style="4" customWidth="1"/>
    <col min="4367" max="4367" width="8.109375" style="4" customWidth="1"/>
    <col min="4368" max="4370" width="10.88671875" style="4" customWidth="1"/>
    <col min="4371" max="4371" width="19" style="4" customWidth="1"/>
    <col min="4372" max="4372" width="8.88671875" style="4"/>
    <col min="4373" max="4373" width="13.109375" style="4" customWidth="1"/>
    <col min="4374" max="4374" width="15.6640625" style="4" customWidth="1"/>
    <col min="4375" max="4375" width="14.5546875" style="4" customWidth="1"/>
    <col min="4376" max="4381" width="8.88671875" style="4"/>
    <col min="4382" max="4382" width="20.33203125" style="4" customWidth="1"/>
    <col min="4383" max="4388" width="8.88671875" style="4"/>
    <col min="4389" max="4389" width="14.33203125" style="4" customWidth="1"/>
    <col min="4390" max="4619" width="8.88671875" style="4"/>
    <col min="4620" max="4620" width="11.33203125" style="4" customWidth="1"/>
    <col min="4621" max="4621" width="10.33203125" style="4" customWidth="1"/>
    <col min="4622" max="4622" width="4.44140625" style="4" customWidth="1"/>
    <col min="4623" max="4623" width="8.109375" style="4" customWidth="1"/>
    <col min="4624" max="4626" width="10.88671875" style="4" customWidth="1"/>
    <col min="4627" max="4627" width="19" style="4" customWidth="1"/>
    <col min="4628" max="4628" width="8.88671875" style="4"/>
    <col min="4629" max="4629" width="13.109375" style="4" customWidth="1"/>
    <col min="4630" max="4630" width="15.6640625" style="4" customWidth="1"/>
    <col min="4631" max="4631" width="14.5546875" style="4" customWidth="1"/>
    <col min="4632" max="4637" width="8.88671875" style="4"/>
    <col min="4638" max="4638" width="20.33203125" style="4" customWidth="1"/>
    <col min="4639" max="4644" width="8.88671875" style="4"/>
    <col min="4645" max="4645" width="14.33203125" style="4" customWidth="1"/>
    <col min="4646" max="4875" width="8.88671875" style="4"/>
    <col min="4876" max="4876" width="11.33203125" style="4" customWidth="1"/>
    <col min="4877" max="4877" width="10.33203125" style="4" customWidth="1"/>
    <col min="4878" max="4878" width="4.44140625" style="4" customWidth="1"/>
    <col min="4879" max="4879" width="8.109375" style="4" customWidth="1"/>
    <col min="4880" max="4882" width="10.88671875" style="4" customWidth="1"/>
    <col min="4883" max="4883" width="19" style="4" customWidth="1"/>
    <col min="4884" max="4884" width="8.88671875" style="4"/>
    <col min="4885" max="4885" width="13.109375" style="4" customWidth="1"/>
    <col min="4886" max="4886" width="15.6640625" style="4" customWidth="1"/>
    <col min="4887" max="4887" width="14.5546875" style="4" customWidth="1"/>
    <col min="4888" max="4893" width="8.88671875" style="4"/>
    <col min="4894" max="4894" width="20.33203125" style="4" customWidth="1"/>
    <col min="4895" max="4900" width="8.88671875" style="4"/>
    <col min="4901" max="4901" width="14.33203125" style="4" customWidth="1"/>
    <col min="4902" max="5131" width="8.88671875" style="4"/>
    <col min="5132" max="5132" width="11.33203125" style="4" customWidth="1"/>
    <col min="5133" max="5133" width="10.33203125" style="4" customWidth="1"/>
    <col min="5134" max="5134" width="4.44140625" style="4" customWidth="1"/>
    <col min="5135" max="5135" width="8.109375" style="4" customWidth="1"/>
    <col min="5136" max="5138" width="10.88671875" style="4" customWidth="1"/>
    <col min="5139" max="5139" width="19" style="4" customWidth="1"/>
    <col min="5140" max="5140" width="8.88671875" style="4"/>
    <col min="5141" max="5141" width="13.109375" style="4" customWidth="1"/>
    <col min="5142" max="5142" width="15.6640625" style="4" customWidth="1"/>
    <col min="5143" max="5143" width="14.5546875" style="4" customWidth="1"/>
    <col min="5144" max="5149" width="8.88671875" style="4"/>
    <col min="5150" max="5150" width="20.33203125" style="4" customWidth="1"/>
    <col min="5151" max="5156" width="8.88671875" style="4"/>
    <col min="5157" max="5157" width="14.33203125" style="4" customWidth="1"/>
    <col min="5158" max="5387" width="8.88671875" style="4"/>
    <col min="5388" max="5388" width="11.33203125" style="4" customWidth="1"/>
    <col min="5389" max="5389" width="10.33203125" style="4" customWidth="1"/>
    <col min="5390" max="5390" width="4.44140625" style="4" customWidth="1"/>
    <col min="5391" max="5391" width="8.109375" style="4" customWidth="1"/>
    <col min="5392" max="5394" width="10.88671875" style="4" customWidth="1"/>
    <col min="5395" max="5395" width="19" style="4" customWidth="1"/>
    <col min="5396" max="5396" width="8.88671875" style="4"/>
    <col min="5397" max="5397" width="13.109375" style="4" customWidth="1"/>
    <col min="5398" max="5398" width="15.6640625" style="4" customWidth="1"/>
    <col min="5399" max="5399" width="14.5546875" style="4" customWidth="1"/>
    <col min="5400" max="5405" width="8.88671875" style="4"/>
    <col min="5406" max="5406" width="20.33203125" style="4" customWidth="1"/>
    <col min="5407" max="5412" width="8.88671875" style="4"/>
    <col min="5413" max="5413" width="14.33203125" style="4" customWidth="1"/>
    <col min="5414" max="5643" width="8.88671875" style="4"/>
    <col min="5644" max="5644" width="11.33203125" style="4" customWidth="1"/>
    <col min="5645" max="5645" width="10.33203125" style="4" customWidth="1"/>
    <col min="5646" max="5646" width="4.44140625" style="4" customWidth="1"/>
    <col min="5647" max="5647" width="8.109375" style="4" customWidth="1"/>
    <col min="5648" max="5650" width="10.88671875" style="4" customWidth="1"/>
    <col min="5651" max="5651" width="19" style="4" customWidth="1"/>
    <col min="5652" max="5652" width="8.88671875" style="4"/>
    <col min="5653" max="5653" width="13.109375" style="4" customWidth="1"/>
    <col min="5654" max="5654" width="15.6640625" style="4" customWidth="1"/>
    <col min="5655" max="5655" width="14.5546875" style="4" customWidth="1"/>
    <col min="5656" max="5661" width="8.88671875" style="4"/>
    <col min="5662" max="5662" width="20.33203125" style="4" customWidth="1"/>
    <col min="5663" max="5668" width="8.88671875" style="4"/>
    <col min="5669" max="5669" width="14.33203125" style="4" customWidth="1"/>
    <col min="5670" max="5899" width="8.88671875" style="4"/>
    <col min="5900" max="5900" width="11.33203125" style="4" customWidth="1"/>
    <col min="5901" max="5901" width="10.33203125" style="4" customWidth="1"/>
    <col min="5902" max="5902" width="4.44140625" style="4" customWidth="1"/>
    <col min="5903" max="5903" width="8.109375" style="4" customWidth="1"/>
    <col min="5904" max="5906" width="10.88671875" style="4" customWidth="1"/>
    <col min="5907" max="5907" width="19" style="4" customWidth="1"/>
    <col min="5908" max="5908" width="8.88671875" style="4"/>
    <col min="5909" max="5909" width="13.109375" style="4" customWidth="1"/>
    <col min="5910" max="5910" width="15.6640625" style="4" customWidth="1"/>
    <col min="5911" max="5911" width="14.5546875" style="4" customWidth="1"/>
    <col min="5912" max="5917" width="8.88671875" style="4"/>
    <col min="5918" max="5918" width="20.33203125" style="4" customWidth="1"/>
    <col min="5919" max="5924" width="8.88671875" style="4"/>
    <col min="5925" max="5925" width="14.33203125" style="4" customWidth="1"/>
    <col min="5926" max="6155" width="8.88671875" style="4"/>
    <col min="6156" max="6156" width="11.33203125" style="4" customWidth="1"/>
    <col min="6157" max="6157" width="10.33203125" style="4" customWidth="1"/>
    <col min="6158" max="6158" width="4.44140625" style="4" customWidth="1"/>
    <col min="6159" max="6159" width="8.109375" style="4" customWidth="1"/>
    <col min="6160" max="6162" width="10.88671875" style="4" customWidth="1"/>
    <col min="6163" max="6163" width="19" style="4" customWidth="1"/>
    <col min="6164" max="6164" width="8.88671875" style="4"/>
    <col min="6165" max="6165" width="13.109375" style="4" customWidth="1"/>
    <col min="6166" max="6166" width="15.6640625" style="4" customWidth="1"/>
    <col min="6167" max="6167" width="14.5546875" style="4" customWidth="1"/>
    <col min="6168" max="6173" width="8.88671875" style="4"/>
    <col min="6174" max="6174" width="20.33203125" style="4" customWidth="1"/>
    <col min="6175" max="6180" width="8.88671875" style="4"/>
    <col min="6181" max="6181" width="14.33203125" style="4" customWidth="1"/>
    <col min="6182" max="6411" width="8.88671875" style="4"/>
    <col min="6412" max="6412" width="11.33203125" style="4" customWidth="1"/>
    <col min="6413" max="6413" width="10.33203125" style="4" customWidth="1"/>
    <col min="6414" max="6414" width="4.44140625" style="4" customWidth="1"/>
    <col min="6415" max="6415" width="8.109375" style="4" customWidth="1"/>
    <col min="6416" max="6418" width="10.88671875" style="4" customWidth="1"/>
    <col min="6419" max="6419" width="19" style="4" customWidth="1"/>
    <col min="6420" max="6420" width="8.88671875" style="4"/>
    <col min="6421" max="6421" width="13.109375" style="4" customWidth="1"/>
    <col min="6422" max="6422" width="15.6640625" style="4" customWidth="1"/>
    <col min="6423" max="6423" width="14.5546875" style="4" customWidth="1"/>
    <col min="6424" max="6429" width="8.88671875" style="4"/>
    <col min="6430" max="6430" width="20.33203125" style="4" customWidth="1"/>
    <col min="6431" max="6436" width="8.88671875" style="4"/>
    <col min="6437" max="6437" width="14.33203125" style="4" customWidth="1"/>
    <col min="6438" max="6667" width="8.88671875" style="4"/>
    <col min="6668" max="6668" width="11.33203125" style="4" customWidth="1"/>
    <col min="6669" max="6669" width="10.33203125" style="4" customWidth="1"/>
    <col min="6670" max="6670" width="4.44140625" style="4" customWidth="1"/>
    <col min="6671" max="6671" width="8.109375" style="4" customWidth="1"/>
    <col min="6672" max="6674" width="10.88671875" style="4" customWidth="1"/>
    <col min="6675" max="6675" width="19" style="4" customWidth="1"/>
    <col min="6676" max="6676" width="8.88671875" style="4"/>
    <col min="6677" max="6677" width="13.109375" style="4" customWidth="1"/>
    <col min="6678" max="6678" width="15.6640625" style="4" customWidth="1"/>
    <col min="6679" max="6679" width="14.5546875" style="4" customWidth="1"/>
    <col min="6680" max="6685" width="8.88671875" style="4"/>
    <col min="6686" max="6686" width="20.33203125" style="4" customWidth="1"/>
    <col min="6687" max="6692" width="8.88671875" style="4"/>
    <col min="6693" max="6693" width="14.33203125" style="4" customWidth="1"/>
    <col min="6694" max="6923" width="8.88671875" style="4"/>
    <col min="6924" max="6924" width="11.33203125" style="4" customWidth="1"/>
    <col min="6925" max="6925" width="10.33203125" style="4" customWidth="1"/>
    <col min="6926" max="6926" width="4.44140625" style="4" customWidth="1"/>
    <col min="6927" max="6927" width="8.109375" style="4" customWidth="1"/>
    <col min="6928" max="6930" width="10.88671875" style="4" customWidth="1"/>
    <col min="6931" max="6931" width="19" style="4" customWidth="1"/>
    <col min="6932" max="6932" width="8.88671875" style="4"/>
    <col min="6933" max="6933" width="13.109375" style="4" customWidth="1"/>
    <col min="6934" max="6934" width="15.6640625" style="4" customWidth="1"/>
    <col min="6935" max="6935" width="14.5546875" style="4" customWidth="1"/>
    <col min="6936" max="6941" width="8.88671875" style="4"/>
    <col min="6942" max="6942" width="20.33203125" style="4" customWidth="1"/>
    <col min="6943" max="6948" width="8.88671875" style="4"/>
    <col min="6949" max="6949" width="14.33203125" style="4" customWidth="1"/>
    <col min="6950" max="7179" width="8.88671875" style="4"/>
    <col min="7180" max="7180" width="11.33203125" style="4" customWidth="1"/>
    <col min="7181" max="7181" width="10.33203125" style="4" customWidth="1"/>
    <col min="7182" max="7182" width="4.44140625" style="4" customWidth="1"/>
    <col min="7183" max="7183" width="8.109375" style="4" customWidth="1"/>
    <col min="7184" max="7186" width="10.88671875" style="4" customWidth="1"/>
    <col min="7187" max="7187" width="19" style="4" customWidth="1"/>
    <col min="7188" max="7188" width="8.88671875" style="4"/>
    <col min="7189" max="7189" width="13.109375" style="4" customWidth="1"/>
    <col min="7190" max="7190" width="15.6640625" style="4" customWidth="1"/>
    <col min="7191" max="7191" width="14.5546875" style="4" customWidth="1"/>
    <col min="7192" max="7197" width="8.88671875" style="4"/>
    <col min="7198" max="7198" width="20.33203125" style="4" customWidth="1"/>
    <col min="7199" max="7204" width="8.88671875" style="4"/>
    <col min="7205" max="7205" width="14.33203125" style="4" customWidth="1"/>
    <col min="7206" max="7435" width="8.88671875" style="4"/>
    <col min="7436" max="7436" width="11.33203125" style="4" customWidth="1"/>
    <col min="7437" max="7437" width="10.33203125" style="4" customWidth="1"/>
    <col min="7438" max="7438" width="4.44140625" style="4" customWidth="1"/>
    <col min="7439" max="7439" width="8.109375" style="4" customWidth="1"/>
    <col min="7440" max="7442" width="10.88671875" style="4" customWidth="1"/>
    <col min="7443" max="7443" width="19" style="4" customWidth="1"/>
    <col min="7444" max="7444" width="8.88671875" style="4"/>
    <col min="7445" max="7445" width="13.109375" style="4" customWidth="1"/>
    <col min="7446" max="7446" width="15.6640625" style="4" customWidth="1"/>
    <col min="7447" max="7447" width="14.5546875" style="4" customWidth="1"/>
    <col min="7448" max="7453" width="8.88671875" style="4"/>
    <col min="7454" max="7454" width="20.33203125" style="4" customWidth="1"/>
    <col min="7455" max="7460" width="8.88671875" style="4"/>
    <col min="7461" max="7461" width="14.33203125" style="4" customWidth="1"/>
    <col min="7462" max="7691" width="8.88671875" style="4"/>
    <col min="7692" max="7692" width="11.33203125" style="4" customWidth="1"/>
    <col min="7693" max="7693" width="10.33203125" style="4" customWidth="1"/>
    <col min="7694" max="7694" width="4.44140625" style="4" customWidth="1"/>
    <col min="7695" max="7695" width="8.109375" style="4" customWidth="1"/>
    <col min="7696" max="7698" width="10.88671875" style="4" customWidth="1"/>
    <col min="7699" max="7699" width="19" style="4" customWidth="1"/>
    <col min="7700" max="7700" width="8.88671875" style="4"/>
    <col min="7701" max="7701" width="13.109375" style="4" customWidth="1"/>
    <col min="7702" max="7702" width="15.6640625" style="4" customWidth="1"/>
    <col min="7703" max="7703" width="14.5546875" style="4" customWidth="1"/>
    <col min="7704" max="7709" width="8.88671875" style="4"/>
    <col min="7710" max="7710" width="20.33203125" style="4" customWidth="1"/>
    <col min="7711" max="7716" width="8.88671875" style="4"/>
    <col min="7717" max="7717" width="14.33203125" style="4" customWidth="1"/>
    <col min="7718" max="7947" width="8.88671875" style="4"/>
    <col min="7948" max="7948" width="11.33203125" style="4" customWidth="1"/>
    <col min="7949" max="7949" width="10.33203125" style="4" customWidth="1"/>
    <col min="7950" max="7950" width="4.44140625" style="4" customWidth="1"/>
    <col min="7951" max="7951" width="8.109375" style="4" customWidth="1"/>
    <col min="7952" max="7954" width="10.88671875" style="4" customWidth="1"/>
    <col min="7955" max="7955" width="19" style="4" customWidth="1"/>
    <col min="7956" max="7956" width="8.88671875" style="4"/>
    <col min="7957" max="7957" width="13.109375" style="4" customWidth="1"/>
    <col min="7958" max="7958" width="15.6640625" style="4" customWidth="1"/>
    <col min="7959" max="7959" width="14.5546875" style="4" customWidth="1"/>
    <col min="7960" max="7965" width="8.88671875" style="4"/>
    <col min="7966" max="7966" width="20.33203125" style="4" customWidth="1"/>
    <col min="7967" max="7972" width="8.88671875" style="4"/>
    <col min="7973" max="7973" width="14.33203125" style="4" customWidth="1"/>
    <col min="7974" max="8203" width="8.88671875" style="4"/>
    <col min="8204" max="8204" width="11.33203125" style="4" customWidth="1"/>
    <col min="8205" max="8205" width="10.33203125" style="4" customWidth="1"/>
    <col min="8206" max="8206" width="4.44140625" style="4" customWidth="1"/>
    <col min="8207" max="8207" width="8.109375" style="4" customWidth="1"/>
    <col min="8208" max="8210" width="10.88671875" style="4" customWidth="1"/>
    <col min="8211" max="8211" width="19" style="4" customWidth="1"/>
    <col min="8212" max="8212" width="8.88671875" style="4"/>
    <col min="8213" max="8213" width="13.109375" style="4" customWidth="1"/>
    <col min="8214" max="8214" width="15.6640625" style="4" customWidth="1"/>
    <col min="8215" max="8215" width="14.5546875" style="4" customWidth="1"/>
    <col min="8216" max="8221" width="8.88671875" style="4"/>
    <col min="8222" max="8222" width="20.33203125" style="4" customWidth="1"/>
    <col min="8223" max="8228" width="8.88671875" style="4"/>
    <col min="8229" max="8229" width="14.33203125" style="4" customWidth="1"/>
    <col min="8230" max="8459" width="8.88671875" style="4"/>
    <col min="8460" max="8460" width="11.33203125" style="4" customWidth="1"/>
    <col min="8461" max="8461" width="10.33203125" style="4" customWidth="1"/>
    <col min="8462" max="8462" width="4.44140625" style="4" customWidth="1"/>
    <col min="8463" max="8463" width="8.109375" style="4" customWidth="1"/>
    <col min="8464" max="8466" width="10.88671875" style="4" customWidth="1"/>
    <col min="8467" max="8467" width="19" style="4" customWidth="1"/>
    <col min="8468" max="8468" width="8.88671875" style="4"/>
    <col min="8469" max="8469" width="13.109375" style="4" customWidth="1"/>
    <col min="8470" max="8470" width="15.6640625" style="4" customWidth="1"/>
    <col min="8471" max="8471" width="14.5546875" style="4" customWidth="1"/>
    <col min="8472" max="8477" width="8.88671875" style="4"/>
    <col min="8478" max="8478" width="20.33203125" style="4" customWidth="1"/>
    <col min="8479" max="8484" width="8.88671875" style="4"/>
    <col min="8485" max="8485" width="14.33203125" style="4" customWidth="1"/>
    <col min="8486" max="8715" width="8.88671875" style="4"/>
    <col min="8716" max="8716" width="11.33203125" style="4" customWidth="1"/>
    <col min="8717" max="8717" width="10.33203125" style="4" customWidth="1"/>
    <col min="8718" max="8718" width="4.44140625" style="4" customWidth="1"/>
    <col min="8719" max="8719" width="8.109375" style="4" customWidth="1"/>
    <col min="8720" max="8722" width="10.88671875" style="4" customWidth="1"/>
    <col min="8723" max="8723" width="19" style="4" customWidth="1"/>
    <col min="8724" max="8724" width="8.88671875" style="4"/>
    <col min="8725" max="8725" width="13.109375" style="4" customWidth="1"/>
    <col min="8726" max="8726" width="15.6640625" style="4" customWidth="1"/>
    <col min="8727" max="8727" width="14.5546875" style="4" customWidth="1"/>
    <col min="8728" max="8733" width="8.88671875" style="4"/>
    <col min="8734" max="8734" width="20.33203125" style="4" customWidth="1"/>
    <col min="8735" max="8740" width="8.88671875" style="4"/>
    <col min="8741" max="8741" width="14.33203125" style="4" customWidth="1"/>
    <col min="8742" max="8971" width="8.88671875" style="4"/>
    <col min="8972" max="8972" width="11.33203125" style="4" customWidth="1"/>
    <col min="8973" max="8973" width="10.33203125" style="4" customWidth="1"/>
    <col min="8974" max="8974" width="4.44140625" style="4" customWidth="1"/>
    <col min="8975" max="8975" width="8.109375" style="4" customWidth="1"/>
    <col min="8976" max="8978" width="10.88671875" style="4" customWidth="1"/>
    <col min="8979" max="8979" width="19" style="4" customWidth="1"/>
    <col min="8980" max="8980" width="8.88671875" style="4"/>
    <col min="8981" max="8981" width="13.109375" style="4" customWidth="1"/>
    <col min="8982" max="8982" width="15.6640625" style="4" customWidth="1"/>
    <col min="8983" max="8983" width="14.5546875" style="4" customWidth="1"/>
    <col min="8984" max="8989" width="8.88671875" style="4"/>
    <col min="8990" max="8990" width="20.33203125" style="4" customWidth="1"/>
    <col min="8991" max="8996" width="8.88671875" style="4"/>
    <col min="8997" max="8997" width="14.33203125" style="4" customWidth="1"/>
    <col min="8998" max="9227" width="8.88671875" style="4"/>
    <col min="9228" max="9228" width="11.33203125" style="4" customWidth="1"/>
    <col min="9229" max="9229" width="10.33203125" style="4" customWidth="1"/>
    <col min="9230" max="9230" width="4.44140625" style="4" customWidth="1"/>
    <col min="9231" max="9231" width="8.109375" style="4" customWidth="1"/>
    <col min="9232" max="9234" width="10.88671875" style="4" customWidth="1"/>
    <col min="9235" max="9235" width="19" style="4" customWidth="1"/>
    <col min="9236" max="9236" width="8.88671875" style="4"/>
    <col min="9237" max="9237" width="13.109375" style="4" customWidth="1"/>
    <col min="9238" max="9238" width="15.6640625" style="4" customWidth="1"/>
    <col min="9239" max="9239" width="14.5546875" style="4" customWidth="1"/>
    <col min="9240" max="9245" width="8.88671875" style="4"/>
    <col min="9246" max="9246" width="20.33203125" style="4" customWidth="1"/>
    <col min="9247" max="9252" width="8.88671875" style="4"/>
    <col min="9253" max="9253" width="14.33203125" style="4" customWidth="1"/>
    <col min="9254" max="9483" width="8.88671875" style="4"/>
    <col min="9484" max="9484" width="11.33203125" style="4" customWidth="1"/>
    <col min="9485" max="9485" width="10.33203125" style="4" customWidth="1"/>
    <col min="9486" max="9486" width="4.44140625" style="4" customWidth="1"/>
    <col min="9487" max="9487" width="8.109375" style="4" customWidth="1"/>
    <col min="9488" max="9490" width="10.88671875" style="4" customWidth="1"/>
    <col min="9491" max="9491" width="19" style="4" customWidth="1"/>
    <col min="9492" max="9492" width="8.88671875" style="4"/>
    <col min="9493" max="9493" width="13.109375" style="4" customWidth="1"/>
    <col min="9494" max="9494" width="15.6640625" style="4" customWidth="1"/>
    <col min="9495" max="9495" width="14.5546875" style="4" customWidth="1"/>
    <col min="9496" max="9501" width="8.88671875" style="4"/>
    <col min="9502" max="9502" width="20.33203125" style="4" customWidth="1"/>
    <col min="9503" max="9508" width="8.88671875" style="4"/>
    <col min="9509" max="9509" width="14.33203125" style="4" customWidth="1"/>
    <col min="9510" max="9739" width="8.88671875" style="4"/>
    <col min="9740" max="9740" width="11.33203125" style="4" customWidth="1"/>
    <col min="9741" max="9741" width="10.33203125" style="4" customWidth="1"/>
    <col min="9742" max="9742" width="4.44140625" style="4" customWidth="1"/>
    <col min="9743" max="9743" width="8.109375" style="4" customWidth="1"/>
    <col min="9744" max="9746" width="10.88671875" style="4" customWidth="1"/>
    <col min="9747" max="9747" width="19" style="4" customWidth="1"/>
    <col min="9748" max="9748" width="8.88671875" style="4"/>
    <col min="9749" max="9749" width="13.109375" style="4" customWidth="1"/>
    <col min="9750" max="9750" width="15.6640625" style="4" customWidth="1"/>
    <col min="9751" max="9751" width="14.5546875" style="4" customWidth="1"/>
    <col min="9752" max="9757" width="8.88671875" style="4"/>
    <col min="9758" max="9758" width="20.33203125" style="4" customWidth="1"/>
    <col min="9759" max="9764" width="8.88671875" style="4"/>
    <col min="9765" max="9765" width="14.33203125" style="4" customWidth="1"/>
    <col min="9766" max="9995" width="8.88671875" style="4"/>
    <col min="9996" max="9996" width="11.33203125" style="4" customWidth="1"/>
    <col min="9997" max="9997" width="10.33203125" style="4" customWidth="1"/>
    <col min="9998" max="9998" width="4.44140625" style="4" customWidth="1"/>
    <col min="9999" max="9999" width="8.109375" style="4" customWidth="1"/>
    <col min="10000" max="10002" width="10.88671875" style="4" customWidth="1"/>
    <col min="10003" max="10003" width="19" style="4" customWidth="1"/>
    <col min="10004" max="10004" width="8.88671875" style="4"/>
    <col min="10005" max="10005" width="13.109375" style="4" customWidth="1"/>
    <col min="10006" max="10006" width="15.6640625" style="4" customWidth="1"/>
    <col min="10007" max="10007" width="14.5546875" style="4" customWidth="1"/>
    <col min="10008" max="10013" width="8.88671875" style="4"/>
    <col min="10014" max="10014" width="20.33203125" style="4" customWidth="1"/>
    <col min="10015" max="10020" width="8.88671875" style="4"/>
    <col min="10021" max="10021" width="14.33203125" style="4" customWidth="1"/>
    <col min="10022" max="10251" width="8.88671875" style="4"/>
    <col min="10252" max="10252" width="11.33203125" style="4" customWidth="1"/>
    <col min="10253" max="10253" width="10.33203125" style="4" customWidth="1"/>
    <col min="10254" max="10254" width="4.44140625" style="4" customWidth="1"/>
    <col min="10255" max="10255" width="8.109375" style="4" customWidth="1"/>
    <col min="10256" max="10258" width="10.88671875" style="4" customWidth="1"/>
    <col min="10259" max="10259" width="19" style="4" customWidth="1"/>
    <col min="10260" max="10260" width="8.88671875" style="4"/>
    <col min="10261" max="10261" width="13.109375" style="4" customWidth="1"/>
    <col min="10262" max="10262" width="15.6640625" style="4" customWidth="1"/>
    <col min="10263" max="10263" width="14.5546875" style="4" customWidth="1"/>
    <col min="10264" max="10269" width="8.88671875" style="4"/>
    <col min="10270" max="10270" width="20.33203125" style="4" customWidth="1"/>
    <col min="10271" max="10276" width="8.88671875" style="4"/>
    <col min="10277" max="10277" width="14.33203125" style="4" customWidth="1"/>
    <col min="10278" max="10507" width="8.88671875" style="4"/>
    <col min="10508" max="10508" width="11.33203125" style="4" customWidth="1"/>
    <col min="10509" max="10509" width="10.33203125" style="4" customWidth="1"/>
    <col min="10510" max="10510" width="4.44140625" style="4" customWidth="1"/>
    <col min="10511" max="10511" width="8.109375" style="4" customWidth="1"/>
    <col min="10512" max="10514" width="10.88671875" style="4" customWidth="1"/>
    <col min="10515" max="10515" width="19" style="4" customWidth="1"/>
    <col min="10516" max="10516" width="8.88671875" style="4"/>
    <col min="10517" max="10517" width="13.109375" style="4" customWidth="1"/>
    <col min="10518" max="10518" width="15.6640625" style="4" customWidth="1"/>
    <col min="10519" max="10519" width="14.5546875" style="4" customWidth="1"/>
    <col min="10520" max="10525" width="8.88671875" style="4"/>
    <col min="10526" max="10526" width="20.33203125" style="4" customWidth="1"/>
    <col min="10527" max="10532" width="8.88671875" style="4"/>
    <col min="10533" max="10533" width="14.33203125" style="4" customWidth="1"/>
    <col min="10534" max="10763" width="8.88671875" style="4"/>
    <col min="10764" max="10764" width="11.33203125" style="4" customWidth="1"/>
    <col min="10765" max="10765" width="10.33203125" style="4" customWidth="1"/>
    <col min="10766" max="10766" width="4.44140625" style="4" customWidth="1"/>
    <col min="10767" max="10767" width="8.109375" style="4" customWidth="1"/>
    <col min="10768" max="10770" width="10.88671875" style="4" customWidth="1"/>
    <col min="10771" max="10771" width="19" style="4" customWidth="1"/>
    <col min="10772" max="10772" width="8.88671875" style="4"/>
    <col min="10773" max="10773" width="13.109375" style="4" customWidth="1"/>
    <col min="10774" max="10774" width="15.6640625" style="4" customWidth="1"/>
    <col min="10775" max="10775" width="14.5546875" style="4" customWidth="1"/>
    <col min="10776" max="10781" width="8.88671875" style="4"/>
    <col min="10782" max="10782" width="20.33203125" style="4" customWidth="1"/>
    <col min="10783" max="10788" width="8.88671875" style="4"/>
    <col min="10789" max="10789" width="14.33203125" style="4" customWidth="1"/>
    <col min="10790" max="11019" width="8.88671875" style="4"/>
    <col min="11020" max="11020" width="11.33203125" style="4" customWidth="1"/>
    <col min="11021" max="11021" width="10.33203125" style="4" customWidth="1"/>
    <col min="11022" max="11022" width="4.44140625" style="4" customWidth="1"/>
    <col min="11023" max="11023" width="8.109375" style="4" customWidth="1"/>
    <col min="11024" max="11026" width="10.88671875" style="4" customWidth="1"/>
    <col min="11027" max="11027" width="19" style="4" customWidth="1"/>
    <col min="11028" max="11028" width="8.88671875" style="4"/>
    <col min="11029" max="11029" width="13.109375" style="4" customWidth="1"/>
    <col min="11030" max="11030" width="15.6640625" style="4" customWidth="1"/>
    <col min="11031" max="11031" width="14.5546875" style="4" customWidth="1"/>
    <col min="11032" max="11037" width="8.88671875" style="4"/>
    <col min="11038" max="11038" width="20.33203125" style="4" customWidth="1"/>
    <col min="11039" max="11044" width="8.88671875" style="4"/>
    <col min="11045" max="11045" width="14.33203125" style="4" customWidth="1"/>
    <col min="11046" max="11275" width="8.88671875" style="4"/>
    <col min="11276" max="11276" width="11.33203125" style="4" customWidth="1"/>
    <col min="11277" max="11277" width="10.33203125" style="4" customWidth="1"/>
    <col min="11278" max="11278" width="4.44140625" style="4" customWidth="1"/>
    <col min="11279" max="11279" width="8.109375" style="4" customWidth="1"/>
    <col min="11280" max="11282" width="10.88671875" style="4" customWidth="1"/>
    <col min="11283" max="11283" width="19" style="4" customWidth="1"/>
    <col min="11284" max="11284" width="8.88671875" style="4"/>
    <col min="11285" max="11285" width="13.109375" style="4" customWidth="1"/>
    <col min="11286" max="11286" width="15.6640625" style="4" customWidth="1"/>
    <col min="11287" max="11287" width="14.5546875" style="4" customWidth="1"/>
    <col min="11288" max="11293" width="8.88671875" style="4"/>
    <col min="11294" max="11294" width="20.33203125" style="4" customWidth="1"/>
    <col min="11295" max="11300" width="8.88671875" style="4"/>
    <col min="11301" max="11301" width="14.33203125" style="4" customWidth="1"/>
    <col min="11302" max="11531" width="8.88671875" style="4"/>
    <col min="11532" max="11532" width="11.33203125" style="4" customWidth="1"/>
    <col min="11533" max="11533" width="10.33203125" style="4" customWidth="1"/>
    <col min="11534" max="11534" width="4.44140625" style="4" customWidth="1"/>
    <col min="11535" max="11535" width="8.109375" style="4" customWidth="1"/>
    <col min="11536" max="11538" width="10.88671875" style="4" customWidth="1"/>
    <col min="11539" max="11539" width="19" style="4" customWidth="1"/>
    <col min="11540" max="11540" width="8.88671875" style="4"/>
    <col min="11541" max="11541" width="13.109375" style="4" customWidth="1"/>
    <col min="11542" max="11542" width="15.6640625" style="4" customWidth="1"/>
    <col min="11543" max="11543" width="14.5546875" style="4" customWidth="1"/>
    <col min="11544" max="11549" width="8.88671875" style="4"/>
    <col min="11550" max="11550" width="20.33203125" style="4" customWidth="1"/>
    <col min="11551" max="11556" width="8.88671875" style="4"/>
    <col min="11557" max="11557" width="14.33203125" style="4" customWidth="1"/>
    <col min="11558" max="11787" width="8.88671875" style="4"/>
    <col min="11788" max="11788" width="11.33203125" style="4" customWidth="1"/>
    <col min="11789" max="11789" width="10.33203125" style="4" customWidth="1"/>
    <col min="11790" max="11790" width="4.44140625" style="4" customWidth="1"/>
    <col min="11791" max="11791" width="8.109375" style="4" customWidth="1"/>
    <col min="11792" max="11794" width="10.88671875" style="4" customWidth="1"/>
    <col min="11795" max="11795" width="19" style="4" customWidth="1"/>
    <col min="11796" max="11796" width="8.88671875" style="4"/>
    <col min="11797" max="11797" width="13.109375" style="4" customWidth="1"/>
    <col min="11798" max="11798" width="15.6640625" style="4" customWidth="1"/>
    <col min="11799" max="11799" width="14.5546875" style="4" customWidth="1"/>
    <col min="11800" max="11805" width="8.88671875" style="4"/>
    <col min="11806" max="11806" width="20.33203125" style="4" customWidth="1"/>
    <col min="11807" max="11812" width="8.88671875" style="4"/>
    <col min="11813" max="11813" width="14.33203125" style="4" customWidth="1"/>
    <col min="11814" max="12043" width="8.88671875" style="4"/>
    <col min="12044" max="12044" width="11.33203125" style="4" customWidth="1"/>
    <col min="12045" max="12045" width="10.33203125" style="4" customWidth="1"/>
    <col min="12046" max="12046" width="4.44140625" style="4" customWidth="1"/>
    <col min="12047" max="12047" width="8.109375" style="4" customWidth="1"/>
    <col min="12048" max="12050" width="10.88671875" style="4" customWidth="1"/>
    <col min="12051" max="12051" width="19" style="4" customWidth="1"/>
    <col min="12052" max="12052" width="8.88671875" style="4"/>
    <col min="12053" max="12053" width="13.109375" style="4" customWidth="1"/>
    <col min="12054" max="12054" width="15.6640625" style="4" customWidth="1"/>
    <col min="12055" max="12055" width="14.5546875" style="4" customWidth="1"/>
    <col min="12056" max="12061" width="8.88671875" style="4"/>
    <col min="12062" max="12062" width="20.33203125" style="4" customWidth="1"/>
    <col min="12063" max="12068" width="8.88671875" style="4"/>
    <col min="12069" max="12069" width="14.33203125" style="4" customWidth="1"/>
    <col min="12070" max="12299" width="8.88671875" style="4"/>
    <col min="12300" max="12300" width="11.33203125" style="4" customWidth="1"/>
    <col min="12301" max="12301" width="10.33203125" style="4" customWidth="1"/>
    <col min="12302" max="12302" width="4.44140625" style="4" customWidth="1"/>
    <col min="12303" max="12303" width="8.109375" style="4" customWidth="1"/>
    <col min="12304" max="12306" width="10.88671875" style="4" customWidth="1"/>
    <col min="12307" max="12307" width="19" style="4" customWidth="1"/>
    <col min="12308" max="12308" width="8.88671875" style="4"/>
    <col min="12309" max="12309" width="13.109375" style="4" customWidth="1"/>
    <col min="12310" max="12310" width="15.6640625" style="4" customWidth="1"/>
    <col min="12311" max="12311" width="14.5546875" style="4" customWidth="1"/>
    <col min="12312" max="12317" width="8.88671875" style="4"/>
    <col min="12318" max="12318" width="20.33203125" style="4" customWidth="1"/>
    <col min="12319" max="12324" width="8.88671875" style="4"/>
    <col min="12325" max="12325" width="14.33203125" style="4" customWidth="1"/>
    <col min="12326" max="12555" width="8.88671875" style="4"/>
    <col min="12556" max="12556" width="11.33203125" style="4" customWidth="1"/>
    <col min="12557" max="12557" width="10.33203125" style="4" customWidth="1"/>
    <col min="12558" max="12558" width="4.44140625" style="4" customWidth="1"/>
    <col min="12559" max="12559" width="8.109375" style="4" customWidth="1"/>
    <col min="12560" max="12562" width="10.88671875" style="4" customWidth="1"/>
    <col min="12563" max="12563" width="19" style="4" customWidth="1"/>
    <col min="12564" max="12564" width="8.88671875" style="4"/>
    <col min="12565" max="12565" width="13.109375" style="4" customWidth="1"/>
    <col min="12566" max="12566" width="15.6640625" style="4" customWidth="1"/>
    <col min="12567" max="12567" width="14.5546875" style="4" customWidth="1"/>
    <col min="12568" max="12573" width="8.88671875" style="4"/>
    <col min="12574" max="12574" width="20.33203125" style="4" customWidth="1"/>
    <col min="12575" max="12580" width="8.88671875" style="4"/>
    <col min="12581" max="12581" width="14.33203125" style="4" customWidth="1"/>
    <col min="12582" max="12811" width="8.88671875" style="4"/>
    <col min="12812" max="12812" width="11.33203125" style="4" customWidth="1"/>
    <col min="12813" max="12813" width="10.33203125" style="4" customWidth="1"/>
    <col min="12814" max="12814" width="4.44140625" style="4" customWidth="1"/>
    <col min="12815" max="12815" width="8.109375" style="4" customWidth="1"/>
    <col min="12816" max="12818" width="10.88671875" style="4" customWidth="1"/>
    <col min="12819" max="12819" width="19" style="4" customWidth="1"/>
    <col min="12820" max="12820" width="8.88671875" style="4"/>
    <col min="12821" max="12821" width="13.109375" style="4" customWidth="1"/>
    <col min="12822" max="12822" width="15.6640625" style="4" customWidth="1"/>
    <col min="12823" max="12823" width="14.5546875" style="4" customWidth="1"/>
    <col min="12824" max="12829" width="8.88671875" style="4"/>
    <col min="12830" max="12830" width="20.33203125" style="4" customWidth="1"/>
    <col min="12831" max="12836" width="8.88671875" style="4"/>
    <col min="12837" max="12837" width="14.33203125" style="4" customWidth="1"/>
    <col min="12838" max="13067" width="8.88671875" style="4"/>
    <col min="13068" max="13068" width="11.33203125" style="4" customWidth="1"/>
    <col min="13069" max="13069" width="10.33203125" style="4" customWidth="1"/>
    <col min="13070" max="13070" width="4.44140625" style="4" customWidth="1"/>
    <col min="13071" max="13071" width="8.109375" style="4" customWidth="1"/>
    <col min="13072" max="13074" width="10.88671875" style="4" customWidth="1"/>
    <col min="13075" max="13075" width="19" style="4" customWidth="1"/>
    <col min="13076" max="13076" width="8.88671875" style="4"/>
    <col min="13077" max="13077" width="13.109375" style="4" customWidth="1"/>
    <col min="13078" max="13078" width="15.6640625" style="4" customWidth="1"/>
    <col min="13079" max="13079" width="14.5546875" style="4" customWidth="1"/>
    <col min="13080" max="13085" width="8.88671875" style="4"/>
    <col min="13086" max="13086" width="20.33203125" style="4" customWidth="1"/>
    <col min="13087" max="13092" width="8.88671875" style="4"/>
    <col min="13093" max="13093" width="14.33203125" style="4" customWidth="1"/>
    <col min="13094" max="13323" width="8.88671875" style="4"/>
    <col min="13324" max="13324" width="11.33203125" style="4" customWidth="1"/>
    <col min="13325" max="13325" width="10.33203125" style="4" customWidth="1"/>
    <col min="13326" max="13326" width="4.44140625" style="4" customWidth="1"/>
    <col min="13327" max="13327" width="8.109375" style="4" customWidth="1"/>
    <col min="13328" max="13330" width="10.88671875" style="4" customWidth="1"/>
    <col min="13331" max="13331" width="19" style="4" customWidth="1"/>
    <col min="13332" max="13332" width="8.88671875" style="4"/>
    <col min="13333" max="13333" width="13.109375" style="4" customWidth="1"/>
    <col min="13334" max="13334" width="15.6640625" style="4" customWidth="1"/>
    <col min="13335" max="13335" width="14.5546875" style="4" customWidth="1"/>
    <col min="13336" max="13341" width="8.88671875" style="4"/>
    <col min="13342" max="13342" width="20.33203125" style="4" customWidth="1"/>
    <col min="13343" max="13348" width="8.88671875" style="4"/>
    <col min="13349" max="13349" width="14.33203125" style="4" customWidth="1"/>
    <col min="13350" max="13579" width="8.88671875" style="4"/>
    <col min="13580" max="13580" width="11.33203125" style="4" customWidth="1"/>
    <col min="13581" max="13581" width="10.33203125" style="4" customWidth="1"/>
    <col min="13582" max="13582" width="4.44140625" style="4" customWidth="1"/>
    <col min="13583" max="13583" width="8.109375" style="4" customWidth="1"/>
    <col min="13584" max="13586" width="10.88671875" style="4" customWidth="1"/>
    <col min="13587" max="13587" width="19" style="4" customWidth="1"/>
    <col min="13588" max="13588" width="8.88671875" style="4"/>
    <col min="13589" max="13589" width="13.109375" style="4" customWidth="1"/>
    <col min="13590" max="13590" width="15.6640625" style="4" customWidth="1"/>
    <col min="13591" max="13591" width="14.5546875" style="4" customWidth="1"/>
    <col min="13592" max="13597" width="8.88671875" style="4"/>
    <col min="13598" max="13598" width="20.33203125" style="4" customWidth="1"/>
    <col min="13599" max="13604" width="8.88671875" style="4"/>
    <col min="13605" max="13605" width="14.33203125" style="4" customWidth="1"/>
    <col min="13606" max="13835" width="8.88671875" style="4"/>
    <col min="13836" max="13836" width="11.33203125" style="4" customWidth="1"/>
    <col min="13837" max="13837" width="10.33203125" style="4" customWidth="1"/>
    <col min="13838" max="13838" width="4.44140625" style="4" customWidth="1"/>
    <col min="13839" max="13839" width="8.109375" style="4" customWidth="1"/>
    <col min="13840" max="13842" width="10.88671875" style="4" customWidth="1"/>
    <col min="13843" max="13843" width="19" style="4" customWidth="1"/>
    <col min="13844" max="13844" width="8.88671875" style="4"/>
    <col min="13845" max="13845" width="13.109375" style="4" customWidth="1"/>
    <col min="13846" max="13846" width="15.6640625" style="4" customWidth="1"/>
    <col min="13847" max="13847" width="14.5546875" style="4" customWidth="1"/>
    <col min="13848" max="13853" width="8.88671875" style="4"/>
    <col min="13854" max="13854" width="20.33203125" style="4" customWidth="1"/>
    <col min="13855" max="13860" width="8.88671875" style="4"/>
    <col min="13861" max="13861" width="14.33203125" style="4" customWidth="1"/>
    <col min="13862" max="14091" width="8.88671875" style="4"/>
    <col min="14092" max="14092" width="11.33203125" style="4" customWidth="1"/>
    <col min="14093" max="14093" width="10.33203125" style="4" customWidth="1"/>
    <col min="14094" max="14094" width="4.44140625" style="4" customWidth="1"/>
    <col min="14095" max="14095" width="8.109375" style="4" customWidth="1"/>
    <col min="14096" max="14098" width="10.88671875" style="4" customWidth="1"/>
    <col min="14099" max="14099" width="19" style="4" customWidth="1"/>
    <col min="14100" max="14100" width="8.88671875" style="4"/>
    <col min="14101" max="14101" width="13.109375" style="4" customWidth="1"/>
    <col min="14102" max="14102" width="15.6640625" style="4" customWidth="1"/>
    <col min="14103" max="14103" width="14.5546875" style="4" customWidth="1"/>
    <col min="14104" max="14109" width="8.88671875" style="4"/>
    <col min="14110" max="14110" width="20.33203125" style="4" customWidth="1"/>
    <col min="14111" max="14116" width="8.88671875" style="4"/>
    <col min="14117" max="14117" width="14.33203125" style="4" customWidth="1"/>
    <col min="14118" max="14347" width="8.88671875" style="4"/>
    <col min="14348" max="14348" width="11.33203125" style="4" customWidth="1"/>
    <col min="14349" max="14349" width="10.33203125" style="4" customWidth="1"/>
    <col min="14350" max="14350" width="4.44140625" style="4" customWidth="1"/>
    <col min="14351" max="14351" width="8.109375" style="4" customWidth="1"/>
    <col min="14352" max="14354" width="10.88671875" style="4" customWidth="1"/>
    <col min="14355" max="14355" width="19" style="4" customWidth="1"/>
    <col min="14356" max="14356" width="8.88671875" style="4"/>
    <col min="14357" max="14357" width="13.109375" style="4" customWidth="1"/>
    <col min="14358" max="14358" width="15.6640625" style="4" customWidth="1"/>
    <col min="14359" max="14359" width="14.5546875" style="4" customWidth="1"/>
    <col min="14360" max="14365" width="8.88671875" style="4"/>
    <col min="14366" max="14366" width="20.33203125" style="4" customWidth="1"/>
    <col min="14367" max="14372" width="8.88671875" style="4"/>
    <col min="14373" max="14373" width="14.33203125" style="4" customWidth="1"/>
    <col min="14374" max="14603" width="8.88671875" style="4"/>
    <col min="14604" max="14604" width="11.33203125" style="4" customWidth="1"/>
    <col min="14605" max="14605" width="10.33203125" style="4" customWidth="1"/>
    <col min="14606" max="14606" width="4.44140625" style="4" customWidth="1"/>
    <col min="14607" max="14607" width="8.109375" style="4" customWidth="1"/>
    <col min="14608" max="14610" width="10.88671875" style="4" customWidth="1"/>
    <col min="14611" max="14611" width="19" style="4" customWidth="1"/>
    <col min="14612" max="14612" width="8.88671875" style="4"/>
    <col min="14613" max="14613" width="13.109375" style="4" customWidth="1"/>
    <col min="14614" max="14614" width="15.6640625" style="4" customWidth="1"/>
    <col min="14615" max="14615" width="14.5546875" style="4" customWidth="1"/>
    <col min="14616" max="14621" width="8.88671875" style="4"/>
    <col min="14622" max="14622" width="20.33203125" style="4" customWidth="1"/>
    <col min="14623" max="14628" width="8.88671875" style="4"/>
    <col min="14629" max="14629" width="14.33203125" style="4" customWidth="1"/>
    <col min="14630" max="14859" width="8.88671875" style="4"/>
    <col min="14860" max="14860" width="11.33203125" style="4" customWidth="1"/>
    <col min="14861" max="14861" width="10.33203125" style="4" customWidth="1"/>
    <col min="14862" max="14862" width="4.44140625" style="4" customWidth="1"/>
    <col min="14863" max="14863" width="8.109375" style="4" customWidth="1"/>
    <col min="14864" max="14866" width="10.88671875" style="4" customWidth="1"/>
    <col min="14867" max="14867" width="19" style="4" customWidth="1"/>
    <col min="14868" max="14868" width="8.88671875" style="4"/>
    <col min="14869" max="14869" width="13.109375" style="4" customWidth="1"/>
    <col min="14870" max="14870" width="15.6640625" style="4" customWidth="1"/>
    <col min="14871" max="14871" width="14.5546875" style="4" customWidth="1"/>
    <col min="14872" max="14877" width="8.88671875" style="4"/>
    <col min="14878" max="14878" width="20.33203125" style="4" customWidth="1"/>
    <col min="14879" max="14884" width="8.88671875" style="4"/>
    <col min="14885" max="14885" width="14.33203125" style="4" customWidth="1"/>
    <col min="14886" max="15115" width="8.88671875" style="4"/>
    <col min="15116" max="15116" width="11.33203125" style="4" customWidth="1"/>
    <col min="15117" max="15117" width="10.33203125" style="4" customWidth="1"/>
    <col min="15118" max="15118" width="4.44140625" style="4" customWidth="1"/>
    <col min="15119" max="15119" width="8.109375" style="4" customWidth="1"/>
    <col min="15120" max="15122" width="10.88671875" style="4" customWidth="1"/>
    <col min="15123" max="15123" width="19" style="4" customWidth="1"/>
    <col min="15124" max="15124" width="8.88671875" style="4"/>
    <col min="15125" max="15125" width="13.109375" style="4" customWidth="1"/>
    <col min="15126" max="15126" width="15.6640625" style="4" customWidth="1"/>
    <col min="15127" max="15127" width="14.5546875" style="4" customWidth="1"/>
    <col min="15128" max="15133" width="8.88671875" style="4"/>
    <col min="15134" max="15134" width="20.33203125" style="4" customWidth="1"/>
    <col min="15135" max="15140" width="8.88671875" style="4"/>
    <col min="15141" max="15141" width="14.33203125" style="4" customWidth="1"/>
    <col min="15142" max="15371" width="8.88671875" style="4"/>
    <col min="15372" max="15372" width="11.33203125" style="4" customWidth="1"/>
    <col min="15373" max="15373" width="10.33203125" style="4" customWidth="1"/>
    <col min="15374" max="15374" width="4.44140625" style="4" customWidth="1"/>
    <col min="15375" max="15375" width="8.109375" style="4" customWidth="1"/>
    <col min="15376" max="15378" width="10.88671875" style="4" customWidth="1"/>
    <col min="15379" max="15379" width="19" style="4" customWidth="1"/>
    <col min="15380" max="15380" width="8.88671875" style="4"/>
    <col min="15381" max="15381" width="13.109375" style="4" customWidth="1"/>
    <col min="15382" max="15382" width="15.6640625" style="4" customWidth="1"/>
    <col min="15383" max="15383" width="14.5546875" style="4" customWidth="1"/>
    <col min="15384" max="15389" width="8.88671875" style="4"/>
    <col min="15390" max="15390" width="20.33203125" style="4" customWidth="1"/>
    <col min="15391" max="15396" width="8.88671875" style="4"/>
    <col min="15397" max="15397" width="14.33203125" style="4" customWidth="1"/>
    <col min="15398" max="15627" width="8.88671875" style="4"/>
    <col min="15628" max="15628" width="11.33203125" style="4" customWidth="1"/>
    <col min="15629" max="15629" width="10.33203125" style="4" customWidth="1"/>
    <col min="15630" max="15630" width="4.44140625" style="4" customWidth="1"/>
    <col min="15631" max="15631" width="8.109375" style="4" customWidth="1"/>
    <col min="15632" max="15634" width="10.88671875" style="4" customWidth="1"/>
    <col min="15635" max="15635" width="19" style="4" customWidth="1"/>
    <col min="15636" max="15636" width="8.88671875" style="4"/>
    <col min="15637" max="15637" width="13.109375" style="4" customWidth="1"/>
    <col min="15638" max="15638" width="15.6640625" style="4" customWidth="1"/>
    <col min="15639" max="15639" width="14.5546875" style="4" customWidth="1"/>
    <col min="15640" max="15645" width="8.88671875" style="4"/>
    <col min="15646" max="15646" width="20.33203125" style="4" customWidth="1"/>
    <col min="15647" max="15652" width="8.88671875" style="4"/>
    <col min="15653" max="15653" width="14.33203125" style="4" customWidth="1"/>
    <col min="15654" max="15883" width="8.88671875" style="4"/>
    <col min="15884" max="15884" width="11.33203125" style="4" customWidth="1"/>
    <col min="15885" max="15885" width="10.33203125" style="4" customWidth="1"/>
    <col min="15886" max="15886" width="4.44140625" style="4" customWidth="1"/>
    <col min="15887" max="15887" width="8.109375" style="4" customWidth="1"/>
    <col min="15888" max="15890" width="10.88671875" style="4" customWidth="1"/>
    <col min="15891" max="15891" width="19" style="4" customWidth="1"/>
    <col min="15892" max="15892" width="8.88671875" style="4"/>
    <col min="15893" max="15893" width="13.109375" style="4" customWidth="1"/>
    <col min="15894" max="15894" width="15.6640625" style="4" customWidth="1"/>
    <col min="15895" max="15895" width="14.5546875" style="4" customWidth="1"/>
    <col min="15896" max="15901" width="8.88671875" style="4"/>
    <col min="15902" max="15902" width="20.33203125" style="4" customWidth="1"/>
    <col min="15903" max="15908" width="8.88671875" style="4"/>
    <col min="15909" max="15909" width="14.33203125" style="4" customWidth="1"/>
    <col min="15910" max="16139" width="8.88671875" style="4"/>
    <col min="16140" max="16140" width="11.33203125" style="4" customWidth="1"/>
    <col min="16141" max="16141" width="10.33203125" style="4" customWidth="1"/>
    <col min="16142" max="16142" width="4.44140625" style="4" customWidth="1"/>
    <col min="16143" max="16143" width="8.109375" style="4" customWidth="1"/>
    <col min="16144" max="16146" width="10.88671875" style="4" customWidth="1"/>
    <col min="16147" max="16147" width="19" style="4" customWidth="1"/>
    <col min="16148" max="16148" width="8.88671875" style="4"/>
    <col min="16149" max="16149" width="13.109375" style="4" customWidth="1"/>
    <col min="16150" max="16150" width="15.6640625" style="4" customWidth="1"/>
    <col min="16151" max="16151" width="14.5546875" style="4" customWidth="1"/>
    <col min="16152" max="16157" width="8.88671875" style="4"/>
    <col min="16158" max="16158" width="20.33203125" style="4" customWidth="1"/>
    <col min="16159" max="16164" width="8.88671875" style="4"/>
    <col min="16165" max="16165" width="14.33203125" style="4" customWidth="1"/>
    <col min="16166" max="16384" width="8.88671875" style="4"/>
  </cols>
  <sheetData>
    <row r="1" spans="1:309" ht="23.4" x14ac:dyDescent="0.45">
      <c r="A1" s="90" t="s">
        <v>0</v>
      </c>
      <c r="B1" s="91"/>
      <c r="C1" s="52"/>
      <c r="D1" s="124" t="s">
        <v>1</v>
      </c>
      <c r="E1" s="125"/>
      <c r="F1" s="125"/>
      <c r="G1" s="125"/>
      <c r="H1" s="125"/>
      <c r="I1" s="125"/>
      <c r="J1" s="125"/>
      <c r="K1" s="125"/>
      <c r="L1" s="125"/>
      <c r="M1" s="125"/>
      <c r="N1" s="125"/>
      <c r="O1" s="125"/>
      <c r="P1" s="125"/>
      <c r="Q1" s="125"/>
      <c r="R1" s="125"/>
      <c r="S1" s="125"/>
      <c r="T1" s="125"/>
      <c r="U1" s="107"/>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row>
    <row r="2" spans="1:309" ht="57" customHeight="1" x14ac:dyDescent="0.3">
      <c r="A2" s="88"/>
      <c r="B2" s="89"/>
      <c r="C2" s="52"/>
      <c r="D2" s="125"/>
      <c r="E2" s="125"/>
      <c r="F2" s="125"/>
      <c r="G2" s="125"/>
      <c r="H2" s="125"/>
      <c r="I2" s="125"/>
      <c r="J2" s="125"/>
      <c r="K2" s="125"/>
      <c r="L2" s="125"/>
      <c r="M2" s="125"/>
      <c r="N2" s="125"/>
      <c r="O2" s="125"/>
      <c r="P2" s="125"/>
      <c r="Q2" s="125"/>
      <c r="R2" s="125"/>
      <c r="S2" s="125"/>
      <c r="T2" s="125"/>
      <c r="U2" s="107"/>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c r="KL2" s="28"/>
      <c r="KM2" s="28"/>
      <c r="KN2" s="28"/>
      <c r="KO2" s="28"/>
      <c r="KP2" s="28"/>
      <c r="KQ2" s="28"/>
      <c r="KR2" s="28"/>
      <c r="KS2" s="28"/>
      <c r="KT2" s="28"/>
      <c r="KU2" s="28"/>
      <c r="KV2" s="28"/>
      <c r="KW2" s="28"/>
    </row>
    <row r="3" spans="1:309" ht="21.6" thickBot="1" x14ac:dyDescent="0.35">
      <c r="A3" s="88"/>
      <c r="B3" s="89"/>
      <c r="C3" s="52"/>
      <c r="D3" s="52"/>
      <c r="E3" s="51"/>
      <c r="F3" s="51"/>
      <c r="G3" s="51"/>
      <c r="H3" s="51"/>
      <c r="I3" s="51"/>
      <c r="J3" s="51"/>
      <c r="K3" s="51"/>
      <c r="L3" s="51"/>
      <c r="M3" s="70"/>
      <c r="N3" s="71"/>
      <c r="O3" s="71"/>
      <c r="P3" s="104"/>
      <c r="Q3" s="104"/>
      <c r="R3" s="104"/>
      <c r="S3" s="104"/>
      <c r="T3" s="104"/>
      <c r="U3" s="10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B3" s="28"/>
      <c r="IC3" s="28"/>
      <c r="ID3" s="28"/>
      <c r="IE3" s="28"/>
      <c r="IF3" s="28"/>
      <c r="IG3" s="28"/>
      <c r="IH3" s="28"/>
      <c r="II3" s="28"/>
      <c r="IJ3" s="28"/>
      <c r="IK3" s="28"/>
      <c r="IL3" s="28"/>
      <c r="IM3" s="28"/>
      <c r="IN3" s="28"/>
      <c r="IO3" s="28"/>
      <c r="IP3" s="28"/>
      <c r="IQ3" s="28"/>
      <c r="IR3" s="28"/>
      <c r="IS3" s="28"/>
      <c r="IT3" s="28"/>
      <c r="IU3" s="28"/>
      <c r="IV3" s="28"/>
      <c r="IW3" s="28"/>
      <c r="IX3" s="28"/>
      <c r="IY3" s="28"/>
      <c r="IZ3" s="28"/>
      <c r="JA3" s="28"/>
      <c r="JB3" s="28"/>
      <c r="JC3" s="28"/>
      <c r="JD3" s="28"/>
      <c r="JE3" s="28"/>
      <c r="JF3" s="28"/>
      <c r="JG3" s="28"/>
      <c r="JH3" s="28"/>
      <c r="JI3" s="28"/>
      <c r="JJ3" s="28"/>
      <c r="JK3" s="28"/>
      <c r="JL3" s="28"/>
      <c r="JM3" s="28"/>
      <c r="JN3" s="28"/>
      <c r="JO3" s="28"/>
      <c r="JP3" s="28"/>
      <c r="JQ3" s="28"/>
      <c r="JR3" s="28"/>
      <c r="JS3" s="28"/>
      <c r="JT3" s="28"/>
      <c r="JU3" s="28"/>
      <c r="JV3" s="28"/>
      <c r="JW3" s="28"/>
      <c r="JX3" s="28"/>
      <c r="JY3" s="28"/>
      <c r="JZ3" s="28"/>
      <c r="KA3" s="28"/>
      <c r="KB3" s="28"/>
      <c r="KC3" s="28"/>
      <c r="KD3" s="28"/>
      <c r="KE3" s="28"/>
      <c r="KF3" s="28"/>
      <c r="KG3" s="28"/>
      <c r="KH3" s="28"/>
      <c r="KI3" s="28"/>
      <c r="KJ3" s="28"/>
      <c r="KK3" s="28"/>
      <c r="KL3" s="28"/>
      <c r="KM3" s="28"/>
      <c r="KN3" s="28"/>
      <c r="KO3" s="28"/>
      <c r="KP3" s="28"/>
      <c r="KQ3" s="28"/>
      <c r="KR3" s="28"/>
      <c r="KS3" s="28"/>
      <c r="KT3" s="28"/>
      <c r="KU3" s="28"/>
      <c r="KV3" s="28"/>
      <c r="KW3" s="28"/>
    </row>
    <row r="4" spans="1:309" ht="15" customHeight="1" thickBot="1" x14ac:dyDescent="0.35">
      <c r="A4" s="55"/>
      <c r="B4" s="56"/>
      <c r="C4" s="52"/>
      <c r="D4" s="52"/>
      <c r="E4" s="52"/>
      <c r="F4" s="65" t="s">
        <v>2</v>
      </c>
      <c r="G4" s="51"/>
      <c r="H4" s="51"/>
      <c r="I4" s="51"/>
      <c r="J4" s="121" t="s">
        <v>3</v>
      </c>
      <c r="K4" s="122"/>
      <c r="L4" s="122"/>
      <c r="M4" s="122"/>
      <c r="N4" s="123"/>
      <c r="O4" s="105"/>
      <c r="P4" s="126" t="s">
        <v>4</v>
      </c>
      <c r="Q4" s="127"/>
      <c r="R4" s="127"/>
      <c r="S4" s="127"/>
      <c r="T4" s="127"/>
      <c r="U4" s="127"/>
      <c r="X4" s="39" t="s">
        <v>5</v>
      </c>
      <c r="Y4" s="40" t="s">
        <v>6</v>
      </c>
      <c r="Z4" s="41" t="s">
        <v>7</v>
      </c>
      <c r="AB4" s="39" t="s">
        <v>8</v>
      </c>
      <c r="AC4" s="40" t="s">
        <v>9</v>
      </c>
      <c r="AD4" s="41" t="s">
        <v>10</v>
      </c>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28"/>
      <c r="IW4" s="28"/>
      <c r="IX4" s="28"/>
      <c r="IY4" s="28"/>
      <c r="IZ4" s="28"/>
      <c r="JA4" s="28"/>
      <c r="JB4" s="28"/>
      <c r="JC4" s="28"/>
      <c r="JD4" s="28"/>
      <c r="JE4" s="28"/>
      <c r="JF4" s="28"/>
      <c r="JG4" s="28"/>
      <c r="JH4" s="28"/>
      <c r="JI4" s="28"/>
      <c r="JJ4" s="28"/>
      <c r="JK4" s="28"/>
      <c r="JL4" s="28"/>
      <c r="JM4" s="28"/>
      <c r="JN4" s="28"/>
      <c r="JO4" s="28"/>
      <c r="JP4" s="28"/>
      <c r="JQ4" s="28"/>
      <c r="JR4" s="28"/>
      <c r="JS4" s="28"/>
      <c r="JT4" s="28"/>
      <c r="JU4" s="28"/>
      <c r="JV4" s="28"/>
      <c r="JW4" s="28"/>
      <c r="JX4" s="28"/>
      <c r="JY4" s="28"/>
      <c r="JZ4" s="28"/>
      <c r="KA4" s="28"/>
      <c r="KB4" s="28"/>
      <c r="KC4" s="28"/>
      <c r="KD4" s="28"/>
      <c r="KE4" s="28"/>
      <c r="KF4" s="28"/>
      <c r="KG4" s="28"/>
      <c r="KH4" s="28"/>
      <c r="KI4" s="28"/>
      <c r="KJ4" s="28"/>
      <c r="KK4" s="28"/>
      <c r="KL4" s="28"/>
      <c r="KM4" s="28"/>
      <c r="KN4" s="28"/>
      <c r="KO4" s="28"/>
      <c r="KP4" s="28"/>
      <c r="KQ4" s="28"/>
      <c r="KR4" s="28"/>
      <c r="KS4" s="28"/>
      <c r="KT4" s="28"/>
      <c r="KU4" s="28"/>
      <c r="KV4" s="28"/>
      <c r="KW4" s="28"/>
    </row>
    <row r="5" spans="1:309" ht="14.4" customHeight="1" thickBot="1" x14ac:dyDescent="0.35">
      <c r="A5" s="57" t="s">
        <v>11</v>
      </c>
      <c r="B5" s="133"/>
      <c r="C5" s="133"/>
      <c r="D5" s="133"/>
      <c r="E5" s="53"/>
      <c r="F5" s="66"/>
      <c r="G5" s="51"/>
      <c r="H5" s="51"/>
      <c r="I5" s="51"/>
      <c r="J5" s="80"/>
      <c r="K5" s="81"/>
      <c r="L5" s="82"/>
      <c r="M5" s="81"/>
      <c r="N5" s="83"/>
      <c r="O5" s="105"/>
      <c r="P5" s="129" t="s">
        <v>12</v>
      </c>
      <c r="Q5" s="130"/>
      <c r="R5" s="130" t="s">
        <v>13</v>
      </c>
      <c r="S5" s="130"/>
      <c r="T5" s="102" t="s">
        <v>14</v>
      </c>
      <c r="U5" s="103" t="s">
        <v>15</v>
      </c>
      <c r="X5" s="42" t="s">
        <v>6</v>
      </c>
      <c r="Y5" s="3" t="s">
        <v>16</v>
      </c>
      <c r="Z5" s="43" t="s">
        <v>17</v>
      </c>
      <c r="AB5" s="42" t="s">
        <v>9</v>
      </c>
      <c r="AC5" s="3" t="s">
        <v>18</v>
      </c>
      <c r="AD5" s="43" t="s">
        <v>18</v>
      </c>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28"/>
      <c r="IW5" s="28"/>
      <c r="IX5" s="28"/>
      <c r="IY5" s="28"/>
      <c r="IZ5" s="28"/>
      <c r="JA5" s="28"/>
      <c r="JB5" s="28"/>
      <c r="JC5" s="28"/>
      <c r="JD5" s="28"/>
      <c r="JE5" s="28"/>
      <c r="JF5" s="28"/>
      <c r="JG5" s="28"/>
      <c r="JH5" s="28"/>
      <c r="JI5" s="28"/>
      <c r="JJ5" s="28"/>
      <c r="JK5" s="28"/>
      <c r="JL5" s="28"/>
      <c r="JM5" s="28"/>
      <c r="JN5" s="28"/>
      <c r="JO5" s="28"/>
      <c r="JP5" s="28"/>
      <c r="JQ5" s="28"/>
      <c r="JR5" s="28"/>
      <c r="JS5" s="28"/>
      <c r="JT5" s="28"/>
      <c r="JU5" s="28"/>
      <c r="JV5" s="28"/>
      <c r="JW5" s="28"/>
      <c r="JX5" s="28"/>
      <c r="JY5" s="28"/>
      <c r="JZ5" s="28"/>
      <c r="KA5" s="28"/>
      <c r="KB5" s="28"/>
      <c r="KC5" s="28"/>
      <c r="KD5" s="28"/>
      <c r="KE5" s="28"/>
      <c r="KF5" s="28"/>
      <c r="KG5" s="28"/>
      <c r="KH5" s="28"/>
      <c r="KI5" s="28"/>
      <c r="KJ5" s="28"/>
      <c r="KK5" s="28"/>
      <c r="KL5" s="28"/>
      <c r="KM5" s="28"/>
      <c r="KN5" s="28"/>
      <c r="KO5" s="28"/>
      <c r="KP5" s="28"/>
      <c r="KQ5" s="28"/>
      <c r="KR5" s="28"/>
      <c r="KS5" s="28"/>
      <c r="KT5" s="28"/>
      <c r="KU5" s="28"/>
      <c r="KV5" s="28"/>
      <c r="KW5" s="28"/>
    </row>
    <row r="6" spans="1:309" ht="15.6" x14ac:dyDescent="0.3">
      <c r="A6" s="58"/>
      <c r="B6" s="59"/>
      <c r="C6" s="53"/>
      <c r="D6" s="53"/>
      <c r="E6" s="53"/>
      <c r="F6" s="67" t="s">
        <v>19</v>
      </c>
      <c r="G6" s="115"/>
      <c r="H6" s="68" t="s">
        <v>20</v>
      </c>
      <c r="I6" s="66"/>
      <c r="J6" s="131" t="s">
        <v>21</v>
      </c>
      <c r="K6" s="132"/>
      <c r="L6" s="132"/>
      <c r="M6" s="132"/>
      <c r="N6" s="76"/>
      <c r="O6" s="105"/>
      <c r="P6" s="120" t="s">
        <v>22</v>
      </c>
      <c r="Q6" s="118"/>
      <c r="R6" s="118">
        <v>1</v>
      </c>
      <c r="S6" s="118"/>
      <c r="T6" s="109" t="s">
        <v>23</v>
      </c>
      <c r="U6" s="101" t="s">
        <v>24</v>
      </c>
      <c r="X6" s="42" t="s">
        <v>7</v>
      </c>
      <c r="Y6" s="3" t="s">
        <v>17</v>
      </c>
      <c r="Z6" s="43" t="s">
        <v>25</v>
      </c>
      <c r="AB6" s="42" t="s">
        <v>10</v>
      </c>
      <c r="AC6" s="3" t="s">
        <v>26</v>
      </c>
      <c r="AD6" s="43" t="s">
        <v>26</v>
      </c>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c r="JX6" s="28"/>
      <c r="JY6" s="28"/>
      <c r="JZ6" s="28"/>
      <c r="KA6" s="28"/>
      <c r="KB6" s="28"/>
      <c r="KC6" s="28"/>
      <c r="KD6" s="28"/>
      <c r="KE6" s="28"/>
      <c r="KF6" s="28"/>
      <c r="KG6" s="28"/>
      <c r="KH6" s="28"/>
      <c r="KI6" s="28"/>
      <c r="KJ6" s="28"/>
      <c r="KK6" s="28"/>
      <c r="KL6" s="28"/>
      <c r="KM6" s="28"/>
      <c r="KN6" s="28"/>
      <c r="KO6" s="28"/>
      <c r="KP6" s="28"/>
      <c r="KQ6" s="28"/>
      <c r="KR6" s="28"/>
      <c r="KS6" s="28"/>
      <c r="KT6" s="28"/>
      <c r="KU6" s="28"/>
      <c r="KV6" s="28"/>
      <c r="KW6" s="28"/>
    </row>
    <row r="7" spans="1:309" ht="15" customHeight="1" x14ac:dyDescent="0.3">
      <c r="A7" s="57" t="s">
        <v>27</v>
      </c>
      <c r="B7" s="133"/>
      <c r="C7" s="133"/>
      <c r="D7" s="133"/>
      <c r="E7" s="54"/>
      <c r="F7" s="67" t="s">
        <v>28</v>
      </c>
      <c r="G7" s="115"/>
      <c r="H7" s="68" t="s">
        <v>29</v>
      </c>
      <c r="I7" s="66"/>
      <c r="J7" s="80"/>
      <c r="K7" s="81"/>
      <c r="L7" s="82"/>
      <c r="M7" s="81"/>
      <c r="N7" s="83"/>
      <c r="O7" s="105"/>
      <c r="P7" s="128" t="s">
        <v>30</v>
      </c>
      <c r="Q7" s="119"/>
      <c r="R7" s="119" t="s">
        <v>31</v>
      </c>
      <c r="S7" s="119"/>
      <c r="T7" s="110" t="s">
        <v>23</v>
      </c>
      <c r="U7" s="99" t="s">
        <v>32</v>
      </c>
      <c r="X7" s="42"/>
      <c r="Y7" s="3" t="s">
        <v>25</v>
      </c>
      <c r="Z7" s="43" t="s">
        <v>33</v>
      </c>
      <c r="AB7" s="42"/>
      <c r="AC7" s="3" t="s">
        <v>34</v>
      </c>
      <c r="AD7" s="43" t="s">
        <v>34</v>
      </c>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c r="KL7" s="28"/>
      <c r="KM7" s="28"/>
      <c r="KN7" s="28"/>
      <c r="KO7" s="28"/>
      <c r="KP7" s="28"/>
      <c r="KQ7" s="28"/>
      <c r="KR7" s="28"/>
      <c r="KS7" s="28"/>
      <c r="KT7" s="28"/>
      <c r="KU7" s="28"/>
      <c r="KV7" s="28"/>
      <c r="KW7" s="28"/>
    </row>
    <row r="8" spans="1:309" ht="15" customHeight="1" x14ac:dyDescent="0.3">
      <c r="A8" s="58"/>
      <c r="B8" s="59"/>
      <c r="C8" s="53"/>
      <c r="D8" s="53"/>
      <c r="E8" s="53"/>
      <c r="F8" s="67" t="s">
        <v>35</v>
      </c>
      <c r="G8" s="115"/>
      <c r="H8" s="68" t="s">
        <v>36</v>
      </c>
      <c r="I8" s="66"/>
      <c r="J8" s="131" t="s">
        <v>37</v>
      </c>
      <c r="K8" s="132"/>
      <c r="L8" s="132"/>
      <c r="M8" s="132"/>
      <c r="N8" s="112" t="str">
        <f>IF(N6&lt;0.01,"very low",IF(AND(N6&gt;=0.01,N6&lt;500),"low",IF(AND(N6&gt;=500,N6&lt;=10000),"medium","high")))</f>
        <v>very low</v>
      </c>
      <c r="O8" s="105"/>
      <c r="P8" s="128" t="s">
        <v>38</v>
      </c>
      <c r="Q8" s="119"/>
      <c r="R8" s="119" t="s">
        <v>39</v>
      </c>
      <c r="S8" s="119"/>
      <c r="T8" s="110" t="s">
        <v>40</v>
      </c>
      <c r="U8" s="99" t="s">
        <v>41</v>
      </c>
      <c r="X8" s="44"/>
      <c r="Y8" s="45" t="s">
        <v>33</v>
      </c>
      <c r="Z8" s="46"/>
      <c r="AB8" s="44"/>
      <c r="AC8" s="45" t="s">
        <v>42</v>
      </c>
      <c r="AD8" s="46"/>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8"/>
      <c r="KO8" s="28"/>
      <c r="KP8" s="28"/>
      <c r="KQ8" s="28"/>
      <c r="KR8" s="28"/>
      <c r="KS8" s="28"/>
      <c r="KT8" s="28"/>
      <c r="KU8" s="28"/>
      <c r="KV8" s="28"/>
      <c r="KW8" s="28"/>
    </row>
    <row r="9" spans="1:309" ht="15" customHeight="1" thickBot="1" x14ac:dyDescent="0.35">
      <c r="A9" s="57" t="s">
        <v>43</v>
      </c>
      <c r="B9" s="77"/>
      <c r="C9" s="60" t="s">
        <v>44</v>
      </c>
      <c r="D9" s="53"/>
      <c r="E9" s="53"/>
      <c r="F9" s="67" t="s">
        <v>45</v>
      </c>
      <c r="G9" s="115"/>
      <c r="H9" s="69" t="s">
        <v>46</v>
      </c>
      <c r="I9" s="66"/>
      <c r="J9" s="84"/>
      <c r="K9" s="85"/>
      <c r="L9" s="86"/>
      <c r="M9" s="86"/>
      <c r="N9" s="87"/>
      <c r="O9" s="105"/>
      <c r="P9" s="116" t="s">
        <v>47</v>
      </c>
      <c r="Q9" s="117"/>
      <c r="R9" s="117" t="s">
        <v>48</v>
      </c>
      <c r="S9" s="117"/>
      <c r="T9" s="111" t="s">
        <v>49</v>
      </c>
      <c r="U9" s="100" t="s">
        <v>50</v>
      </c>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c r="KD9" s="28"/>
      <c r="KE9" s="28"/>
      <c r="KF9" s="28"/>
      <c r="KG9" s="28"/>
      <c r="KH9" s="28"/>
      <c r="KI9" s="28"/>
      <c r="KJ9" s="28"/>
      <c r="KK9" s="28"/>
      <c r="KL9" s="28"/>
      <c r="KM9" s="28"/>
      <c r="KN9" s="28"/>
      <c r="KO9" s="28"/>
      <c r="KP9" s="28"/>
      <c r="KQ9" s="28"/>
      <c r="KR9" s="28"/>
      <c r="KS9" s="28"/>
      <c r="KT9" s="28"/>
      <c r="KU9" s="28"/>
      <c r="KV9" s="28"/>
      <c r="KW9" s="28"/>
    </row>
    <row r="10" spans="1:309" x14ac:dyDescent="0.3">
      <c r="A10" s="55"/>
      <c r="B10" s="59"/>
      <c r="C10" s="52"/>
      <c r="D10" s="52"/>
      <c r="E10" s="52"/>
      <c r="F10" s="51"/>
      <c r="G10" s="66"/>
      <c r="H10" s="66"/>
      <c r="I10" s="66"/>
      <c r="J10" s="66"/>
      <c r="K10" s="66"/>
      <c r="L10" s="66"/>
      <c r="M10" s="72"/>
      <c r="N10" s="73"/>
      <c r="O10" s="73"/>
      <c r="P10" s="73"/>
      <c r="Q10" s="73"/>
      <c r="R10" s="73"/>
      <c r="S10" s="73"/>
      <c r="T10" s="73"/>
      <c r="U10" s="106"/>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c r="KL10" s="28"/>
      <c r="KM10" s="28"/>
      <c r="KN10" s="28"/>
      <c r="KO10" s="28"/>
      <c r="KP10" s="28"/>
      <c r="KQ10" s="28"/>
      <c r="KR10" s="28"/>
      <c r="KS10" s="28"/>
      <c r="KT10" s="28"/>
      <c r="KU10" s="28"/>
      <c r="KV10" s="28"/>
      <c r="KW10" s="28"/>
    </row>
    <row r="11" spans="1:309" ht="59.4" customHeight="1" x14ac:dyDescent="0.3">
      <c r="A11" s="61" t="s">
        <v>51</v>
      </c>
      <c r="B11" s="62" t="s">
        <v>52</v>
      </c>
      <c r="C11" s="63" t="s">
        <v>53</v>
      </c>
      <c r="D11" s="64" t="s">
        <v>54</v>
      </c>
      <c r="E11" s="63" t="s">
        <v>55</v>
      </c>
      <c r="F11" s="63" t="s">
        <v>56</v>
      </c>
      <c r="G11" s="63" t="s">
        <v>57</v>
      </c>
      <c r="H11" s="63" t="s">
        <v>58</v>
      </c>
      <c r="I11" s="63" t="s">
        <v>59</v>
      </c>
      <c r="J11" s="63" t="s">
        <v>60</v>
      </c>
      <c r="K11" s="63" t="s">
        <v>61</v>
      </c>
      <c r="L11" s="64" t="s">
        <v>62</v>
      </c>
      <c r="M11" s="74" t="s">
        <v>63</v>
      </c>
      <c r="N11" s="74" t="s">
        <v>64</v>
      </c>
      <c r="O11" s="74" t="s">
        <v>65</v>
      </c>
      <c r="P11" s="74" t="s">
        <v>66</v>
      </c>
      <c r="Q11" s="74" t="s">
        <v>67</v>
      </c>
      <c r="R11" s="74" t="s">
        <v>68</v>
      </c>
      <c r="S11" s="74" t="s">
        <v>69</v>
      </c>
      <c r="T11" s="74" t="s">
        <v>70</v>
      </c>
      <c r="U11" s="75" t="s">
        <v>71</v>
      </c>
      <c r="V11" s="93"/>
      <c r="W11" s="93" t="s">
        <v>55</v>
      </c>
      <c r="X11" s="94" t="s">
        <v>72</v>
      </c>
      <c r="Y11" s="94" t="s">
        <v>73</v>
      </c>
      <c r="Z11" s="94" t="s">
        <v>74</v>
      </c>
      <c r="AA11" s="94" t="s">
        <v>75</v>
      </c>
      <c r="AB11" s="94" t="s">
        <v>76</v>
      </c>
      <c r="AC11" s="94" t="s">
        <v>77</v>
      </c>
      <c r="AD11" s="94" t="s">
        <v>78</v>
      </c>
      <c r="AE11" s="95" t="s">
        <v>79</v>
      </c>
      <c r="AF11" s="96" t="s">
        <v>80</v>
      </c>
      <c r="AG11" s="97" t="s">
        <v>81</v>
      </c>
      <c r="AH11" s="97" t="s">
        <v>81</v>
      </c>
      <c r="AI11" s="95"/>
      <c r="AJ11" s="93" t="s">
        <v>82</v>
      </c>
      <c r="AK11" s="93" t="s">
        <v>83</v>
      </c>
      <c r="AL11" s="93" t="s">
        <v>84</v>
      </c>
      <c r="AM11" s="9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8"/>
      <c r="KO11" s="28"/>
      <c r="KP11" s="28"/>
      <c r="KQ11" s="28"/>
      <c r="KR11" s="28"/>
      <c r="KS11" s="28"/>
      <c r="KT11" s="28"/>
      <c r="KU11" s="28"/>
      <c r="KV11" s="28"/>
      <c r="KW11" s="28"/>
    </row>
    <row r="12" spans="1:309" s="28" customFormat="1" ht="60" customHeight="1" x14ac:dyDescent="0.3">
      <c r="A12" s="92"/>
      <c r="B12" s="79"/>
      <c r="C12" s="79"/>
      <c r="D12" s="79"/>
      <c r="E12" s="79"/>
      <c r="F12" s="79"/>
      <c r="G12" s="79"/>
      <c r="H12" s="79"/>
      <c r="I12" s="79"/>
      <c r="J12" s="79"/>
      <c r="K12" s="79"/>
      <c r="L12" s="79"/>
      <c r="M12" s="113" t="str">
        <f>IF(AF12="n/a","change input",IF(AND(F12="outdoors",I12="yes"),"change input",IF(AND(C12="prof",F12="indoors - enhanced ventilation",I12="yes"),"change input",AF12*X12*Y12*AA12*AB12*VLOOKUP(AE12,TRAlookup!$A$2:$H$729,5,FALSE))))</f>
        <v>change input</v>
      </c>
      <c r="N12" s="114" t="e">
        <f>IF(OR(AG12="n/a",M12="change input"),"n/a",IF(L12="yes",AG12*Z12*AA12*AC12*VLOOKUP(AE12,TRAlookup!$A$2:$H$729,6,FALSE),AG12*Z12*AA12*AC12))</f>
        <v>#N/A</v>
      </c>
      <c r="O12" s="114" t="str">
        <f t="shared" ref="O12:O31" si="0">IF(OR(M12="n/a",M12="change input"),"n/a",M12*AD12/Y12)</f>
        <v>n/a</v>
      </c>
      <c r="P12" s="114" t="e">
        <f>IF(OR(AG12="n/a",M12="change input"),"n/a",IF(L12="yes",AH12*Z12*AA12*AC12*VLOOKUP(AE12,TRAlookup!$A$2:$H$729,6,FALSE),AH12*Z12*AA12*AC12))</f>
        <v>#N/A</v>
      </c>
      <c r="Q12" s="114" t="str">
        <f>IF(OR(M12="n/a",M12="change input"),"n/a",M12/$G$6)</f>
        <v>n/a</v>
      </c>
      <c r="R12" s="114" t="e">
        <f>IF(N12="n/a","n/a",N12/$G$7)</f>
        <v>#N/A</v>
      </c>
      <c r="S12" s="114" t="str">
        <f>IF(O12="n/a","n/a",O12/$G$8)</f>
        <v>n/a</v>
      </c>
      <c r="T12" s="114" t="e">
        <f>IF(P12="n/a","n/a",P12/$G$9)</f>
        <v>#N/A</v>
      </c>
      <c r="U12" s="26" t="e">
        <f>IF(AND(D12="solid",E12="very low"),"Incorrect fugacity for solids.",IF(AF12="n/a",VLOOKUP(AE12,TRAlookup!$A$2:$H$729,8,FALSE),IF(AND(F12="outdoors",I12="yes"),"Combination 'outdoors' and 'LEV' not allowed. ",IF(AND(C12="prof",F12="indoors - enhanced ventilation",I12="yes"),"Combination  'indoors - enhanced ventilation' and 'LEV' not allowed for professional setting. ",CONCATENATE(AJ12,AK12,AL12)))))</f>
        <v>#N/A</v>
      </c>
      <c r="V12" s="27"/>
      <c r="W12" s="47">
        <f>E12</f>
        <v>0</v>
      </c>
      <c r="X12" s="15">
        <f>IF(F12="outdoors",0.7, IF(F12="indoors - good ventilation",0.7, IF(F12="indoors - enhanced ventilation",0.3,1)))</f>
        <v>1</v>
      </c>
      <c r="Y12" s="15">
        <f t="shared" ref="Y12:Y31" si="1">IF(G12="&lt;15min",0.1, IF(G12="15min-1hr",0.2, IF(G12="1-4hr",0.6,1)))</f>
        <v>1</v>
      </c>
      <c r="Z12" s="15">
        <f>IF(AND(D12="solid",OR(W12="medium",W12="high")),1,IF(AND(D12="liquid",OR(W12="very low",W12="low")),1,Y12))</f>
        <v>1</v>
      </c>
      <c r="AA12" s="15">
        <f t="shared" ref="AA12:AA31" si="2">IF(H12="&lt;1%",0.1, IF(H12="1-5%",0.2, IF(H12="5-25%",0.6,1)))</f>
        <v>1</v>
      </c>
      <c r="AB12" s="15">
        <f t="shared" ref="AB12:AB31" si="3">IF(J12="RPE90%",0.1, IF(J12="RPE95%",0.05,1))</f>
        <v>1</v>
      </c>
      <c r="AC12" s="15">
        <f t="shared" ref="AC12:AC31" si="4">IF(K12="PPE80%",0.2, IF(K12="PPE90%",0.1, IF(AND(C12="prof",K12="PPE95%"),0.1, IF(K12="PPE95%",0.05,1))))</f>
        <v>1</v>
      </c>
      <c r="AD12" s="15">
        <f>IF(AND(AND(D12="liquid",W12="very low"),NOT(OR(B12="PROC7",B12="PROC11",B12="PROC17",B12="PROC18",AND(B12="PROC10",I12="no"),AND(B12="PROC19",I12="no")))),1,4)</f>
        <v>4</v>
      </c>
      <c r="AE12" s="16" t="str">
        <f t="shared" ref="AE12:AE31" si="5">CONCATENATE(B12,D12,I12,W12,C12)</f>
        <v>0</v>
      </c>
      <c r="AF12" s="17" t="str">
        <f>IF(AND(D12="solid",E12="very low"),"n/a",IF(D12="solid",VLOOKUP(AE12,TRAlookup!$A$2:$H$729,2,FALSE),IFERROR(VLOOKUP(AE12,TRAlookup!$A$2:$H$729,2,FALSE)*$B$9/24,"n/a")))</f>
        <v>n/a</v>
      </c>
      <c r="AG12" s="17" t="e">
        <f>IF(AND(D12="solid",E12="very low"),"n/a",VLOOKUP(AE12,TRAlookup!$A$2:$H$729,3,FALSE))</f>
        <v>#N/A</v>
      </c>
      <c r="AH12" s="17" t="e">
        <f>IF(AND(D12="solid",E12="very low"),"n/a",VLOOKUP(AE12,TRAlookup!$A$2:$H$729,4,FALSE))</f>
        <v>#N/A</v>
      </c>
      <c r="AI12" s="16"/>
      <c r="AJ12" s="26" t="str">
        <f t="shared" ref="AJ12:AJ31" si="6">IF(AND(D12="liquid",OR(AND(B12="PROC7",C12="ind"),AND(B12="PROC10",I12="no"),AND(B12="PROC11",C12="prof"),OR(B12="PROC17",B12="PROC18"),AND(B12="PROC19",I12="no"))),"Note that the TRA predicts vapour phase exposure; exposure by aerosols is not taken into account; if aerosol formation is relevant, refer to other information or models. ","")</f>
        <v/>
      </c>
      <c r="AK12" s="48" t="str">
        <f t="shared" ref="AK12:AK31" si="7">IF(AND(B12="PROC1",I12="yes"),"No reduction for LEV for PROC1. ","")</f>
        <v/>
      </c>
      <c r="AL12" s="48" t="str">
        <f>IF(Z12&gt;Y12,"No reduction for duration on dermal estimate. ","")</f>
        <v/>
      </c>
    </row>
    <row r="13" spans="1:309" s="28" customFormat="1" ht="60" customHeight="1" x14ac:dyDescent="0.3">
      <c r="A13" s="78"/>
      <c r="B13" s="79"/>
      <c r="C13" s="79"/>
      <c r="D13" s="79"/>
      <c r="E13" s="79"/>
      <c r="F13" s="79"/>
      <c r="G13" s="79"/>
      <c r="H13" s="79"/>
      <c r="I13" s="79"/>
      <c r="J13" s="79"/>
      <c r="K13" s="79"/>
      <c r="L13" s="79"/>
      <c r="M13" s="113" t="str">
        <f>IF(AF13="n/a","change input",IF(AND(F13="outdoors",I13="yes"),"change input",IF(AND(C13="prof",F13="indoors - enhanced ventilation",I13="yes"),"change input",AF13*X13*Y13*AA13*AB13*VLOOKUP(AE13,TRAlookup!$A$2:$H$729,5,FALSE))))</f>
        <v>change input</v>
      </c>
      <c r="N13" s="114" t="e">
        <f>IF(OR(AG13="n/a",M13="change input"),"n/a",IF(L13="yes",AG13*Z13*AA13*AC13*VLOOKUP(AE13,TRAlookup!$A$2:$H$729,6,FALSE),AG13*Z13*AA13*AC13))</f>
        <v>#N/A</v>
      </c>
      <c r="O13" s="114" t="str">
        <f t="shared" si="0"/>
        <v>n/a</v>
      </c>
      <c r="P13" s="114" t="e">
        <f>IF(OR(AG13="n/a",M13="change input"),"n/a",IF(L13="yes",AH13*Z13*AA13*AC13*VLOOKUP(AE13,TRAlookup!$A$2:$H$729,6,FALSE),AH13*Z13*AA13*AC13))</f>
        <v>#N/A</v>
      </c>
      <c r="Q13" s="114" t="str">
        <f t="shared" ref="Q13:Q31" si="8">IF(OR(M13="n/a",M13="change input"),"n/a",M13/$G$6)</f>
        <v>n/a</v>
      </c>
      <c r="R13" s="114" t="e">
        <f t="shared" ref="R13:R31" si="9">IF(N13="n/a","n/a",N13/$G$7)</f>
        <v>#N/A</v>
      </c>
      <c r="S13" s="114" t="str">
        <f t="shared" ref="S13:S31" si="10">IF(O13="n/a","n/a",O13/$G$8)</f>
        <v>n/a</v>
      </c>
      <c r="T13" s="114" t="e">
        <f t="shared" ref="T13:T31" si="11">IF(P13="n/a","n/a",P13/$G$9)</f>
        <v>#N/A</v>
      </c>
      <c r="U13" s="26" t="e">
        <f>IF(AND(D13="solid",E13="very low"),"Incorrect fugacity for solids.",IF(AF13="n/a",VLOOKUP(AE13,TRAlookup!$A$2:$H$729,8,FALSE),IF(AND(F13="outdoors",I13="yes"),"Combination 'outdoors' and 'LEV' not allowed. ",IF(AND(C13="prof",F13="indoors - enhanced ventilation",I13="yes"),"Combination  'indoors - enhanced ventilation' and 'LEV' not allowed for professional setting. ",CONCATENATE(AJ13,AK13,AL13)))))</f>
        <v>#N/A</v>
      </c>
      <c r="V13" s="27"/>
      <c r="W13" s="47">
        <f t="shared" ref="W13:W31" si="12">E13</f>
        <v>0</v>
      </c>
      <c r="X13" s="15">
        <f t="shared" ref="X13:X31" si="13">IF(F13="outdoors",0.7, IF(F13="indoors - good ventilation",0.7, IF(F13="indoors - enhanced ventilation",0.3,1)))</f>
        <v>1</v>
      </c>
      <c r="Y13" s="15">
        <f t="shared" si="1"/>
        <v>1</v>
      </c>
      <c r="Z13" s="15">
        <f t="shared" ref="Z13:Z31" si="14">IF(AND(D13="solid",OR(W13="medium",W13="high")),1,IF(AND(D13="liquid",OR(W13="very low",W13="low")),1,Y13))</f>
        <v>1</v>
      </c>
      <c r="AA13" s="15">
        <f t="shared" si="2"/>
        <v>1</v>
      </c>
      <c r="AB13" s="15">
        <f t="shared" si="3"/>
        <v>1</v>
      </c>
      <c r="AC13" s="15">
        <f t="shared" si="4"/>
        <v>1</v>
      </c>
      <c r="AD13" s="15">
        <f t="shared" ref="AD13:AD31" si="15">IF(AND(AND(D13="liquid",W13="very low"),NOT(OR(B13="PROC7",B13="PROC11",B13="PROC17",B13="PROC18",AND(B13="PROC10",I13="no"),AND(B13="PROC19",I13="no")))),1,4)</f>
        <v>4</v>
      </c>
      <c r="AE13" s="16" t="str">
        <f t="shared" si="5"/>
        <v>0</v>
      </c>
      <c r="AF13" s="17" t="str">
        <f>IF(AND(D13="solid",E13="very low"),"n/a",IF(D13="solid",VLOOKUP(AE13,TRAlookup!$A$2:$H$729,2,FALSE),IFERROR(VLOOKUP(AE13,TRAlookup!$A$2:$H$729,2,FALSE)*$B$9/24,"n/a")))</f>
        <v>n/a</v>
      </c>
      <c r="AG13" s="17" t="e">
        <f>IF(AND(D13="solid",E13="very low"),"n/a",VLOOKUP(AE13,TRAlookup!$A$2:$H$729,3,FALSE))</f>
        <v>#N/A</v>
      </c>
      <c r="AH13" s="17" t="e">
        <f>IF(AND(D13="solid",E13="very low"),"n/a",VLOOKUP(AE13,TRAlookup!$A$2:$H$729,4,FALSE))</f>
        <v>#N/A</v>
      </c>
      <c r="AI13" s="16"/>
      <c r="AJ13" s="26" t="str">
        <f t="shared" si="6"/>
        <v/>
      </c>
      <c r="AK13" s="48" t="str">
        <f t="shared" si="7"/>
        <v/>
      </c>
      <c r="AL13" s="48" t="str">
        <f t="shared" ref="AL13:AL31" si="16">IF(Z13&gt;Y13,"No reduction for duration on dermal estimate. ","")</f>
        <v/>
      </c>
    </row>
    <row r="14" spans="1:309" s="28" customFormat="1" ht="60" customHeight="1" x14ac:dyDescent="0.3">
      <c r="A14" s="78"/>
      <c r="B14" s="79"/>
      <c r="C14" s="79"/>
      <c r="D14" s="79"/>
      <c r="E14" s="79"/>
      <c r="F14" s="79"/>
      <c r="G14" s="79"/>
      <c r="H14" s="79"/>
      <c r="I14" s="79"/>
      <c r="J14" s="79"/>
      <c r="K14" s="79"/>
      <c r="L14" s="79"/>
      <c r="M14" s="113" t="str">
        <f>IF(AF14="n/a","change input",IF(AND(F14="outdoors",I14="yes"),"change input",IF(AND(C14="prof",F14="indoors - enhanced ventilation",I14="yes"),"change input",AF14*X14*Y14*AA14*AB14*VLOOKUP(AE14,TRAlookup!$A$2:$H$729,5,FALSE))))</f>
        <v>change input</v>
      </c>
      <c r="N14" s="114" t="e">
        <f>IF(OR(AG14="n/a",M14="change input"),"n/a",IF(L14="yes",AG14*Z14*AA14*AC14*VLOOKUP(AE14,TRAlookup!$A$2:$H$729,6,FALSE),AG14*Z14*AA14*AC14))</f>
        <v>#N/A</v>
      </c>
      <c r="O14" s="114" t="str">
        <f t="shared" si="0"/>
        <v>n/a</v>
      </c>
      <c r="P14" s="114" t="e">
        <f>IF(OR(AG14="n/a",M14="change input"),"n/a",IF(L14="yes",AH14*Z14*AA14*AC14*VLOOKUP(AE14,TRAlookup!$A$2:$H$729,6,FALSE),AH14*Z14*AA14*AC14))</f>
        <v>#N/A</v>
      </c>
      <c r="Q14" s="114" t="str">
        <f t="shared" si="8"/>
        <v>n/a</v>
      </c>
      <c r="R14" s="114" t="e">
        <f t="shared" si="9"/>
        <v>#N/A</v>
      </c>
      <c r="S14" s="114" t="str">
        <f t="shared" si="10"/>
        <v>n/a</v>
      </c>
      <c r="T14" s="114" t="e">
        <f t="shared" si="11"/>
        <v>#N/A</v>
      </c>
      <c r="U14" s="26" t="e">
        <f>IF(AND(D14="solid",E14="very low"),"Incorrect fugacity for solids.",IF(AF14="n/a",VLOOKUP(AE14,TRAlookup!$A$2:$H$729,8,FALSE),IF(AND(F14="outdoors",I14="yes"),"Combination 'outdoors' and 'LEV' not allowed. ",IF(AND(C14="prof",F14="indoors - enhanced ventilation",I14="yes"),"Combination  'indoors - enhanced ventilation' and 'LEV' not allowed for professional setting. ",CONCATENATE(AJ14,AK14,AL14)))))</f>
        <v>#N/A</v>
      </c>
      <c r="V14" s="27"/>
      <c r="W14" s="47">
        <f t="shared" si="12"/>
        <v>0</v>
      </c>
      <c r="X14" s="15">
        <f t="shared" si="13"/>
        <v>1</v>
      </c>
      <c r="Y14" s="15">
        <f t="shared" si="1"/>
        <v>1</v>
      </c>
      <c r="Z14" s="15">
        <f t="shared" si="14"/>
        <v>1</v>
      </c>
      <c r="AA14" s="15">
        <f t="shared" si="2"/>
        <v>1</v>
      </c>
      <c r="AB14" s="15">
        <f t="shared" si="3"/>
        <v>1</v>
      </c>
      <c r="AC14" s="15">
        <f t="shared" si="4"/>
        <v>1</v>
      </c>
      <c r="AD14" s="15">
        <f t="shared" si="15"/>
        <v>4</v>
      </c>
      <c r="AE14" s="16" t="str">
        <f t="shared" si="5"/>
        <v>0</v>
      </c>
      <c r="AF14" s="17" t="str">
        <f>IF(AND(D14="solid",E14="very low"),"n/a",IF(D14="solid",VLOOKUP(AE14,TRAlookup!$A$2:$H$729,2,FALSE),IFERROR(VLOOKUP(AE14,TRAlookup!$A$2:$H$729,2,FALSE)*$B$9/24,"n/a")))</f>
        <v>n/a</v>
      </c>
      <c r="AG14" s="17" t="e">
        <f>IF(AND(D14="solid",E14="very low"),"n/a",VLOOKUP(AE14,TRAlookup!$A$2:$H$729,3,FALSE))</f>
        <v>#N/A</v>
      </c>
      <c r="AH14" s="17" t="e">
        <f>IF(AND(D14="solid",E14="very low"),"n/a",VLOOKUP(AE14,TRAlookup!$A$2:$H$729,4,FALSE))</f>
        <v>#N/A</v>
      </c>
      <c r="AI14" s="16"/>
      <c r="AJ14" s="26" t="str">
        <f t="shared" si="6"/>
        <v/>
      </c>
      <c r="AK14" s="48" t="str">
        <f t="shared" si="7"/>
        <v/>
      </c>
      <c r="AL14" s="48" t="str">
        <f t="shared" si="16"/>
        <v/>
      </c>
    </row>
    <row r="15" spans="1:309" s="28" customFormat="1" ht="60" customHeight="1" x14ac:dyDescent="0.3">
      <c r="A15" s="78"/>
      <c r="B15" s="79"/>
      <c r="C15" s="79"/>
      <c r="D15" s="79"/>
      <c r="E15" s="79"/>
      <c r="F15" s="79"/>
      <c r="G15" s="79"/>
      <c r="H15" s="79"/>
      <c r="I15" s="79"/>
      <c r="J15" s="79"/>
      <c r="K15" s="79"/>
      <c r="L15" s="79"/>
      <c r="M15" s="113" t="str">
        <f>IF(AF15="n/a","change input",IF(AND(F15="outdoors",I15="yes"),"change input",IF(AND(C15="prof",F15="indoors - enhanced ventilation",I15="yes"),"change input",AF15*X15*Y15*AA15*AB15*VLOOKUP(AE15,TRAlookup!$A$2:$H$729,5,FALSE))))</f>
        <v>change input</v>
      </c>
      <c r="N15" s="114" t="e">
        <f>IF(OR(AG15="n/a",M15="change input"),"n/a",IF(L15="yes",AG15*Z15*AA15*AC15*VLOOKUP(AE15,TRAlookup!$A$2:$H$729,6,FALSE),AG15*Z15*AA15*AC15))</f>
        <v>#N/A</v>
      </c>
      <c r="O15" s="114" t="str">
        <f t="shared" si="0"/>
        <v>n/a</v>
      </c>
      <c r="P15" s="114" t="e">
        <f>IF(OR(AG15="n/a",M15="change input"),"n/a",IF(L15="yes",AH15*Z15*AA15*AC15*VLOOKUP(AE15,TRAlookup!$A$2:$H$729,6,FALSE),AH15*Z15*AA15*AC15))</f>
        <v>#N/A</v>
      </c>
      <c r="Q15" s="114" t="str">
        <f t="shared" si="8"/>
        <v>n/a</v>
      </c>
      <c r="R15" s="114" t="e">
        <f t="shared" si="9"/>
        <v>#N/A</v>
      </c>
      <c r="S15" s="114" t="str">
        <f t="shared" si="10"/>
        <v>n/a</v>
      </c>
      <c r="T15" s="114" t="e">
        <f t="shared" si="11"/>
        <v>#N/A</v>
      </c>
      <c r="U15" s="26" t="e">
        <f>IF(AND(D15="solid",E15="very low"),"Incorrect fugacity for solids.",IF(AF15="n/a",VLOOKUP(AE15,TRAlookup!$A$2:$H$729,8,FALSE),IF(AND(F15="outdoors",I15="yes"),"Combination 'outdoors' and 'LEV' not allowed. ",IF(AND(C15="prof",F15="indoors - enhanced ventilation",I15="yes"),"Combination  'indoors - enhanced ventilation' and 'LEV' not allowed for professional setting. ",CONCATENATE(AJ15,AK15,AL15)))))</f>
        <v>#N/A</v>
      </c>
      <c r="V15" s="27"/>
      <c r="W15" s="47">
        <f t="shared" si="12"/>
        <v>0</v>
      </c>
      <c r="X15" s="15">
        <f t="shared" si="13"/>
        <v>1</v>
      </c>
      <c r="Y15" s="15">
        <f t="shared" si="1"/>
        <v>1</v>
      </c>
      <c r="Z15" s="15">
        <f t="shared" si="14"/>
        <v>1</v>
      </c>
      <c r="AA15" s="15">
        <f t="shared" si="2"/>
        <v>1</v>
      </c>
      <c r="AB15" s="15">
        <f t="shared" si="3"/>
        <v>1</v>
      </c>
      <c r="AC15" s="15">
        <f t="shared" si="4"/>
        <v>1</v>
      </c>
      <c r="AD15" s="15">
        <f t="shared" si="15"/>
        <v>4</v>
      </c>
      <c r="AE15" s="16" t="str">
        <f t="shared" si="5"/>
        <v>0</v>
      </c>
      <c r="AF15" s="17" t="str">
        <f>IF(AND(D15="solid",E15="very low"),"n/a",IF(D15="solid",VLOOKUP(AE15,TRAlookup!$A$2:$H$729,2,FALSE),IFERROR(VLOOKUP(AE15,TRAlookup!$A$2:$H$729,2,FALSE)*$B$9/24,"n/a")))</f>
        <v>n/a</v>
      </c>
      <c r="AG15" s="17" t="e">
        <f>IF(AND(D15="solid",E15="very low"),"n/a",VLOOKUP(AE15,TRAlookup!$A$2:$H$729,3,FALSE))</f>
        <v>#N/A</v>
      </c>
      <c r="AH15" s="17" t="e">
        <f>IF(AND(D15="solid",E15="very low"),"n/a",VLOOKUP(AE15,TRAlookup!$A$2:$H$729,4,FALSE))</f>
        <v>#N/A</v>
      </c>
      <c r="AI15" s="16"/>
      <c r="AJ15" s="26" t="str">
        <f t="shared" si="6"/>
        <v/>
      </c>
      <c r="AK15" s="48" t="str">
        <f t="shared" si="7"/>
        <v/>
      </c>
      <c r="AL15" s="48" t="str">
        <f t="shared" si="16"/>
        <v/>
      </c>
    </row>
    <row r="16" spans="1:309" s="28" customFormat="1" ht="60" customHeight="1" x14ac:dyDescent="0.3">
      <c r="A16" s="78"/>
      <c r="B16" s="79"/>
      <c r="C16" s="79"/>
      <c r="D16" s="79"/>
      <c r="E16" s="79"/>
      <c r="F16" s="79"/>
      <c r="G16" s="79"/>
      <c r="H16" s="79"/>
      <c r="I16" s="79"/>
      <c r="J16" s="79"/>
      <c r="K16" s="79"/>
      <c r="L16" s="79"/>
      <c r="M16" s="113" t="str">
        <f>IF(AF16="n/a","change input",IF(AND(F16="outdoors",I16="yes"),"change input",IF(AND(C16="prof",F16="indoors - enhanced ventilation",I16="yes"),"change input",AF16*X16*Y16*AA16*AB16*VLOOKUP(AE16,TRAlookup!$A$2:$H$729,5,FALSE))))</f>
        <v>change input</v>
      </c>
      <c r="N16" s="114" t="e">
        <f>IF(OR(AG16="n/a",M16="change input"),"n/a",IF(L16="yes",AG16*Z16*AA16*AC16*VLOOKUP(AE16,TRAlookup!$A$2:$H$729,6,FALSE),AG16*Z16*AA16*AC16))</f>
        <v>#N/A</v>
      </c>
      <c r="O16" s="114" t="str">
        <f t="shared" si="0"/>
        <v>n/a</v>
      </c>
      <c r="P16" s="114" t="e">
        <f>IF(OR(AG16="n/a",M16="change input"),"n/a",IF(L16="yes",AH16*Z16*AA16*AC16*VLOOKUP(AE16,TRAlookup!$A$2:$H$729,6,FALSE),AH16*Z16*AA16*AC16))</f>
        <v>#N/A</v>
      </c>
      <c r="Q16" s="114" t="str">
        <f t="shared" si="8"/>
        <v>n/a</v>
      </c>
      <c r="R16" s="114" t="e">
        <f t="shared" si="9"/>
        <v>#N/A</v>
      </c>
      <c r="S16" s="114" t="str">
        <f t="shared" si="10"/>
        <v>n/a</v>
      </c>
      <c r="T16" s="114" t="e">
        <f t="shared" si="11"/>
        <v>#N/A</v>
      </c>
      <c r="U16" s="26" t="e">
        <f>IF(AND(D16="solid",E16="very low"),"Incorrect fugacity for solids.",IF(AF16="n/a",VLOOKUP(AE16,TRAlookup!$A$2:$H$729,8,FALSE),IF(AND(F16="outdoors",I16="yes"),"Combination 'outdoors' and 'LEV' not allowed. ",IF(AND(C16="prof",F16="indoors - enhanced ventilation",I16="yes"),"Combination  'indoors - enhanced ventilation' and 'LEV' not allowed for professional setting. ",CONCATENATE(AJ16,AK16,AL16)))))</f>
        <v>#N/A</v>
      </c>
      <c r="V16" s="27"/>
      <c r="W16" s="47">
        <f t="shared" si="12"/>
        <v>0</v>
      </c>
      <c r="X16" s="15">
        <f t="shared" si="13"/>
        <v>1</v>
      </c>
      <c r="Y16" s="15">
        <f t="shared" si="1"/>
        <v>1</v>
      </c>
      <c r="Z16" s="15">
        <f t="shared" si="14"/>
        <v>1</v>
      </c>
      <c r="AA16" s="15">
        <f t="shared" si="2"/>
        <v>1</v>
      </c>
      <c r="AB16" s="15">
        <f t="shared" si="3"/>
        <v>1</v>
      </c>
      <c r="AC16" s="15">
        <f t="shared" si="4"/>
        <v>1</v>
      </c>
      <c r="AD16" s="15">
        <f t="shared" si="15"/>
        <v>4</v>
      </c>
      <c r="AE16" s="16" t="str">
        <f t="shared" si="5"/>
        <v>0</v>
      </c>
      <c r="AF16" s="17" t="str">
        <f>IF(AND(D16="solid",E16="very low"),"n/a",IF(D16="solid",VLOOKUP(AE16,TRAlookup!$A$2:$H$729,2,FALSE),IFERROR(VLOOKUP(AE16,TRAlookup!$A$2:$H$729,2,FALSE)*$B$9/24,"n/a")))</f>
        <v>n/a</v>
      </c>
      <c r="AG16" s="17" t="e">
        <f>IF(AND(D16="solid",E16="very low"),"n/a",VLOOKUP(AE16,TRAlookup!$A$2:$H$729,3,FALSE))</f>
        <v>#N/A</v>
      </c>
      <c r="AH16" s="17" t="e">
        <f>IF(AND(D16="solid",E16="very low"),"n/a",VLOOKUP(AE16,TRAlookup!$A$2:$H$729,4,FALSE))</f>
        <v>#N/A</v>
      </c>
      <c r="AI16" s="16"/>
      <c r="AJ16" s="26" t="str">
        <f t="shared" si="6"/>
        <v/>
      </c>
      <c r="AK16" s="48" t="str">
        <f t="shared" si="7"/>
        <v/>
      </c>
      <c r="AL16" s="48" t="str">
        <f t="shared" si="16"/>
        <v/>
      </c>
    </row>
    <row r="17" spans="1:38" s="28" customFormat="1" ht="60" customHeight="1" x14ac:dyDescent="0.3">
      <c r="A17" s="78"/>
      <c r="B17" s="79"/>
      <c r="C17" s="79"/>
      <c r="D17" s="79"/>
      <c r="E17" s="79"/>
      <c r="F17" s="79"/>
      <c r="G17" s="79"/>
      <c r="H17" s="79"/>
      <c r="I17" s="79"/>
      <c r="J17" s="79"/>
      <c r="K17" s="79"/>
      <c r="L17" s="79"/>
      <c r="M17" s="113" t="str">
        <f>IF(AF17="n/a","change input",IF(AND(F17="outdoors",I17="yes"),"change input",IF(AND(C17="prof",F17="indoors - enhanced ventilation",I17="yes"),"change input",AF17*X17*Y17*AA17*AB17*VLOOKUP(AE17,TRAlookup!$A$2:$H$729,5,FALSE))))</f>
        <v>change input</v>
      </c>
      <c r="N17" s="114" t="e">
        <f>IF(OR(AG17="n/a",M17="change input"),"n/a",IF(L17="yes",AG17*Z17*AA17*AC17*VLOOKUP(AE17,TRAlookup!$A$2:$H$729,6,FALSE),AG17*Z17*AA17*AC17))</f>
        <v>#N/A</v>
      </c>
      <c r="O17" s="114" t="str">
        <f t="shared" si="0"/>
        <v>n/a</v>
      </c>
      <c r="P17" s="114" t="e">
        <f>IF(OR(AG17="n/a",M17="change input"),"n/a",IF(L17="yes",AH17*Z17*AA17*AC17*VLOOKUP(AE17,TRAlookup!$A$2:$H$729,6,FALSE),AH17*Z17*AA17*AC17))</f>
        <v>#N/A</v>
      </c>
      <c r="Q17" s="114" t="str">
        <f t="shared" si="8"/>
        <v>n/a</v>
      </c>
      <c r="R17" s="114" t="e">
        <f t="shared" si="9"/>
        <v>#N/A</v>
      </c>
      <c r="S17" s="114" t="str">
        <f t="shared" si="10"/>
        <v>n/a</v>
      </c>
      <c r="T17" s="114" t="e">
        <f t="shared" si="11"/>
        <v>#N/A</v>
      </c>
      <c r="U17" s="26" t="e">
        <f>IF(AND(D17="solid",E17="very low"),"Incorrect fugacity for solids.",IF(AF17="n/a",VLOOKUP(AE17,TRAlookup!$A$2:$H$729,8,FALSE),IF(AND(F17="outdoors",I17="yes"),"Combination 'outdoors' and 'LEV' not allowed. ",IF(AND(C17="prof",F17="indoors - enhanced ventilation",I17="yes"),"Combination  'indoors - enhanced ventilation' and 'LEV' not allowed for professional setting. ",CONCATENATE(AJ17,AK17,AL17)))))</f>
        <v>#N/A</v>
      </c>
      <c r="V17" s="27"/>
      <c r="W17" s="47">
        <f t="shared" si="12"/>
        <v>0</v>
      </c>
      <c r="X17" s="15">
        <f t="shared" si="13"/>
        <v>1</v>
      </c>
      <c r="Y17" s="15">
        <f t="shared" si="1"/>
        <v>1</v>
      </c>
      <c r="Z17" s="15">
        <f t="shared" si="14"/>
        <v>1</v>
      </c>
      <c r="AA17" s="15">
        <f t="shared" si="2"/>
        <v>1</v>
      </c>
      <c r="AB17" s="15">
        <f t="shared" si="3"/>
        <v>1</v>
      </c>
      <c r="AC17" s="15">
        <f t="shared" si="4"/>
        <v>1</v>
      </c>
      <c r="AD17" s="15">
        <f t="shared" si="15"/>
        <v>4</v>
      </c>
      <c r="AE17" s="16" t="str">
        <f t="shared" si="5"/>
        <v>0</v>
      </c>
      <c r="AF17" s="17" t="str">
        <f>IF(AND(D17="solid",E17="very low"),"n/a",IF(D17="solid",VLOOKUP(AE17,TRAlookup!$A$2:$H$729,2,FALSE),IFERROR(VLOOKUP(AE17,TRAlookup!$A$2:$H$729,2,FALSE)*$B$9/24,"n/a")))</f>
        <v>n/a</v>
      </c>
      <c r="AG17" s="17" t="e">
        <f>IF(AND(D17="solid",E17="very low"),"n/a",VLOOKUP(AE17,TRAlookup!$A$2:$H$729,3,FALSE))</f>
        <v>#N/A</v>
      </c>
      <c r="AH17" s="17" t="e">
        <f>IF(AND(D17="solid",E17="very low"),"n/a",VLOOKUP(AE17,TRAlookup!$A$2:$H$729,4,FALSE))</f>
        <v>#N/A</v>
      </c>
      <c r="AI17" s="16"/>
      <c r="AJ17" s="26" t="str">
        <f t="shared" si="6"/>
        <v/>
      </c>
      <c r="AK17" s="48" t="str">
        <f t="shared" si="7"/>
        <v/>
      </c>
      <c r="AL17" s="48" t="str">
        <f t="shared" si="16"/>
        <v/>
      </c>
    </row>
    <row r="18" spans="1:38" s="28" customFormat="1" ht="60" customHeight="1" x14ac:dyDescent="0.3">
      <c r="A18" s="78"/>
      <c r="B18" s="79" t="s">
        <v>96</v>
      </c>
      <c r="C18" s="79" t="s">
        <v>9</v>
      </c>
      <c r="D18" s="79" t="s">
        <v>6</v>
      </c>
      <c r="E18" s="79" t="s">
        <v>16</v>
      </c>
      <c r="F18" s="79" t="s">
        <v>86</v>
      </c>
      <c r="G18" s="79" t="s">
        <v>87</v>
      </c>
      <c r="H18" s="79" t="s">
        <v>88</v>
      </c>
      <c r="I18" s="79" t="s">
        <v>89</v>
      </c>
      <c r="J18" s="79" t="s">
        <v>90</v>
      </c>
      <c r="K18" s="79" t="s">
        <v>18</v>
      </c>
      <c r="L18" s="79" t="s">
        <v>89</v>
      </c>
      <c r="M18" s="113">
        <f>IF(AF18="n/a","change input",IF(AND(F18="outdoors",I18="yes"),"change input",IF(AND(C18="prof",F18="indoors - enhanced ventilation",I18="yes"),"change input",AF18*X18*Y18*AA18*AB18*VLOOKUP(AE18,TRAlookup!$A$2:$H$729,5,FALSE))))</f>
        <v>0</v>
      </c>
      <c r="N18" s="114">
        <f>IF(OR(AG18="n/a",M18="change input"),"n/a",IF(L18="yes",AG18*Z18*AA18*AC18*VLOOKUP(AE18,TRAlookup!$A$2:$H$729,6,FALSE),AG18*Z18*AA18*AC18))</f>
        <v>42.86</v>
      </c>
      <c r="O18" s="114">
        <f t="shared" si="0"/>
        <v>0</v>
      </c>
      <c r="P18" s="114">
        <f>IF(OR(AG18="n/a",M18="change input"),"n/a",IF(L18="yes",AH18*Z18*AA18*AC18*VLOOKUP(AE18,TRAlookup!$A$2:$H$729,6,FALSE),AH18*Z18*AA18*AC18))</f>
        <v>2000</v>
      </c>
      <c r="Q18" s="114" t="e">
        <f t="shared" si="8"/>
        <v>#DIV/0!</v>
      </c>
      <c r="R18" s="114" t="e">
        <f t="shared" si="9"/>
        <v>#DIV/0!</v>
      </c>
      <c r="S18" s="114" t="e">
        <f t="shared" si="10"/>
        <v>#DIV/0!</v>
      </c>
      <c r="T18" s="114" t="e">
        <f t="shared" si="11"/>
        <v>#DIV/0!</v>
      </c>
      <c r="U18" s="26" t="str">
        <f>IF(AND(D18="solid",E18="very low"),"Incorrect fugacity for solids.",IF(AF18="n/a",VLOOKUP(AE18,TRAlookup!$A$2:$H$729,8,FALSE),IF(AND(F18="outdoors",I18="yes"),"Combination 'outdoors' and 'LEV' not allowed. ",IF(AND(C18="prof",F18="indoors - enhanced ventilation",I18="yes"),"Combination  'indoors - enhanced ventilation' and 'LEV' not allowed for professional setting. ",CONCATENATE(AJ18,AK18,AL18)))))</f>
        <v xml:space="preserve">Note that the TRA predicts vapour phase exposure; exposure by aerosols is not taken into account; if aerosol formation is relevant, refer to other information or models. </v>
      </c>
      <c r="V18" s="27"/>
      <c r="W18" s="47" t="str">
        <f t="shared" si="12"/>
        <v>very low</v>
      </c>
      <c r="X18" s="15">
        <f t="shared" si="13"/>
        <v>1</v>
      </c>
      <c r="Y18" s="15">
        <f t="shared" si="1"/>
        <v>1</v>
      </c>
      <c r="Z18" s="15">
        <f t="shared" si="14"/>
        <v>1</v>
      </c>
      <c r="AA18" s="15">
        <f t="shared" si="2"/>
        <v>1</v>
      </c>
      <c r="AB18" s="15">
        <f t="shared" si="3"/>
        <v>1</v>
      </c>
      <c r="AC18" s="15">
        <f t="shared" si="4"/>
        <v>1</v>
      </c>
      <c r="AD18" s="15">
        <f t="shared" si="15"/>
        <v>4</v>
      </c>
      <c r="AE18" s="16" t="str">
        <f t="shared" si="5"/>
        <v>PROC7liquidnovery lowind</v>
      </c>
      <c r="AF18" s="17">
        <f>IF(AND(D18="solid",E18="very low"),"n/a",IF(D18="solid",VLOOKUP(AE18,TRAlookup!$A$2:$H$729,2,FALSE),IFERROR(VLOOKUP(AE18,TRAlookup!$A$2:$H$729,2,FALSE)*$B$9/24,"n/a")))</f>
        <v>0</v>
      </c>
      <c r="AG18" s="17">
        <f>IF(AND(D18="solid",E18="very low"),"n/a",VLOOKUP(AE18,TRAlookup!$A$2:$H$729,3,FALSE))</f>
        <v>42.86</v>
      </c>
      <c r="AH18" s="17">
        <f>IF(AND(D18="solid",E18="very low"),"n/a",VLOOKUP(AE18,TRAlookup!$A$2:$H$729,4,FALSE))</f>
        <v>2000</v>
      </c>
      <c r="AI18" s="16"/>
      <c r="AJ18" s="26" t="str">
        <f t="shared" si="6"/>
        <v xml:space="preserve">Note that the TRA predicts vapour phase exposure; exposure by aerosols is not taken into account; if aerosol formation is relevant, refer to other information or models. </v>
      </c>
      <c r="AK18" s="48" t="str">
        <f t="shared" si="7"/>
        <v/>
      </c>
      <c r="AL18" s="48" t="str">
        <f t="shared" si="16"/>
        <v/>
      </c>
    </row>
    <row r="19" spans="1:38" s="28" customFormat="1" ht="60" customHeight="1" x14ac:dyDescent="0.3">
      <c r="A19" s="78"/>
      <c r="B19" s="79" t="s">
        <v>97</v>
      </c>
      <c r="C19" s="79" t="s">
        <v>9</v>
      </c>
      <c r="D19" s="79" t="s">
        <v>6</v>
      </c>
      <c r="E19" s="79" t="s">
        <v>16</v>
      </c>
      <c r="F19" s="79" t="s">
        <v>86</v>
      </c>
      <c r="G19" s="79" t="s">
        <v>87</v>
      </c>
      <c r="H19" s="79" t="s">
        <v>88</v>
      </c>
      <c r="I19" s="79" t="s">
        <v>89</v>
      </c>
      <c r="J19" s="79" t="s">
        <v>90</v>
      </c>
      <c r="K19" s="79" t="s">
        <v>18</v>
      </c>
      <c r="L19" s="79" t="s">
        <v>89</v>
      </c>
      <c r="M19" s="113">
        <f>IF(AF19="n/a","change input",IF(AND(F19="outdoors",I19="yes"),"change input",IF(AND(C19="prof",F19="indoors - enhanced ventilation",I19="yes"),"change input",AF19*X19*Y19*AA19*AB19*VLOOKUP(AE19,TRAlookup!$A$2:$H$729,5,FALSE))))</f>
        <v>0</v>
      </c>
      <c r="N19" s="114">
        <f>IF(OR(AG19="n/a",M19="change input"),"n/a",IF(L19="yes",AG19*Z19*AA19*AC19*VLOOKUP(AE19,TRAlookup!$A$2:$H$729,6,FALSE),AG19*Z19*AA19*AC19))</f>
        <v>27.43</v>
      </c>
      <c r="O19" s="114">
        <f t="shared" si="0"/>
        <v>0</v>
      </c>
      <c r="P19" s="114">
        <f>IF(OR(AG19="n/a",M19="change input"),"n/a",IF(L19="yes",AH19*Z19*AA19*AC19*VLOOKUP(AE19,TRAlookup!$A$2:$H$729,6,FALSE),AH19*Z19*AA19*AC19))</f>
        <v>2000</v>
      </c>
      <c r="Q19" s="114" t="e">
        <f t="shared" si="8"/>
        <v>#DIV/0!</v>
      </c>
      <c r="R19" s="114" t="e">
        <f t="shared" si="9"/>
        <v>#DIV/0!</v>
      </c>
      <c r="S19" s="114" t="e">
        <f t="shared" si="10"/>
        <v>#DIV/0!</v>
      </c>
      <c r="T19" s="114" t="e">
        <f t="shared" si="11"/>
        <v>#DIV/0!</v>
      </c>
      <c r="U19" s="26" t="str">
        <f>IF(AND(D19="solid",E19="very low"),"Incorrect fugacity for solids.",IF(AF19="n/a",VLOOKUP(AE19,TRAlookup!$A$2:$H$729,8,FALSE),IF(AND(F19="outdoors",I19="yes"),"Combination 'outdoors' and 'LEV' not allowed. ",IF(AND(C19="prof",F19="indoors - enhanced ventilation",I19="yes"),"Combination  'indoors - enhanced ventilation' and 'LEV' not allowed for professional setting. ",CONCATENATE(AJ19,AK19,AL19)))))</f>
        <v/>
      </c>
      <c r="V19" s="27"/>
      <c r="W19" s="47" t="str">
        <f t="shared" si="12"/>
        <v>very low</v>
      </c>
      <c r="X19" s="15">
        <f t="shared" si="13"/>
        <v>1</v>
      </c>
      <c r="Y19" s="15">
        <f t="shared" si="1"/>
        <v>1</v>
      </c>
      <c r="Z19" s="15">
        <f t="shared" si="14"/>
        <v>1</v>
      </c>
      <c r="AA19" s="15">
        <f t="shared" si="2"/>
        <v>1</v>
      </c>
      <c r="AB19" s="15">
        <f t="shared" si="3"/>
        <v>1</v>
      </c>
      <c r="AC19" s="15">
        <f t="shared" si="4"/>
        <v>1</v>
      </c>
      <c r="AD19" s="15">
        <f t="shared" si="15"/>
        <v>1</v>
      </c>
      <c r="AE19" s="16" t="str">
        <f t="shared" si="5"/>
        <v>PROC8aliquidnovery lowind</v>
      </c>
      <c r="AF19" s="17">
        <f>IF(AND(D19="solid",E19="very low"),"n/a",IF(D19="solid",VLOOKUP(AE19,TRAlookup!$A$2:$H$729,2,FALSE),IFERROR(VLOOKUP(AE19,TRAlookup!$A$2:$H$729,2,FALSE)*$B$9/24,"n/a")))</f>
        <v>0</v>
      </c>
      <c r="AG19" s="17">
        <f>IF(AND(D19="solid",E19="very low"),"n/a",VLOOKUP(AE19,TRAlookup!$A$2:$H$729,3,FALSE))</f>
        <v>27.43</v>
      </c>
      <c r="AH19" s="17">
        <f>IF(AND(D19="solid",E19="very low"),"n/a",VLOOKUP(AE19,TRAlookup!$A$2:$H$729,4,FALSE))</f>
        <v>2000</v>
      </c>
      <c r="AI19" s="16"/>
      <c r="AJ19" s="26" t="str">
        <f t="shared" si="6"/>
        <v/>
      </c>
      <c r="AK19" s="48" t="str">
        <f t="shared" si="7"/>
        <v/>
      </c>
      <c r="AL19" s="48" t="str">
        <f t="shared" si="16"/>
        <v/>
      </c>
    </row>
    <row r="20" spans="1:38" s="28" customFormat="1" ht="60" customHeight="1" x14ac:dyDescent="0.3">
      <c r="A20" s="78"/>
      <c r="B20" s="79" t="s">
        <v>98</v>
      </c>
      <c r="C20" s="79" t="s">
        <v>9</v>
      </c>
      <c r="D20" s="79" t="s">
        <v>6</v>
      </c>
      <c r="E20" s="79" t="s">
        <v>16</v>
      </c>
      <c r="F20" s="79" t="s">
        <v>86</v>
      </c>
      <c r="G20" s="79" t="s">
        <v>87</v>
      </c>
      <c r="H20" s="79" t="s">
        <v>88</v>
      </c>
      <c r="I20" s="79" t="s">
        <v>89</v>
      </c>
      <c r="J20" s="79" t="s">
        <v>90</v>
      </c>
      <c r="K20" s="79" t="s">
        <v>18</v>
      </c>
      <c r="L20" s="79" t="s">
        <v>89</v>
      </c>
      <c r="M20" s="113">
        <f>IF(AF20="n/a","change input",IF(AND(F20="outdoors",I20="yes"),"change input",IF(AND(C20="prof",F20="indoors - enhanced ventilation",I20="yes"),"change input",AF20*X20*Y20*AA20*AB20*VLOOKUP(AE20,TRAlookup!$A$2:$H$729,5,FALSE))))</f>
        <v>0</v>
      </c>
      <c r="N20" s="114">
        <f>IF(OR(AG20="n/a",M20="change input"),"n/a",IF(L20="yes",AG20*Z20*AA20*AC20*VLOOKUP(AE20,TRAlookup!$A$2:$H$729,6,FALSE),AG20*Z20*AA20*AC20))</f>
        <v>13.71</v>
      </c>
      <c r="O20" s="114">
        <f t="shared" si="0"/>
        <v>0</v>
      </c>
      <c r="P20" s="114">
        <f>IF(OR(AG20="n/a",M20="change input"),"n/a",IF(L20="yes",AH20*Z20*AA20*AC20*VLOOKUP(AE20,TRAlookup!$A$2:$H$729,6,FALSE),AH20*Z20*AA20*AC20))</f>
        <v>1000</v>
      </c>
      <c r="Q20" s="114" t="e">
        <f t="shared" si="8"/>
        <v>#DIV/0!</v>
      </c>
      <c r="R20" s="114" t="e">
        <f t="shared" si="9"/>
        <v>#DIV/0!</v>
      </c>
      <c r="S20" s="114" t="e">
        <f t="shared" si="10"/>
        <v>#DIV/0!</v>
      </c>
      <c r="T20" s="114" t="e">
        <f t="shared" si="11"/>
        <v>#DIV/0!</v>
      </c>
      <c r="U20" s="26" t="str">
        <f>IF(AND(D20="solid",E20="very low"),"Incorrect fugacity for solids.",IF(AF20="n/a",VLOOKUP(AE20,TRAlookup!$A$2:$H$729,8,FALSE),IF(AND(F20="outdoors",I20="yes"),"Combination 'outdoors' and 'LEV' not allowed. ",IF(AND(C20="prof",F20="indoors - enhanced ventilation",I20="yes"),"Combination  'indoors - enhanced ventilation' and 'LEV' not allowed for professional setting. ",CONCATENATE(AJ20,AK20,AL20)))))</f>
        <v/>
      </c>
      <c r="V20" s="27"/>
      <c r="W20" s="47" t="str">
        <f t="shared" si="12"/>
        <v>very low</v>
      </c>
      <c r="X20" s="15">
        <f t="shared" si="13"/>
        <v>1</v>
      </c>
      <c r="Y20" s="15">
        <f t="shared" si="1"/>
        <v>1</v>
      </c>
      <c r="Z20" s="15">
        <f t="shared" si="14"/>
        <v>1</v>
      </c>
      <c r="AA20" s="15">
        <f t="shared" si="2"/>
        <v>1</v>
      </c>
      <c r="AB20" s="15">
        <f t="shared" si="3"/>
        <v>1</v>
      </c>
      <c r="AC20" s="15">
        <f t="shared" si="4"/>
        <v>1</v>
      </c>
      <c r="AD20" s="15">
        <f t="shared" si="15"/>
        <v>1</v>
      </c>
      <c r="AE20" s="16" t="str">
        <f t="shared" si="5"/>
        <v>PROC8bliquidnovery lowind</v>
      </c>
      <c r="AF20" s="17">
        <f>IF(AND(D20="solid",E20="very low"),"n/a",IF(D20="solid",VLOOKUP(AE20,TRAlookup!$A$2:$H$729,2,FALSE),IFERROR(VLOOKUP(AE20,TRAlookup!$A$2:$H$729,2,FALSE)*$B$9/24,"n/a")))</f>
        <v>0</v>
      </c>
      <c r="AG20" s="17">
        <f>IF(AND(D20="solid",E20="very low"),"n/a",VLOOKUP(AE20,TRAlookup!$A$2:$H$729,3,FALSE))</f>
        <v>13.71</v>
      </c>
      <c r="AH20" s="17">
        <f>IF(AND(D20="solid",E20="very low"),"n/a",VLOOKUP(AE20,TRAlookup!$A$2:$H$729,4,FALSE))</f>
        <v>1000</v>
      </c>
      <c r="AI20" s="16"/>
      <c r="AJ20" s="26" t="str">
        <f t="shared" si="6"/>
        <v/>
      </c>
      <c r="AK20" s="48" t="str">
        <f t="shared" si="7"/>
        <v/>
      </c>
      <c r="AL20" s="48" t="str">
        <f t="shared" si="16"/>
        <v/>
      </c>
    </row>
    <row r="21" spans="1:38" s="28" customFormat="1" ht="60" customHeight="1" x14ac:dyDescent="0.3">
      <c r="A21" s="78"/>
      <c r="B21" s="79" t="s">
        <v>99</v>
      </c>
      <c r="C21" s="79" t="s">
        <v>9</v>
      </c>
      <c r="D21" s="79" t="s">
        <v>6</v>
      </c>
      <c r="E21" s="79" t="s">
        <v>16</v>
      </c>
      <c r="F21" s="79" t="s">
        <v>86</v>
      </c>
      <c r="G21" s="79" t="s">
        <v>87</v>
      </c>
      <c r="H21" s="79" t="s">
        <v>88</v>
      </c>
      <c r="I21" s="79" t="s">
        <v>89</v>
      </c>
      <c r="J21" s="79" t="s">
        <v>90</v>
      </c>
      <c r="K21" s="79" t="s">
        <v>18</v>
      </c>
      <c r="L21" s="79" t="s">
        <v>89</v>
      </c>
      <c r="M21" s="113">
        <f>IF(AF21="n/a","change input",IF(AND(F21="outdoors",I21="yes"),"change input",IF(AND(C21="prof",F21="indoors - enhanced ventilation",I21="yes"),"change input",AF21*X21*Y21*AA21*AB21*VLOOKUP(AE21,TRAlookup!$A$2:$H$729,5,FALSE))))</f>
        <v>0</v>
      </c>
      <c r="N21" s="114">
        <f>IF(OR(AG21="n/a",M21="change input"),"n/a",IF(L21="yes",AG21*Z21*AA21*AC21*VLOOKUP(AE21,TRAlookup!$A$2:$H$729,6,FALSE),AG21*Z21*AA21*AC21))</f>
        <v>6.86</v>
      </c>
      <c r="O21" s="114">
        <f t="shared" si="0"/>
        <v>0</v>
      </c>
      <c r="P21" s="114">
        <f>IF(OR(AG21="n/a",M21="change input"),"n/a",IF(L21="yes",AH21*Z21*AA21*AC21*VLOOKUP(AE21,TRAlookup!$A$2:$H$729,6,FALSE),AH21*Z21*AA21*AC21))</f>
        <v>1000</v>
      </c>
      <c r="Q21" s="114" t="e">
        <f t="shared" si="8"/>
        <v>#DIV/0!</v>
      </c>
      <c r="R21" s="114" t="e">
        <f t="shared" si="9"/>
        <v>#DIV/0!</v>
      </c>
      <c r="S21" s="114" t="e">
        <f t="shared" si="10"/>
        <v>#DIV/0!</v>
      </c>
      <c r="T21" s="114" t="e">
        <f t="shared" si="11"/>
        <v>#DIV/0!</v>
      </c>
      <c r="U21" s="26" t="str">
        <f>IF(AND(D21="solid",E21="very low"),"Incorrect fugacity for solids.",IF(AF21="n/a",VLOOKUP(AE21,TRAlookup!$A$2:$H$729,8,FALSE),IF(AND(F21="outdoors",I21="yes"),"Combination 'outdoors' and 'LEV' not allowed. ",IF(AND(C21="prof",F21="indoors - enhanced ventilation",I21="yes"),"Combination  'indoors - enhanced ventilation' and 'LEV' not allowed for professional setting. ",CONCATENATE(AJ21,AK21,AL21)))))</f>
        <v/>
      </c>
      <c r="V21" s="27"/>
      <c r="W21" s="47" t="str">
        <f t="shared" si="12"/>
        <v>very low</v>
      </c>
      <c r="X21" s="15">
        <f t="shared" si="13"/>
        <v>1</v>
      </c>
      <c r="Y21" s="15">
        <f t="shared" si="1"/>
        <v>1</v>
      </c>
      <c r="Z21" s="15">
        <f t="shared" si="14"/>
        <v>1</v>
      </c>
      <c r="AA21" s="15">
        <f t="shared" si="2"/>
        <v>1</v>
      </c>
      <c r="AB21" s="15">
        <f t="shared" si="3"/>
        <v>1</v>
      </c>
      <c r="AC21" s="15">
        <f t="shared" si="4"/>
        <v>1</v>
      </c>
      <c r="AD21" s="15">
        <f t="shared" si="15"/>
        <v>1</v>
      </c>
      <c r="AE21" s="16" t="str">
        <f t="shared" si="5"/>
        <v>PROC9liquidnovery lowind</v>
      </c>
      <c r="AF21" s="17">
        <f>IF(AND(D21="solid",E21="very low"),"n/a",IF(D21="solid",VLOOKUP(AE21,TRAlookup!$A$2:$H$729,2,FALSE),IFERROR(VLOOKUP(AE21,TRAlookup!$A$2:$H$729,2,FALSE)*$B$9/24,"n/a")))</f>
        <v>0</v>
      </c>
      <c r="AG21" s="17">
        <f>IF(AND(D21="solid",E21="very low"),"n/a",VLOOKUP(AE21,TRAlookup!$A$2:$H$729,3,FALSE))</f>
        <v>6.86</v>
      </c>
      <c r="AH21" s="17">
        <f>IF(AND(D21="solid",E21="very low"),"n/a",VLOOKUP(AE21,TRAlookup!$A$2:$H$729,4,FALSE))</f>
        <v>1000</v>
      </c>
      <c r="AI21" s="16"/>
      <c r="AJ21" s="26" t="str">
        <f t="shared" si="6"/>
        <v/>
      </c>
      <c r="AK21" s="48" t="str">
        <f t="shared" si="7"/>
        <v/>
      </c>
      <c r="AL21" s="48" t="str">
        <f t="shared" si="16"/>
        <v/>
      </c>
    </row>
    <row r="22" spans="1:38" s="28" customFormat="1" ht="60" customHeight="1" x14ac:dyDescent="0.3">
      <c r="A22" s="78"/>
      <c r="B22" s="79" t="s">
        <v>100</v>
      </c>
      <c r="C22" s="79" t="s">
        <v>9</v>
      </c>
      <c r="D22" s="79" t="s">
        <v>6</v>
      </c>
      <c r="E22" s="79" t="s">
        <v>16</v>
      </c>
      <c r="F22" s="79" t="s">
        <v>86</v>
      </c>
      <c r="G22" s="79" t="s">
        <v>87</v>
      </c>
      <c r="H22" s="79" t="s">
        <v>88</v>
      </c>
      <c r="I22" s="79" t="s">
        <v>89</v>
      </c>
      <c r="J22" s="79" t="s">
        <v>90</v>
      </c>
      <c r="K22" s="79" t="s">
        <v>18</v>
      </c>
      <c r="L22" s="79" t="s">
        <v>89</v>
      </c>
      <c r="M22" s="113">
        <f>IF(AF22="n/a","change input",IF(AND(F22="outdoors",I22="yes"),"change input",IF(AND(C22="prof",F22="indoors - enhanced ventilation",I22="yes"),"change input",AF22*X22*Y22*AA22*AB22*VLOOKUP(AE22,TRAlookup!$A$2:$H$729,5,FALSE))))</f>
        <v>0</v>
      </c>
      <c r="N22" s="114">
        <f>IF(OR(AG22="n/a",M22="change input"),"n/a",IF(L22="yes",AG22*Z22*AA22*AC22*VLOOKUP(AE22,TRAlookup!$A$2:$H$729,6,FALSE),AG22*Z22*AA22*AC22))</f>
        <v>27.43</v>
      </c>
      <c r="O22" s="114">
        <f t="shared" si="0"/>
        <v>0</v>
      </c>
      <c r="P22" s="114">
        <f>IF(OR(AG22="n/a",M22="change input"),"n/a",IF(L22="yes",AH22*Z22*AA22*AC22*VLOOKUP(AE22,TRAlookup!$A$2:$H$729,6,FALSE),AH22*Z22*AA22*AC22))</f>
        <v>2000</v>
      </c>
      <c r="Q22" s="114" t="e">
        <f t="shared" si="8"/>
        <v>#DIV/0!</v>
      </c>
      <c r="R22" s="114" t="e">
        <f t="shared" si="9"/>
        <v>#DIV/0!</v>
      </c>
      <c r="S22" s="114" t="e">
        <f t="shared" si="10"/>
        <v>#DIV/0!</v>
      </c>
      <c r="T22" s="114" t="e">
        <f t="shared" si="11"/>
        <v>#DIV/0!</v>
      </c>
      <c r="U22" s="26" t="str">
        <f>IF(AND(D22="solid",E22="very low"),"Incorrect fugacity for solids.",IF(AF22="n/a",VLOOKUP(AE22,TRAlookup!$A$2:$H$729,8,FALSE),IF(AND(F22="outdoors",I22="yes"),"Combination 'outdoors' and 'LEV' not allowed. ",IF(AND(C22="prof",F22="indoors - enhanced ventilation",I22="yes"),"Combination  'indoors - enhanced ventilation' and 'LEV' not allowed for professional setting. ",CONCATENATE(AJ22,AK22,AL22)))))</f>
        <v xml:space="preserve">Note that the TRA predicts vapour phase exposure; exposure by aerosols is not taken into account; if aerosol formation is relevant, refer to other information or models. </v>
      </c>
      <c r="V22" s="27"/>
      <c r="W22" s="47" t="str">
        <f t="shared" si="12"/>
        <v>very low</v>
      </c>
      <c r="X22" s="15">
        <f t="shared" si="13"/>
        <v>1</v>
      </c>
      <c r="Y22" s="15">
        <f t="shared" si="1"/>
        <v>1</v>
      </c>
      <c r="Z22" s="15">
        <f t="shared" si="14"/>
        <v>1</v>
      </c>
      <c r="AA22" s="15">
        <f t="shared" si="2"/>
        <v>1</v>
      </c>
      <c r="AB22" s="15">
        <f t="shared" si="3"/>
        <v>1</v>
      </c>
      <c r="AC22" s="15">
        <f t="shared" si="4"/>
        <v>1</v>
      </c>
      <c r="AD22" s="15">
        <f t="shared" si="15"/>
        <v>4</v>
      </c>
      <c r="AE22" s="16" t="str">
        <f t="shared" si="5"/>
        <v>PROC10liquidnovery lowind</v>
      </c>
      <c r="AF22" s="17">
        <f>IF(AND(D22="solid",E22="very low"),"n/a",IF(D22="solid",VLOOKUP(AE22,TRAlookup!$A$2:$H$729,2,FALSE),IFERROR(VLOOKUP(AE22,TRAlookup!$A$2:$H$729,2,FALSE)*$B$9/24,"n/a")))</f>
        <v>0</v>
      </c>
      <c r="AG22" s="17">
        <f>IF(AND(D22="solid",E22="very low"),"n/a",VLOOKUP(AE22,TRAlookup!$A$2:$H$729,3,FALSE))</f>
        <v>27.43</v>
      </c>
      <c r="AH22" s="17">
        <f>IF(AND(D22="solid",E22="very low"),"n/a",VLOOKUP(AE22,TRAlookup!$A$2:$H$729,4,FALSE))</f>
        <v>2000</v>
      </c>
      <c r="AI22" s="16"/>
      <c r="AJ22" s="26" t="str">
        <f t="shared" si="6"/>
        <v xml:space="preserve">Note that the TRA predicts vapour phase exposure; exposure by aerosols is not taken into account; if aerosol formation is relevant, refer to other information or models. </v>
      </c>
      <c r="AK22" s="48" t="str">
        <f t="shared" si="7"/>
        <v/>
      </c>
      <c r="AL22" s="48" t="str">
        <f t="shared" si="16"/>
        <v/>
      </c>
    </row>
    <row r="23" spans="1:38" s="28" customFormat="1" ht="60" customHeight="1" x14ac:dyDescent="0.3">
      <c r="A23" s="78"/>
      <c r="B23" s="79" t="s">
        <v>101</v>
      </c>
      <c r="C23" s="79" t="s">
        <v>10</v>
      </c>
      <c r="D23" s="79" t="s">
        <v>6</v>
      </c>
      <c r="E23" s="79" t="s">
        <v>16</v>
      </c>
      <c r="F23" s="79" t="s">
        <v>86</v>
      </c>
      <c r="G23" s="79" t="s">
        <v>87</v>
      </c>
      <c r="H23" s="79" t="s">
        <v>88</v>
      </c>
      <c r="I23" s="79" t="s">
        <v>89</v>
      </c>
      <c r="J23" s="79" t="s">
        <v>90</v>
      </c>
      <c r="K23" s="79" t="s">
        <v>18</v>
      </c>
      <c r="L23" s="79" t="s">
        <v>89</v>
      </c>
      <c r="M23" s="113">
        <f>IF(AF23="n/a","change input",IF(AND(F23="outdoors",I23="yes"),"change input",IF(AND(C23="prof",F23="indoors - enhanced ventilation",I23="yes"),"change input",AF23*X23*Y23*AA23*AB23*VLOOKUP(AE23,TRAlookup!$A$2:$H$729,5,FALSE))))</f>
        <v>0</v>
      </c>
      <c r="N23" s="114">
        <f>IF(OR(AG23="n/a",M23="change input"),"n/a",IF(L23="yes",AG23*Z23*AA23*AC23*VLOOKUP(AE23,TRAlookup!$A$2:$H$729,6,FALSE),AG23*Z23*AA23*AC23))</f>
        <v>107.14</v>
      </c>
      <c r="O23" s="114">
        <f t="shared" si="0"/>
        <v>0</v>
      </c>
      <c r="P23" s="114">
        <f>IF(OR(AG23="n/a",M23="change input"),"n/a",IF(L23="yes",AH23*Z23*AA23*AC23*VLOOKUP(AE23,TRAlookup!$A$2:$H$729,6,FALSE),AH23*Z23*AA23*AC23))</f>
        <v>5000</v>
      </c>
      <c r="Q23" s="114" t="e">
        <f t="shared" si="8"/>
        <v>#DIV/0!</v>
      </c>
      <c r="R23" s="114" t="e">
        <f t="shared" si="9"/>
        <v>#DIV/0!</v>
      </c>
      <c r="S23" s="114" t="e">
        <f t="shared" si="10"/>
        <v>#DIV/0!</v>
      </c>
      <c r="T23" s="114" t="e">
        <f t="shared" si="11"/>
        <v>#DIV/0!</v>
      </c>
      <c r="U23" s="26" t="str">
        <f>IF(AND(D23="solid",E23="very low"),"Incorrect fugacity for solids.",IF(AF23="n/a",VLOOKUP(AE23,TRAlookup!$A$2:$H$729,8,FALSE),IF(AND(F23="outdoors",I23="yes"),"Combination 'outdoors' and 'LEV' not allowed. ",IF(AND(C23="prof",F23="indoors - enhanced ventilation",I23="yes"),"Combination  'indoors - enhanced ventilation' and 'LEV' not allowed for professional setting. ",CONCATENATE(AJ23,AK23,AL23)))))</f>
        <v xml:space="preserve">Note that the TRA predicts vapour phase exposure; exposure by aerosols is not taken into account; if aerosol formation is relevant, refer to other information or models. </v>
      </c>
      <c r="V23" s="27"/>
      <c r="W23" s="47" t="str">
        <f t="shared" si="12"/>
        <v>very low</v>
      </c>
      <c r="X23" s="15">
        <f t="shared" si="13"/>
        <v>1</v>
      </c>
      <c r="Y23" s="15">
        <f t="shared" si="1"/>
        <v>1</v>
      </c>
      <c r="Z23" s="15">
        <f t="shared" si="14"/>
        <v>1</v>
      </c>
      <c r="AA23" s="15">
        <f t="shared" si="2"/>
        <v>1</v>
      </c>
      <c r="AB23" s="15">
        <f t="shared" si="3"/>
        <v>1</v>
      </c>
      <c r="AC23" s="15">
        <f t="shared" si="4"/>
        <v>1</v>
      </c>
      <c r="AD23" s="15">
        <f t="shared" si="15"/>
        <v>4</v>
      </c>
      <c r="AE23" s="16" t="str">
        <f t="shared" si="5"/>
        <v>PROC11liquidnovery lowprof</v>
      </c>
      <c r="AF23" s="17">
        <f>IF(AND(D23="solid",E23="very low"),"n/a",IF(D23="solid",VLOOKUP(AE23,TRAlookup!$A$2:$H$729,2,FALSE),IFERROR(VLOOKUP(AE23,TRAlookup!$A$2:$H$729,2,FALSE)*$B$9/24,"n/a")))</f>
        <v>0</v>
      </c>
      <c r="AG23" s="17">
        <f>IF(AND(D23="solid",E23="very low"),"n/a",VLOOKUP(AE23,TRAlookup!$A$2:$H$729,3,FALSE))</f>
        <v>107.14</v>
      </c>
      <c r="AH23" s="17">
        <f>IF(AND(D23="solid",E23="very low"),"n/a",VLOOKUP(AE23,TRAlookup!$A$2:$H$729,4,FALSE))</f>
        <v>5000</v>
      </c>
      <c r="AI23" s="16"/>
      <c r="AJ23" s="26" t="str">
        <f t="shared" si="6"/>
        <v xml:space="preserve">Note that the TRA predicts vapour phase exposure; exposure by aerosols is not taken into account; if aerosol formation is relevant, refer to other information or models. </v>
      </c>
      <c r="AK23" s="48" t="str">
        <f t="shared" si="7"/>
        <v/>
      </c>
      <c r="AL23" s="48" t="str">
        <f t="shared" si="16"/>
        <v/>
      </c>
    </row>
    <row r="24" spans="1:38" s="28" customFormat="1" ht="60" customHeight="1" x14ac:dyDescent="0.3">
      <c r="A24" s="78"/>
      <c r="B24" s="79" t="s">
        <v>102</v>
      </c>
      <c r="C24" s="79" t="s">
        <v>9</v>
      </c>
      <c r="D24" s="79" t="s">
        <v>6</v>
      </c>
      <c r="E24" s="79" t="s">
        <v>16</v>
      </c>
      <c r="F24" s="79" t="s">
        <v>86</v>
      </c>
      <c r="G24" s="79" t="s">
        <v>87</v>
      </c>
      <c r="H24" s="79" t="s">
        <v>88</v>
      </c>
      <c r="I24" s="79" t="s">
        <v>89</v>
      </c>
      <c r="J24" s="79" t="s">
        <v>90</v>
      </c>
      <c r="K24" s="79" t="s">
        <v>18</v>
      </c>
      <c r="L24" s="79" t="s">
        <v>89</v>
      </c>
      <c r="M24" s="113">
        <f>IF(AF24="n/a","change input",IF(AND(F24="outdoors",I24="yes"),"change input",IF(AND(C24="prof",F24="indoors - enhanced ventilation",I24="yes"),"change input",AF24*X24*Y24*AA24*AB24*VLOOKUP(AE24,TRAlookup!$A$2:$H$729,5,FALSE))))</f>
        <v>0</v>
      </c>
      <c r="N24" s="114">
        <f>IF(OR(AG24="n/a",M24="change input"),"n/a",IF(L24="yes",AG24*Z24*AA24*AC24*VLOOKUP(AE24,TRAlookup!$A$2:$H$729,6,FALSE),AG24*Z24*AA24*AC24))</f>
        <v>0.34</v>
      </c>
      <c r="O24" s="114">
        <f t="shared" si="0"/>
        <v>0</v>
      </c>
      <c r="P24" s="114">
        <f>IF(OR(AG24="n/a",M24="change input"),"n/a",IF(L24="yes",AH24*Z24*AA24*AC24*VLOOKUP(AE24,TRAlookup!$A$2:$H$729,6,FALSE),AH24*Z24*AA24*AC24))</f>
        <v>100</v>
      </c>
      <c r="Q24" s="114" t="e">
        <f t="shared" si="8"/>
        <v>#DIV/0!</v>
      </c>
      <c r="R24" s="114" t="e">
        <f t="shared" si="9"/>
        <v>#DIV/0!</v>
      </c>
      <c r="S24" s="114" t="e">
        <f t="shared" si="10"/>
        <v>#DIV/0!</v>
      </c>
      <c r="T24" s="114" t="e">
        <f t="shared" si="11"/>
        <v>#DIV/0!</v>
      </c>
      <c r="U24" s="26" t="str">
        <f>IF(AND(D24="solid",E24="very low"),"Incorrect fugacity for solids.",IF(AF24="n/a",VLOOKUP(AE24,TRAlookup!$A$2:$H$729,8,FALSE),IF(AND(F24="outdoors",I24="yes"),"Combination 'outdoors' and 'LEV' not allowed. ",IF(AND(C24="prof",F24="indoors - enhanced ventilation",I24="yes"),"Combination  'indoors - enhanced ventilation' and 'LEV' not allowed for professional setting. ",CONCATENATE(AJ24,AK24,AL24)))))</f>
        <v/>
      </c>
      <c r="V24" s="27"/>
      <c r="W24" s="47" t="str">
        <f t="shared" si="12"/>
        <v>very low</v>
      </c>
      <c r="X24" s="15">
        <f t="shared" si="13"/>
        <v>1</v>
      </c>
      <c r="Y24" s="15">
        <f t="shared" si="1"/>
        <v>1</v>
      </c>
      <c r="Z24" s="15">
        <f t="shared" si="14"/>
        <v>1</v>
      </c>
      <c r="AA24" s="15">
        <f t="shared" si="2"/>
        <v>1</v>
      </c>
      <c r="AB24" s="15">
        <f t="shared" si="3"/>
        <v>1</v>
      </c>
      <c r="AC24" s="15">
        <f t="shared" si="4"/>
        <v>1</v>
      </c>
      <c r="AD24" s="15">
        <f t="shared" si="15"/>
        <v>1</v>
      </c>
      <c r="AE24" s="16" t="str">
        <f t="shared" si="5"/>
        <v>PROC12liquidnovery lowind</v>
      </c>
      <c r="AF24" s="17">
        <f>IF(AND(D24="solid",E24="very low"),"n/a",IF(D24="solid",VLOOKUP(AE24,TRAlookup!$A$2:$H$729,2,FALSE),IFERROR(VLOOKUP(AE24,TRAlookup!$A$2:$H$729,2,FALSE)*$B$9/24,"n/a")))</f>
        <v>0</v>
      </c>
      <c r="AG24" s="17">
        <f>IF(AND(D24="solid",E24="very low"),"n/a",VLOOKUP(AE24,TRAlookup!$A$2:$H$729,3,FALSE))</f>
        <v>0.34</v>
      </c>
      <c r="AH24" s="17">
        <f>IF(AND(D24="solid",E24="very low"),"n/a",VLOOKUP(AE24,TRAlookup!$A$2:$H$729,4,FALSE))</f>
        <v>100</v>
      </c>
      <c r="AI24" s="16"/>
      <c r="AJ24" s="26" t="str">
        <f t="shared" si="6"/>
        <v/>
      </c>
      <c r="AK24" s="48" t="str">
        <f t="shared" si="7"/>
        <v/>
      </c>
      <c r="AL24" s="48" t="str">
        <f t="shared" si="16"/>
        <v/>
      </c>
    </row>
    <row r="25" spans="1:38" s="28" customFormat="1" ht="60" customHeight="1" x14ac:dyDescent="0.3">
      <c r="A25" s="78"/>
      <c r="B25" s="79" t="s">
        <v>103</v>
      </c>
      <c r="C25" s="79" t="s">
        <v>9</v>
      </c>
      <c r="D25" s="79" t="s">
        <v>6</v>
      </c>
      <c r="E25" s="79" t="s">
        <v>16</v>
      </c>
      <c r="F25" s="79" t="s">
        <v>86</v>
      </c>
      <c r="G25" s="79" t="s">
        <v>87</v>
      </c>
      <c r="H25" s="79" t="s">
        <v>88</v>
      </c>
      <c r="I25" s="79" t="s">
        <v>89</v>
      </c>
      <c r="J25" s="79" t="s">
        <v>90</v>
      </c>
      <c r="K25" s="79" t="s">
        <v>18</v>
      </c>
      <c r="L25" s="79" t="s">
        <v>89</v>
      </c>
      <c r="M25" s="113">
        <f>IF(AF25="n/a","change input",IF(AND(F25="outdoors",I25="yes"),"change input",IF(AND(C25="prof",F25="indoors - enhanced ventilation",I25="yes"),"change input",AF25*X25*Y25*AA25*AB25*VLOOKUP(AE25,TRAlookup!$A$2:$H$729,5,FALSE))))</f>
        <v>0</v>
      </c>
      <c r="N25" s="114">
        <f>IF(OR(AG25="n/a",M25="change input"),"n/a",IF(L25="yes",AG25*Z25*AA25*AC25*VLOOKUP(AE25,TRAlookup!$A$2:$H$729,6,FALSE),AG25*Z25*AA25*AC25))</f>
        <v>13.71</v>
      </c>
      <c r="O25" s="114">
        <f t="shared" si="0"/>
        <v>0</v>
      </c>
      <c r="P25" s="114">
        <f>IF(OR(AG25="n/a",M25="change input"),"n/a",IF(L25="yes",AH25*Z25*AA25*AC25*VLOOKUP(AE25,TRAlookup!$A$2:$H$729,6,FALSE),AH25*Z25*AA25*AC25))</f>
        <v>2000</v>
      </c>
      <c r="Q25" s="114" t="e">
        <f t="shared" si="8"/>
        <v>#DIV/0!</v>
      </c>
      <c r="R25" s="114" t="e">
        <f t="shared" si="9"/>
        <v>#DIV/0!</v>
      </c>
      <c r="S25" s="114" t="e">
        <f t="shared" si="10"/>
        <v>#DIV/0!</v>
      </c>
      <c r="T25" s="114" t="e">
        <f t="shared" si="11"/>
        <v>#DIV/0!</v>
      </c>
      <c r="U25" s="26" t="str">
        <f>IF(AND(D25="solid",E25="very low"),"Incorrect fugacity for solids.",IF(AF25="n/a",VLOOKUP(AE25,TRAlookup!$A$2:$H$729,8,FALSE),IF(AND(F25="outdoors",I25="yes"),"Combination 'outdoors' and 'LEV' not allowed. ",IF(AND(C25="prof",F25="indoors - enhanced ventilation",I25="yes"),"Combination  'indoors - enhanced ventilation' and 'LEV' not allowed for professional setting. ",CONCATENATE(AJ25,AK25,AL25)))))</f>
        <v/>
      </c>
      <c r="V25" s="27"/>
      <c r="W25" s="47" t="str">
        <f t="shared" si="12"/>
        <v>very low</v>
      </c>
      <c r="X25" s="15">
        <f t="shared" si="13"/>
        <v>1</v>
      </c>
      <c r="Y25" s="15">
        <f t="shared" si="1"/>
        <v>1</v>
      </c>
      <c r="Z25" s="15">
        <f t="shared" si="14"/>
        <v>1</v>
      </c>
      <c r="AA25" s="15">
        <f t="shared" si="2"/>
        <v>1</v>
      </c>
      <c r="AB25" s="15">
        <f t="shared" si="3"/>
        <v>1</v>
      </c>
      <c r="AC25" s="15">
        <f t="shared" si="4"/>
        <v>1</v>
      </c>
      <c r="AD25" s="15">
        <f t="shared" si="15"/>
        <v>1</v>
      </c>
      <c r="AE25" s="16" t="str">
        <f t="shared" si="5"/>
        <v>PROC13liquidnovery lowind</v>
      </c>
      <c r="AF25" s="17">
        <f>IF(AND(D25="solid",E25="very low"),"n/a",IF(D25="solid",VLOOKUP(AE25,TRAlookup!$A$2:$H$729,2,FALSE),IFERROR(VLOOKUP(AE25,TRAlookup!$A$2:$H$729,2,FALSE)*$B$9/24,"n/a")))</f>
        <v>0</v>
      </c>
      <c r="AG25" s="17">
        <f>IF(AND(D25="solid",E25="very low"),"n/a",VLOOKUP(AE25,TRAlookup!$A$2:$H$729,3,FALSE))</f>
        <v>13.71</v>
      </c>
      <c r="AH25" s="17">
        <f>IF(AND(D25="solid",E25="very low"),"n/a",VLOOKUP(AE25,TRAlookup!$A$2:$H$729,4,FALSE))</f>
        <v>2000</v>
      </c>
      <c r="AI25" s="16"/>
      <c r="AJ25" s="26" t="str">
        <f t="shared" si="6"/>
        <v/>
      </c>
      <c r="AK25" s="48" t="str">
        <f t="shared" si="7"/>
        <v/>
      </c>
      <c r="AL25" s="48" t="str">
        <f t="shared" si="16"/>
        <v/>
      </c>
    </row>
    <row r="26" spans="1:38" s="28" customFormat="1" ht="60" customHeight="1" x14ac:dyDescent="0.3">
      <c r="A26" s="78"/>
      <c r="B26" s="79" t="s">
        <v>104</v>
      </c>
      <c r="C26" s="79" t="s">
        <v>9</v>
      </c>
      <c r="D26" s="79" t="s">
        <v>6</v>
      </c>
      <c r="E26" s="79" t="s">
        <v>16</v>
      </c>
      <c r="F26" s="79" t="s">
        <v>86</v>
      </c>
      <c r="G26" s="79" t="s">
        <v>87</v>
      </c>
      <c r="H26" s="79" t="s">
        <v>88</v>
      </c>
      <c r="I26" s="79" t="s">
        <v>89</v>
      </c>
      <c r="J26" s="79" t="s">
        <v>90</v>
      </c>
      <c r="K26" s="79" t="s">
        <v>18</v>
      </c>
      <c r="L26" s="79" t="s">
        <v>89</v>
      </c>
      <c r="M26" s="113">
        <f>IF(AF26="n/a","change input",IF(AND(F26="outdoors",I26="yes"),"change input",IF(AND(C26="prof",F26="indoors - enhanced ventilation",I26="yes"),"change input",AF26*X26*Y26*AA26*AB26*VLOOKUP(AE26,TRAlookup!$A$2:$H$729,5,FALSE))))</f>
        <v>0</v>
      </c>
      <c r="N26" s="114">
        <f>IF(OR(AG26="n/a",M26="change input"),"n/a",IF(L26="yes",AG26*Z26*AA26*AC26*VLOOKUP(AE26,TRAlookup!$A$2:$H$729,6,FALSE),AG26*Z26*AA26*AC26))</f>
        <v>3.43</v>
      </c>
      <c r="O26" s="114">
        <f t="shared" si="0"/>
        <v>0</v>
      </c>
      <c r="P26" s="114">
        <f>IF(OR(AG26="n/a",M26="change input"),"n/a",IF(L26="yes",AH26*Z26*AA26*AC26*VLOOKUP(AE26,TRAlookup!$A$2:$H$729,6,FALSE),AH26*Z26*AA26*AC26))</f>
        <v>500</v>
      </c>
      <c r="Q26" s="114" t="e">
        <f t="shared" si="8"/>
        <v>#DIV/0!</v>
      </c>
      <c r="R26" s="114" t="e">
        <f t="shared" si="9"/>
        <v>#DIV/0!</v>
      </c>
      <c r="S26" s="114" t="e">
        <f t="shared" si="10"/>
        <v>#DIV/0!</v>
      </c>
      <c r="T26" s="114" t="e">
        <f t="shared" si="11"/>
        <v>#DIV/0!</v>
      </c>
      <c r="U26" s="26" t="str">
        <f>IF(AND(D26="solid",E26="very low"),"Incorrect fugacity for solids.",IF(AF26="n/a",VLOOKUP(AE26,TRAlookup!$A$2:$H$729,8,FALSE),IF(AND(F26="outdoors",I26="yes"),"Combination 'outdoors' and 'LEV' not allowed. ",IF(AND(C26="prof",F26="indoors - enhanced ventilation",I26="yes"),"Combination  'indoors - enhanced ventilation' and 'LEV' not allowed for professional setting. ",CONCATENATE(AJ26,AK26,AL26)))))</f>
        <v/>
      </c>
      <c r="V26" s="27"/>
      <c r="W26" s="47" t="str">
        <f t="shared" si="12"/>
        <v>very low</v>
      </c>
      <c r="X26" s="15">
        <f t="shared" si="13"/>
        <v>1</v>
      </c>
      <c r="Y26" s="15">
        <f t="shared" si="1"/>
        <v>1</v>
      </c>
      <c r="Z26" s="15">
        <f t="shared" si="14"/>
        <v>1</v>
      </c>
      <c r="AA26" s="15">
        <f t="shared" si="2"/>
        <v>1</v>
      </c>
      <c r="AB26" s="15">
        <f t="shared" si="3"/>
        <v>1</v>
      </c>
      <c r="AC26" s="15">
        <f t="shared" si="4"/>
        <v>1</v>
      </c>
      <c r="AD26" s="15">
        <f t="shared" si="15"/>
        <v>1</v>
      </c>
      <c r="AE26" s="16" t="str">
        <f t="shared" si="5"/>
        <v>PROC14liquidnovery lowind</v>
      </c>
      <c r="AF26" s="17">
        <f>IF(AND(D26="solid",E26="very low"),"n/a",IF(D26="solid",VLOOKUP(AE26,TRAlookup!$A$2:$H$729,2,FALSE),IFERROR(VLOOKUP(AE26,TRAlookup!$A$2:$H$729,2,FALSE)*$B$9/24,"n/a")))</f>
        <v>0</v>
      </c>
      <c r="AG26" s="17">
        <f>IF(AND(D26="solid",E26="very low"),"n/a",VLOOKUP(AE26,TRAlookup!$A$2:$H$729,3,FALSE))</f>
        <v>3.43</v>
      </c>
      <c r="AH26" s="17">
        <f>IF(AND(D26="solid",E26="very low"),"n/a",VLOOKUP(AE26,TRAlookup!$A$2:$H$729,4,FALSE))</f>
        <v>500</v>
      </c>
      <c r="AI26" s="16"/>
      <c r="AJ26" s="26" t="str">
        <f t="shared" si="6"/>
        <v/>
      </c>
      <c r="AK26" s="48" t="str">
        <f t="shared" si="7"/>
        <v/>
      </c>
      <c r="AL26" s="48" t="str">
        <f t="shared" si="16"/>
        <v/>
      </c>
    </row>
    <row r="27" spans="1:38" s="28" customFormat="1" ht="60" customHeight="1" x14ac:dyDescent="0.3">
      <c r="A27" s="78"/>
      <c r="B27" s="79" t="s">
        <v>105</v>
      </c>
      <c r="C27" s="79" t="s">
        <v>9</v>
      </c>
      <c r="D27" s="79" t="s">
        <v>6</v>
      </c>
      <c r="E27" s="79" t="s">
        <v>16</v>
      </c>
      <c r="F27" s="79" t="s">
        <v>86</v>
      </c>
      <c r="G27" s="79" t="s">
        <v>87</v>
      </c>
      <c r="H27" s="79" t="s">
        <v>88</v>
      </c>
      <c r="I27" s="79" t="s">
        <v>89</v>
      </c>
      <c r="J27" s="79" t="s">
        <v>90</v>
      </c>
      <c r="K27" s="79" t="s">
        <v>18</v>
      </c>
      <c r="L27" s="79" t="s">
        <v>89</v>
      </c>
      <c r="M27" s="113">
        <f>IF(AF27="n/a","change input",IF(AND(F27="outdoors",I27="yes"),"change input",IF(AND(C27="prof",F27="indoors - enhanced ventilation",I27="yes"),"change input",AF27*X27*Y27*AA27*AB27*VLOOKUP(AE27,TRAlookup!$A$2:$H$729,5,FALSE))))</f>
        <v>0</v>
      </c>
      <c r="N27" s="114">
        <f>IF(OR(AG27="n/a",M27="change input"),"n/a",IF(L27="yes",AG27*Z27*AA27*AC27*VLOOKUP(AE27,TRAlookup!$A$2:$H$729,6,FALSE),AG27*Z27*AA27*AC27))</f>
        <v>0.34</v>
      </c>
      <c r="O27" s="114">
        <f t="shared" si="0"/>
        <v>0</v>
      </c>
      <c r="P27" s="114">
        <f>IF(OR(AG27="n/a",M27="change input"),"n/a",IF(L27="yes",AH27*Z27*AA27*AC27*VLOOKUP(AE27,TRAlookup!$A$2:$H$729,6,FALSE),AH27*Z27*AA27*AC27))</f>
        <v>100</v>
      </c>
      <c r="Q27" s="114" t="e">
        <f t="shared" si="8"/>
        <v>#DIV/0!</v>
      </c>
      <c r="R27" s="114" t="e">
        <f t="shared" si="9"/>
        <v>#DIV/0!</v>
      </c>
      <c r="S27" s="114" t="e">
        <f t="shared" si="10"/>
        <v>#DIV/0!</v>
      </c>
      <c r="T27" s="114" t="e">
        <f t="shared" si="11"/>
        <v>#DIV/0!</v>
      </c>
      <c r="U27" s="26" t="str">
        <f>IF(AND(D27="solid",E27="very low"),"Incorrect fugacity for solids.",IF(AF27="n/a",VLOOKUP(AE27,TRAlookup!$A$2:$H$729,8,FALSE),IF(AND(F27="outdoors",I27="yes"),"Combination 'outdoors' and 'LEV' not allowed. ",IF(AND(C27="prof",F27="indoors - enhanced ventilation",I27="yes"),"Combination  'indoors - enhanced ventilation' and 'LEV' not allowed for professional setting. ",CONCATENATE(AJ27,AK27,AL27)))))</f>
        <v/>
      </c>
      <c r="V27" s="27"/>
      <c r="W27" s="47" t="str">
        <f t="shared" si="12"/>
        <v>very low</v>
      </c>
      <c r="X27" s="15">
        <f t="shared" si="13"/>
        <v>1</v>
      </c>
      <c r="Y27" s="15">
        <f t="shared" si="1"/>
        <v>1</v>
      </c>
      <c r="Z27" s="15">
        <f t="shared" si="14"/>
        <v>1</v>
      </c>
      <c r="AA27" s="15">
        <f t="shared" si="2"/>
        <v>1</v>
      </c>
      <c r="AB27" s="15">
        <f t="shared" si="3"/>
        <v>1</v>
      </c>
      <c r="AC27" s="15">
        <f t="shared" si="4"/>
        <v>1</v>
      </c>
      <c r="AD27" s="15">
        <f t="shared" si="15"/>
        <v>1</v>
      </c>
      <c r="AE27" s="16" t="str">
        <f t="shared" si="5"/>
        <v>PROC15liquidnovery lowind</v>
      </c>
      <c r="AF27" s="17">
        <f>IF(AND(D27="solid",E27="very low"),"n/a",IF(D27="solid",VLOOKUP(AE27,TRAlookup!$A$2:$H$729,2,FALSE),IFERROR(VLOOKUP(AE27,TRAlookup!$A$2:$H$729,2,FALSE)*$B$9/24,"n/a")))</f>
        <v>0</v>
      </c>
      <c r="AG27" s="17">
        <f>IF(AND(D27="solid",E27="very low"),"n/a",VLOOKUP(AE27,TRAlookup!$A$2:$H$729,3,FALSE))</f>
        <v>0.34</v>
      </c>
      <c r="AH27" s="17">
        <f>IF(AND(D27="solid",E27="very low"),"n/a",VLOOKUP(AE27,TRAlookup!$A$2:$H$729,4,FALSE))</f>
        <v>100</v>
      </c>
      <c r="AI27" s="16"/>
      <c r="AJ27" s="26" t="str">
        <f t="shared" si="6"/>
        <v/>
      </c>
      <c r="AK27" s="48" t="str">
        <f t="shared" si="7"/>
        <v/>
      </c>
      <c r="AL27" s="48" t="str">
        <f t="shared" si="16"/>
        <v/>
      </c>
    </row>
    <row r="28" spans="1:38" s="28" customFormat="1" ht="60" customHeight="1" x14ac:dyDescent="0.3">
      <c r="A28" s="78"/>
      <c r="B28" s="79" t="s">
        <v>106</v>
      </c>
      <c r="C28" s="79" t="s">
        <v>9</v>
      </c>
      <c r="D28" s="79" t="s">
        <v>6</v>
      </c>
      <c r="E28" s="79" t="s">
        <v>16</v>
      </c>
      <c r="F28" s="79" t="s">
        <v>86</v>
      </c>
      <c r="G28" s="79" t="s">
        <v>87</v>
      </c>
      <c r="H28" s="79" t="s">
        <v>88</v>
      </c>
      <c r="I28" s="79" t="s">
        <v>89</v>
      </c>
      <c r="J28" s="79" t="s">
        <v>90</v>
      </c>
      <c r="K28" s="79" t="s">
        <v>18</v>
      </c>
      <c r="L28" s="79" t="s">
        <v>89</v>
      </c>
      <c r="M28" s="113">
        <f>IF(AF28="n/a","change input",IF(AND(F28="outdoors",I28="yes"),"change input",IF(AND(C28="prof",F28="indoors - enhanced ventilation",I28="yes"),"change input",AF28*X28*Y28*AA28*AB28*VLOOKUP(AE28,TRAlookup!$A$2:$H$729,5,FALSE))))</f>
        <v>0</v>
      </c>
      <c r="N28" s="114">
        <f>IF(OR(AG28="n/a",M28="change input"),"n/a",IF(L28="yes",AG28*Z28*AA28*AC28*VLOOKUP(AE28,TRAlookup!$A$2:$H$729,6,FALSE),AG28*Z28*AA28*AC28))</f>
        <v>0.34</v>
      </c>
      <c r="O28" s="114">
        <f t="shared" si="0"/>
        <v>0</v>
      </c>
      <c r="P28" s="114">
        <f>IF(OR(AG28="n/a",M28="change input"),"n/a",IF(L28="yes",AH28*Z28*AA28*AC28*VLOOKUP(AE28,TRAlookup!$A$2:$H$729,6,FALSE),AH28*Z28*AA28*AC28))</f>
        <v>100</v>
      </c>
      <c r="Q28" s="114" t="e">
        <f t="shared" si="8"/>
        <v>#DIV/0!</v>
      </c>
      <c r="R28" s="114" t="e">
        <f t="shared" si="9"/>
        <v>#DIV/0!</v>
      </c>
      <c r="S28" s="114" t="e">
        <f t="shared" si="10"/>
        <v>#DIV/0!</v>
      </c>
      <c r="T28" s="114" t="e">
        <f t="shared" si="11"/>
        <v>#DIV/0!</v>
      </c>
      <c r="U28" s="26" t="str">
        <f>IF(AND(D28="solid",E28="very low"),"Incorrect fugacity for solids.",IF(AF28="n/a",VLOOKUP(AE28,TRAlookup!$A$2:$H$729,8,FALSE),IF(AND(F28="outdoors",I28="yes"),"Combination 'outdoors' and 'LEV' not allowed. ",IF(AND(C28="prof",F28="indoors - enhanced ventilation",I28="yes"),"Combination  'indoors - enhanced ventilation' and 'LEV' not allowed for professional setting. ",CONCATENATE(AJ28,AK28,AL28)))))</f>
        <v/>
      </c>
      <c r="V28" s="27"/>
      <c r="W28" s="47" t="str">
        <f t="shared" si="12"/>
        <v>very low</v>
      </c>
      <c r="X28" s="15">
        <f t="shared" si="13"/>
        <v>1</v>
      </c>
      <c r="Y28" s="15">
        <f t="shared" si="1"/>
        <v>1</v>
      </c>
      <c r="Z28" s="15">
        <f t="shared" si="14"/>
        <v>1</v>
      </c>
      <c r="AA28" s="15">
        <f t="shared" si="2"/>
        <v>1</v>
      </c>
      <c r="AB28" s="15">
        <f t="shared" si="3"/>
        <v>1</v>
      </c>
      <c r="AC28" s="15">
        <f t="shared" si="4"/>
        <v>1</v>
      </c>
      <c r="AD28" s="15">
        <f t="shared" si="15"/>
        <v>1</v>
      </c>
      <c r="AE28" s="16" t="str">
        <f t="shared" si="5"/>
        <v>PROC16liquidnovery lowind</v>
      </c>
      <c r="AF28" s="17">
        <f>IF(AND(D28="solid",E28="very low"),"n/a",IF(D28="solid",VLOOKUP(AE28,TRAlookup!$A$2:$H$729,2,FALSE),IFERROR(VLOOKUP(AE28,TRAlookup!$A$2:$H$729,2,FALSE)*$B$9/24,"n/a")))</f>
        <v>0</v>
      </c>
      <c r="AG28" s="17">
        <f>IF(AND(D28="solid",E28="very low"),"n/a",VLOOKUP(AE28,TRAlookup!$A$2:$H$729,3,FALSE))</f>
        <v>0.34</v>
      </c>
      <c r="AH28" s="17">
        <f>IF(AND(D28="solid",E28="very low"),"n/a",VLOOKUP(AE28,TRAlookup!$A$2:$H$729,4,FALSE))</f>
        <v>100</v>
      </c>
      <c r="AI28" s="16"/>
      <c r="AJ28" s="26" t="str">
        <f t="shared" si="6"/>
        <v/>
      </c>
      <c r="AK28" s="48" t="str">
        <f t="shared" si="7"/>
        <v/>
      </c>
      <c r="AL28" s="48" t="str">
        <f t="shared" si="16"/>
        <v/>
      </c>
    </row>
    <row r="29" spans="1:38" s="28" customFormat="1" ht="60" customHeight="1" x14ac:dyDescent="0.3">
      <c r="A29" s="78"/>
      <c r="B29" s="79" t="s">
        <v>107</v>
      </c>
      <c r="C29" s="79" t="s">
        <v>9</v>
      </c>
      <c r="D29" s="79" t="s">
        <v>6</v>
      </c>
      <c r="E29" s="79" t="s">
        <v>16</v>
      </c>
      <c r="F29" s="79" t="s">
        <v>86</v>
      </c>
      <c r="G29" s="79" t="s">
        <v>87</v>
      </c>
      <c r="H29" s="79" t="s">
        <v>88</v>
      </c>
      <c r="I29" s="79" t="s">
        <v>89</v>
      </c>
      <c r="J29" s="79" t="s">
        <v>90</v>
      </c>
      <c r="K29" s="79" t="s">
        <v>18</v>
      </c>
      <c r="L29" s="79" t="s">
        <v>89</v>
      </c>
      <c r="M29" s="113">
        <f>IF(AF29="n/a","change input",IF(AND(F29="outdoors",I29="yes"),"change input",IF(AND(C29="prof",F29="indoors - enhanced ventilation",I29="yes"),"change input",AF29*X29*Y29*AA29*AB29*VLOOKUP(AE29,TRAlookup!$A$2:$H$729,5,FALSE))))</f>
        <v>0</v>
      </c>
      <c r="N29" s="114">
        <f>IF(OR(AG29="n/a",M29="change input"),"n/a",IF(L29="yes",AG29*Z29*AA29*AC29*VLOOKUP(AE29,TRAlookup!$A$2:$H$729,6,FALSE),AG29*Z29*AA29*AC29))</f>
        <v>27.43</v>
      </c>
      <c r="O29" s="114">
        <f t="shared" si="0"/>
        <v>0</v>
      </c>
      <c r="P29" s="114">
        <f>IF(OR(AG29="n/a",M29="change input"),"n/a",IF(L29="yes",AH29*Z29*AA29*AC29*VLOOKUP(AE29,TRAlookup!$A$2:$H$729,6,FALSE),AH29*Z29*AA29*AC29))</f>
        <v>2000</v>
      </c>
      <c r="Q29" s="114" t="e">
        <f t="shared" si="8"/>
        <v>#DIV/0!</v>
      </c>
      <c r="R29" s="114" t="e">
        <f t="shared" si="9"/>
        <v>#DIV/0!</v>
      </c>
      <c r="S29" s="114" t="e">
        <f t="shared" si="10"/>
        <v>#DIV/0!</v>
      </c>
      <c r="T29" s="114" t="e">
        <f t="shared" si="11"/>
        <v>#DIV/0!</v>
      </c>
      <c r="U29" s="26" t="str">
        <f>IF(AND(D29="solid",E29="very low"),"Incorrect fugacity for solids.",IF(AF29="n/a",VLOOKUP(AE29,TRAlookup!$A$2:$H$729,8,FALSE),IF(AND(F29="outdoors",I29="yes"),"Combination 'outdoors' and 'LEV' not allowed. ",IF(AND(C29="prof",F29="indoors - enhanced ventilation",I29="yes"),"Combination  'indoors - enhanced ventilation' and 'LEV' not allowed for professional setting. ",CONCATENATE(AJ29,AK29,AL29)))))</f>
        <v xml:space="preserve">Note that the TRA predicts vapour phase exposure; exposure by aerosols is not taken into account; if aerosol formation is relevant, refer to other information or models. </v>
      </c>
      <c r="V29" s="27"/>
      <c r="W29" s="47" t="str">
        <f t="shared" si="12"/>
        <v>very low</v>
      </c>
      <c r="X29" s="15">
        <f t="shared" si="13"/>
        <v>1</v>
      </c>
      <c r="Y29" s="15">
        <f t="shared" si="1"/>
        <v>1</v>
      </c>
      <c r="Z29" s="15">
        <f t="shared" si="14"/>
        <v>1</v>
      </c>
      <c r="AA29" s="15">
        <f t="shared" si="2"/>
        <v>1</v>
      </c>
      <c r="AB29" s="15">
        <f t="shared" si="3"/>
        <v>1</v>
      </c>
      <c r="AC29" s="15">
        <f t="shared" si="4"/>
        <v>1</v>
      </c>
      <c r="AD29" s="15">
        <f t="shared" si="15"/>
        <v>4</v>
      </c>
      <c r="AE29" s="16" t="str">
        <f t="shared" si="5"/>
        <v>PROC17liquidnovery lowind</v>
      </c>
      <c r="AF29" s="17">
        <f>IF(AND(D29="solid",E29="very low"),"n/a",IF(D29="solid",VLOOKUP(AE29,TRAlookup!$A$2:$H$729,2,FALSE),IFERROR(VLOOKUP(AE29,TRAlookup!$A$2:$H$729,2,FALSE)*$B$9/24,"n/a")))</f>
        <v>0</v>
      </c>
      <c r="AG29" s="17">
        <f>IF(AND(D29="solid",E29="very low"),"n/a",VLOOKUP(AE29,TRAlookup!$A$2:$H$729,3,FALSE))</f>
        <v>27.43</v>
      </c>
      <c r="AH29" s="17">
        <f>IF(AND(D29="solid",E29="very low"),"n/a",VLOOKUP(AE29,TRAlookup!$A$2:$H$729,4,FALSE))</f>
        <v>2000</v>
      </c>
      <c r="AI29" s="16"/>
      <c r="AJ29" s="26" t="str">
        <f t="shared" si="6"/>
        <v xml:space="preserve">Note that the TRA predicts vapour phase exposure; exposure by aerosols is not taken into account; if aerosol formation is relevant, refer to other information or models. </v>
      </c>
      <c r="AK29" s="48" t="str">
        <f t="shared" si="7"/>
        <v/>
      </c>
      <c r="AL29" s="48" t="str">
        <f t="shared" si="16"/>
        <v/>
      </c>
    </row>
    <row r="30" spans="1:38" s="28" customFormat="1" ht="60" customHeight="1" x14ac:dyDescent="0.3">
      <c r="A30" s="78"/>
      <c r="B30" s="79" t="s">
        <v>108</v>
      </c>
      <c r="C30" s="79" t="s">
        <v>9</v>
      </c>
      <c r="D30" s="79" t="s">
        <v>6</v>
      </c>
      <c r="E30" s="79" t="s">
        <v>16</v>
      </c>
      <c r="F30" s="79" t="s">
        <v>86</v>
      </c>
      <c r="G30" s="79" t="s">
        <v>87</v>
      </c>
      <c r="H30" s="79" t="s">
        <v>88</v>
      </c>
      <c r="I30" s="79" t="s">
        <v>89</v>
      </c>
      <c r="J30" s="79" t="s">
        <v>90</v>
      </c>
      <c r="K30" s="79" t="s">
        <v>18</v>
      </c>
      <c r="L30" s="79" t="s">
        <v>89</v>
      </c>
      <c r="M30" s="113">
        <f>IF(AF30="n/a","change input",IF(AND(F30="outdoors",I30="yes"),"change input",IF(AND(C30="prof",F30="indoors - enhanced ventilation",I30="yes"),"change input",AF30*X30*Y30*AA30*AB30*VLOOKUP(AE30,TRAlookup!$A$2:$H$729,5,FALSE))))</f>
        <v>0</v>
      </c>
      <c r="N30" s="114">
        <f>IF(OR(AG30="n/a",M30="change input"),"n/a",IF(L30="yes",AG30*Z30*AA30*AC30*VLOOKUP(AE30,TRAlookup!$A$2:$H$729,6,FALSE),AG30*Z30*AA30*AC30))</f>
        <v>13.71</v>
      </c>
      <c r="O30" s="114">
        <f t="shared" si="0"/>
        <v>0</v>
      </c>
      <c r="P30" s="114">
        <f>IF(OR(AG30="n/a",M30="change input"),"n/a",IF(L30="yes",AH30*Z30*AA30*AC30*VLOOKUP(AE30,TRAlookup!$A$2:$H$729,6,FALSE),AH30*Z30*AA30*AC30))</f>
        <v>1000</v>
      </c>
      <c r="Q30" s="114" t="e">
        <f t="shared" si="8"/>
        <v>#DIV/0!</v>
      </c>
      <c r="R30" s="114" t="e">
        <f t="shared" si="9"/>
        <v>#DIV/0!</v>
      </c>
      <c r="S30" s="114" t="e">
        <f t="shared" si="10"/>
        <v>#DIV/0!</v>
      </c>
      <c r="T30" s="114" t="e">
        <f t="shared" si="11"/>
        <v>#DIV/0!</v>
      </c>
      <c r="U30" s="26" t="str">
        <f>IF(AND(D30="solid",E30="very low"),"Incorrect fugacity for solids.",IF(AF30="n/a",VLOOKUP(AE30,TRAlookup!$A$2:$H$729,8,FALSE),IF(AND(F30="outdoors",I30="yes"),"Combination 'outdoors' and 'LEV' not allowed. ",IF(AND(C30="prof",F30="indoors - enhanced ventilation",I30="yes"),"Combination  'indoors - enhanced ventilation' and 'LEV' not allowed for professional setting. ",CONCATENATE(AJ30,AK30,AL30)))))</f>
        <v xml:space="preserve">Note that the TRA predicts vapour phase exposure; exposure by aerosols is not taken into account; if aerosol formation is relevant, refer to other information or models. </v>
      </c>
      <c r="V30" s="27"/>
      <c r="W30" s="47" t="str">
        <f t="shared" si="12"/>
        <v>very low</v>
      </c>
      <c r="X30" s="15">
        <f t="shared" si="13"/>
        <v>1</v>
      </c>
      <c r="Y30" s="15">
        <f t="shared" si="1"/>
        <v>1</v>
      </c>
      <c r="Z30" s="15">
        <f t="shared" si="14"/>
        <v>1</v>
      </c>
      <c r="AA30" s="15">
        <f t="shared" si="2"/>
        <v>1</v>
      </c>
      <c r="AB30" s="15">
        <f t="shared" si="3"/>
        <v>1</v>
      </c>
      <c r="AC30" s="15">
        <f t="shared" si="4"/>
        <v>1</v>
      </c>
      <c r="AD30" s="15">
        <f t="shared" si="15"/>
        <v>4</v>
      </c>
      <c r="AE30" s="16" t="str">
        <f t="shared" si="5"/>
        <v>PROC18liquidnovery lowind</v>
      </c>
      <c r="AF30" s="17">
        <f>IF(AND(D30="solid",E30="very low"),"n/a",IF(D30="solid",VLOOKUP(AE30,TRAlookup!$A$2:$H$729,2,FALSE),IFERROR(VLOOKUP(AE30,TRAlookup!$A$2:$H$729,2,FALSE)*$B$9/24,"n/a")))</f>
        <v>0</v>
      </c>
      <c r="AG30" s="17">
        <f>IF(AND(D30="solid",E30="very low"),"n/a",VLOOKUP(AE30,TRAlookup!$A$2:$H$729,3,FALSE))</f>
        <v>13.71</v>
      </c>
      <c r="AH30" s="17">
        <f>IF(AND(D30="solid",E30="very low"),"n/a",VLOOKUP(AE30,TRAlookup!$A$2:$H$729,4,FALSE))</f>
        <v>1000</v>
      </c>
      <c r="AI30" s="16"/>
      <c r="AJ30" s="26" t="str">
        <f t="shared" si="6"/>
        <v xml:space="preserve">Note that the TRA predicts vapour phase exposure; exposure by aerosols is not taken into account; if aerosol formation is relevant, refer to other information or models. </v>
      </c>
      <c r="AK30" s="48" t="str">
        <f t="shared" si="7"/>
        <v/>
      </c>
      <c r="AL30" s="48" t="str">
        <f t="shared" si="16"/>
        <v/>
      </c>
    </row>
    <row r="31" spans="1:38" s="28" customFormat="1" ht="60" customHeight="1" x14ac:dyDescent="0.3">
      <c r="A31" s="78"/>
      <c r="B31" s="79" t="s">
        <v>109</v>
      </c>
      <c r="C31" s="79" t="s">
        <v>9</v>
      </c>
      <c r="D31" s="79" t="s">
        <v>6</v>
      </c>
      <c r="E31" s="79" t="s">
        <v>16</v>
      </c>
      <c r="F31" s="79" t="s">
        <v>86</v>
      </c>
      <c r="G31" s="79" t="s">
        <v>87</v>
      </c>
      <c r="H31" s="79" t="s">
        <v>88</v>
      </c>
      <c r="I31" s="79" t="s">
        <v>89</v>
      </c>
      <c r="J31" s="79" t="s">
        <v>90</v>
      </c>
      <c r="K31" s="79" t="s">
        <v>18</v>
      </c>
      <c r="L31" s="79" t="s">
        <v>89</v>
      </c>
      <c r="M31" s="113">
        <f>IF(AF31="n/a","change input",IF(AND(F31="outdoors",I31="yes"),"change input",IF(AND(C31="prof",F31="indoors - enhanced ventilation",I31="yes"),"change input",AF31*X31*Y31*AA31*AB31*VLOOKUP(AE31,TRAlookup!$A$2:$H$729,5,FALSE))))</f>
        <v>0</v>
      </c>
      <c r="N31" s="114">
        <f>IF(OR(AG31="n/a",M31="change input"),"n/a",IF(L31="yes",AG31*Z31*AA31*AC31*VLOOKUP(AE31,TRAlookup!$A$2:$H$729,6,FALSE),AG31*Z31*AA31*AC31))</f>
        <v>141.43</v>
      </c>
      <c r="O31" s="114">
        <f t="shared" si="0"/>
        <v>0</v>
      </c>
      <c r="P31" s="114">
        <f>IF(OR(AG31="n/a",M31="change input"),"n/a",IF(L31="yes",AH31*Z31*AA31*AC31*VLOOKUP(AE31,TRAlookup!$A$2:$H$729,6,FALSE),AH31*Z31*AA31*AC31))</f>
        <v>5000</v>
      </c>
      <c r="Q31" s="114" t="e">
        <f t="shared" si="8"/>
        <v>#DIV/0!</v>
      </c>
      <c r="R31" s="114" t="e">
        <f t="shared" si="9"/>
        <v>#DIV/0!</v>
      </c>
      <c r="S31" s="114" t="e">
        <f t="shared" si="10"/>
        <v>#DIV/0!</v>
      </c>
      <c r="T31" s="114" t="e">
        <f t="shared" si="11"/>
        <v>#DIV/0!</v>
      </c>
      <c r="U31" s="26" t="str">
        <f>IF(AND(D31="solid",E31="very low"),"Incorrect fugacity for solids.",IF(AF31="n/a",VLOOKUP(AE31,TRAlookup!$A$2:$H$729,8,FALSE),IF(AND(F31="outdoors",I31="yes"),"Combination 'outdoors' and 'LEV' not allowed. ",IF(AND(C31="prof",F31="indoors - enhanced ventilation",I31="yes"),"Combination  'indoors - enhanced ventilation' and 'LEV' not allowed for professional setting. ",CONCATENATE(AJ31,AK31,AL31)))))</f>
        <v xml:space="preserve">Note that the TRA predicts vapour phase exposure; exposure by aerosols is not taken into account; if aerosol formation is relevant, refer to other information or models. </v>
      </c>
      <c r="V31" s="27"/>
      <c r="W31" s="47" t="str">
        <f t="shared" si="12"/>
        <v>very low</v>
      </c>
      <c r="X31" s="15">
        <f t="shared" si="13"/>
        <v>1</v>
      </c>
      <c r="Y31" s="15">
        <f t="shared" si="1"/>
        <v>1</v>
      </c>
      <c r="Z31" s="15">
        <f t="shared" si="14"/>
        <v>1</v>
      </c>
      <c r="AA31" s="15">
        <f t="shared" si="2"/>
        <v>1</v>
      </c>
      <c r="AB31" s="15">
        <f t="shared" si="3"/>
        <v>1</v>
      </c>
      <c r="AC31" s="15">
        <f t="shared" si="4"/>
        <v>1</v>
      </c>
      <c r="AD31" s="15">
        <f t="shared" si="15"/>
        <v>4</v>
      </c>
      <c r="AE31" s="16" t="str">
        <f t="shared" si="5"/>
        <v>PROC19liquidnovery lowind</v>
      </c>
      <c r="AF31" s="17">
        <f>IF(AND(D31="solid",E31="very low"),"n/a",IF(D31="solid",VLOOKUP(AE31,TRAlookup!$A$2:$H$729,2,FALSE),IFERROR(VLOOKUP(AE31,TRAlookup!$A$2:$H$729,2,FALSE)*$B$9/24,"n/a")))</f>
        <v>0</v>
      </c>
      <c r="AG31" s="17">
        <f>IF(AND(D31="solid",E31="very low"),"n/a",VLOOKUP(AE31,TRAlookup!$A$2:$H$729,3,FALSE))</f>
        <v>141.43</v>
      </c>
      <c r="AH31" s="17">
        <f>IF(AND(D31="solid",E31="very low"),"n/a",VLOOKUP(AE31,TRAlookup!$A$2:$H$729,4,FALSE))</f>
        <v>5000</v>
      </c>
      <c r="AI31" s="16"/>
      <c r="AJ31" s="26" t="str">
        <f t="shared" si="6"/>
        <v xml:space="preserve">Note that the TRA predicts vapour phase exposure; exposure by aerosols is not taken into account; if aerosol formation is relevant, refer to other information or models. </v>
      </c>
      <c r="AK31" s="48" t="str">
        <f t="shared" si="7"/>
        <v/>
      </c>
      <c r="AL31" s="48" t="str">
        <f t="shared" si="16"/>
        <v/>
      </c>
    </row>
    <row r="32" spans="1:38" s="28" customFormat="1" x14ac:dyDescent="0.3">
      <c r="B32" s="24"/>
      <c r="C32" s="37"/>
      <c r="D32" s="37"/>
      <c r="E32" s="37"/>
      <c r="F32" s="35"/>
      <c r="G32" s="35"/>
      <c r="H32" s="35"/>
      <c r="I32" s="35"/>
      <c r="J32" s="35"/>
      <c r="K32" s="35"/>
      <c r="L32" s="35"/>
      <c r="M32" s="31"/>
      <c r="N32" s="32"/>
      <c r="O32" s="32"/>
      <c r="P32" s="32"/>
      <c r="Q32" s="32"/>
      <c r="R32" s="32"/>
      <c r="S32" s="32"/>
      <c r="T32" s="32"/>
      <c r="U32" s="29"/>
      <c r="V32" s="29"/>
      <c r="W32" s="24"/>
      <c r="X32" s="18"/>
      <c r="Y32" s="18"/>
      <c r="Z32" s="18"/>
      <c r="AA32" s="18"/>
      <c r="AB32" s="18"/>
      <c r="AC32" s="18"/>
      <c r="AD32" s="18"/>
      <c r="AE32" s="19"/>
      <c r="AF32" s="20"/>
      <c r="AG32" s="21"/>
      <c r="AH32" s="21"/>
      <c r="AI32" s="19"/>
      <c r="AJ32" s="29"/>
      <c r="AK32" s="29"/>
      <c r="AL32" s="29"/>
    </row>
    <row r="33" spans="2:38" s="28" customFormat="1" x14ac:dyDescent="0.3">
      <c r="B33" s="24"/>
      <c r="C33" s="37"/>
      <c r="D33" s="37"/>
      <c r="E33" s="37"/>
      <c r="F33" s="35"/>
      <c r="G33" s="35"/>
      <c r="H33" s="35"/>
      <c r="I33" s="35"/>
      <c r="J33" s="35"/>
      <c r="K33" s="35"/>
      <c r="L33" s="35"/>
      <c r="M33" s="31"/>
      <c r="N33" s="32"/>
      <c r="O33" s="32"/>
      <c r="P33" s="32"/>
      <c r="Q33" s="32"/>
      <c r="R33" s="32"/>
      <c r="S33" s="32"/>
      <c r="T33" s="32"/>
      <c r="U33" s="29"/>
      <c r="V33" s="29"/>
      <c r="W33" s="24"/>
      <c r="X33" s="18"/>
      <c r="Y33" s="18"/>
      <c r="Z33" s="18"/>
      <c r="AA33" s="18"/>
      <c r="AB33" s="18"/>
      <c r="AC33" s="18"/>
      <c r="AD33" s="18"/>
      <c r="AE33" s="19"/>
      <c r="AF33" s="20"/>
      <c r="AG33" s="21"/>
      <c r="AH33" s="21"/>
      <c r="AI33" s="19"/>
      <c r="AJ33" s="29"/>
      <c r="AK33" s="29"/>
      <c r="AL33" s="29"/>
    </row>
    <row r="34" spans="2:38" s="28" customFormat="1" x14ac:dyDescent="0.3">
      <c r="B34" s="24"/>
      <c r="C34" s="37"/>
      <c r="D34" s="37"/>
      <c r="E34" s="37"/>
      <c r="F34" s="35"/>
      <c r="G34" s="35"/>
      <c r="H34" s="35"/>
      <c r="I34" s="35"/>
      <c r="J34" s="35"/>
      <c r="K34" s="35"/>
      <c r="L34" s="35"/>
      <c r="M34" s="31"/>
      <c r="N34" s="32"/>
      <c r="O34" s="32"/>
      <c r="P34" s="32"/>
      <c r="Q34" s="32"/>
      <c r="R34" s="32"/>
      <c r="S34" s="32"/>
      <c r="T34" s="32"/>
      <c r="U34" s="29"/>
      <c r="V34" s="29"/>
      <c r="W34" s="24"/>
      <c r="X34" s="18"/>
      <c r="Y34" s="18"/>
      <c r="Z34" s="18"/>
      <c r="AA34" s="18"/>
      <c r="AB34" s="18"/>
      <c r="AC34" s="18"/>
      <c r="AD34" s="18"/>
      <c r="AE34" s="19"/>
      <c r="AF34" s="20"/>
      <c r="AG34" s="21"/>
      <c r="AH34" s="21"/>
      <c r="AI34" s="19"/>
      <c r="AJ34" s="29"/>
      <c r="AK34" s="29"/>
      <c r="AL34" s="29"/>
    </row>
    <row r="35" spans="2:38" s="28" customFormat="1" x14ac:dyDescent="0.3">
      <c r="B35" s="24"/>
      <c r="C35" s="37"/>
      <c r="D35" s="37"/>
      <c r="E35" s="37"/>
      <c r="F35" s="35"/>
      <c r="G35" s="35"/>
      <c r="H35" s="35"/>
      <c r="I35" s="35"/>
      <c r="J35" s="35"/>
      <c r="K35" s="35"/>
      <c r="L35" s="35"/>
      <c r="M35" s="31"/>
      <c r="N35" s="32"/>
      <c r="O35" s="32"/>
      <c r="P35" s="32"/>
      <c r="Q35" s="32"/>
      <c r="R35" s="32"/>
      <c r="S35" s="32"/>
      <c r="T35" s="32"/>
      <c r="U35" s="29"/>
      <c r="V35" s="29"/>
      <c r="W35" s="24"/>
      <c r="X35" s="18"/>
      <c r="Y35" s="18"/>
      <c r="Z35" s="18"/>
      <c r="AA35" s="18"/>
      <c r="AB35" s="18"/>
      <c r="AC35" s="18"/>
      <c r="AD35" s="18"/>
      <c r="AE35" s="19"/>
      <c r="AF35" s="20"/>
      <c r="AG35" s="21"/>
      <c r="AH35" s="21"/>
      <c r="AI35" s="19"/>
      <c r="AJ35" s="29"/>
      <c r="AK35" s="29"/>
      <c r="AL35" s="29"/>
    </row>
    <row r="36" spans="2:38" s="28" customFormat="1" x14ac:dyDescent="0.3">
      <c r="B36" s="24"/>
      <c r="C36" s="37"/>
      <c r="D36" s="37"/>
      <c r="E36" s="37"/>
      <c r="F36" s="35"/>
      <c r="G36" s="35"/>
      <c r="H36" s="35"/>
      <c r="I36" s="35"/>
      <c r="J36" s="35"/>
      <c r="K36" s="35"/>
      <c r="L36" s="35"/>
      <c r="M36" s="31"/>
      <c r="N36" s="32"/>
      <c r="O36" s="32"/>
      <c r="P36" s="32"/>
      <c r="Q36" s="32"/>
      <c r="R36" s="32"/>
      <c r="S36" s="32"/>
      <c r="T36" s="32"/>
      <c r="U36" s="29"/>
      <c r="V36" s="29"/>
      <c r="W36" s="24"/>
      <c r="X36" s="18"/>
      <c r="Y36" s="18"/>
      <c r="Z36" s="18"/>
      <c r="AA36" s="18"/>
      <c r="AB36" s="18"/>
      <c r="AC36" s="18"/>
      <c r="AD36" s="18"/>
      <c r="AE36" s="19"/>
      <c r="AF36" s="20"/>
      <c r="AG36" s="21"/>
      <c r="AH36" s="21"/>
      <c r="AI36" s="19"/>
      <c r="AJ36" s="29"/>
      <c r="AK36" s="29"/>
      <c r="AL36" s="29"/>
    </row>
    <row r="37" spans="2:38" s="28" customFormat="1" x14ac:dyDescent="0.3">
      <c r="B37" s="24"/>
      <c r="C37" s="37"/>
      <c r="D37" s="37"/>
      <c r="E37" s="37"/>
      <c r="F37" s="35"/>
      <c r="G37" s="35"/>
      <c r="H37" s="35"/>
      <c r="I37" s="35"/>
      <c r="J37" s="35"/>
      <c r="K37" s="35"/>
      <c r="L37" s="35"/>
      <c r="M37" s="31"/>
      <c r="N37" s="32"/>
      <c r="O37" s="32"/>
      <c r="P37" s="32"/>
      <c r="Q37" s="32"/>
      <c r="R37" s="32"/>
      <c r="S37" s="32"/>
      <c r="T37" s="32"/>
      <c r="U37" s="29"/>
      <c r="V37" s="29"/>
      <c r="W37" s="24"/>
      <c r="X37" s="18"/>
      <c r="Y37" s="18"/>
      <c r="Z37" s="18"/>
      <c r="AA37" s="18"/>
      <c r="AB37" s="18"/>
      <c r="AC37" s="18"/>
      <c r="AD37" s="18"/>
      <c r="AE37" s="19"/>
      <c r="AF37" s="20"/>
      <c r="AG37" s="21"/>
      <c r="AH37" s="21"/>
      <c r="AI37" s="19"/>
      <c r="AJ37" s="29"/>
      <c r="AK37" s="29"/>
      <c r="AL37" s="29"/>
    </row>
    <row r="38" spans="2:38" s="28" customFormat="1" x14ac:dyDescent="0.3">
      <c r="B38" s="24"/>
      <c r="C38" s="37"/>
      <c r="D38" s="37"/>
      <c r="E38" s="37"/>
      <c r="F38" s="35"/>
      <c r="G38" s="35"/>
      <c r="H38" s="35"/>
      <c r="I38" s="35"/>
      <c r="J38" s="35"/>
      <c r="K38" s="35"/>
      <c r="L38" s="35"/>
      <c r="M38" s="31"/>
      <c r="N38" s="32"/>
      <c r="O38" s="32"/>
      <c r="P38" s="32"/>
      <c r="Q38" s="32"/>
      <c r="R38" s="32"/>
      <c r="S38" s="32"/>
      <c r="T38" s="32"/>
      <c r="U38" s="29"/>
      <c r="V38" s="29"/>
      <c r="W38" s="24"/>
      <c r="X38" s="18"/>
      <c r="Y38" s="18"/>
      <c r="Z38" s="18"/>
      <c r="AA38" s="18"/>
      <c r="AB38" s="18"/>
      <c r="AC38" s="18"/>
      <c r="AD38" s="18"/>
      <c r="AE38" s="19"/>
      <c r="AF38" s="20"/>
      <c r="AG38" s="21"/>
      <c r="AH38" s="21"/>
      <c r="AI38" s="19"/>
      <c r="AJ38" s="29"/>
      <c r="AK38" s="29"/>
      <c r="AL38" s="29"/>
    </row>
    <row r="39" spans="2:38" s="28" customFormat="1" x14ac:dyDescent="0.3">
      <c r="B39" s="24"/>
      <c r="C39" s="37"/>
      <c r="D39" s="37"/>
      <c r="E39" s="37"/>
      <c r="F39" s="35"/>
      <c r="G39" s="35"/>
      <c r="H39" s="35"/>
      <c r="I39" s="35"/>
      <c r="J39" s="35"/>
      <c r="K39" s="35"/>
      <c r="L39" s="35"/>
      <c r="M39" s="31"/>
      <c r="N39" s="32"/>
      <c r="O39" s="32"/>
      <c r="P39" s="32"/>
      <c r="Q39" s="32"/>
      <c r="R39" s="32"/>
      <c r="S39" s="32"/>
      <c r="T39" s="32"/>
      <c r="U39" s="29"/>
      <c r="V39" s="29"/>
      <c r="W39" s="24"/>
      <c r="X39" s="18"/>
      <c r="Y39" s="18"/>
      <c r="Z39" s="18"/>
      <c r="AA39" s="18"/>
      <c r="AB39" s="18"/>
      <c r="AC39" s="18"/>
      <c r="AD39" s="18"/>
      <c r="AE39" s="19"/>
      <c r="AF39" s="20"/>
      <c r="AG39" s="21"/>
      <c r="AH39" s="21"/>
      <c r="AI39" s="19"/>
      <c r="AJ39" s="29"/>
      <c r="AK39" s="29"/>
      <c r="AL39" s="29"/>
    </row>
    <row r="40" spans="2:38" s="28" customFormat="1" x14ac:dyDescent="0.3">
      <c r="B40" s="24"/>
      <c r="C40" s="37"/>
      <c r="D40" s="37"/>
      <c r="E40" s="37"/>
      <c r="F40" s="35"/>
      <c r="G40" s="35"/>
      <c r="H40" s="35"/>
      <c r="I40" s="35"/>
      <c r="J40" s="35"/>
      <c r="K40" s="35"/>
      <c r="L40" s="35"/>
      <c r="M40" s="31"/>
      <c r="N40" s="32"/>
      <c r="O40" s="32"/>
      <c r="P40" s="32"/>
      <c r="Q40" s="32"/>
      <c r="R40" s="32"/>
      <c r="S40" s="32"/>
      <c r="T40" s="32"/>
      <c r="U40" s="29"/>
      <c r="V40" s="29"/>
      <c r="W40" s="24"/>
      <c r="X40" s="18"/>
      <c r="Y40" s="18"/>
      <c r="Z40" s="18"/>
      <c r="AA40" s="18"/>
      <c r="AB40" s="18"/>
      <c r="AC40" s="18"/>
      <c r="AD40" s="18"/>
      <c r="AE40" s="19"/>
      <c r="AF40" s="20"/>
      <c r="AG40" s="21"/>
      <c r="AH40" s="21"/>
      <c r="AI40" s="19"/>
      <c r="AJ40" s="29"/>
      <c r="AK40" s="29"/>
      <c r="AL40" s="29"/>
    </row>
    <row r="41" spans="2:38" s="28" customFormat="1" x14ac:dyDescent="0.3">
      <c r="B41" s="24"/>
      <c r="C41" s="37"/>
      <c r="D41" s="37"/>
      <c r="E41" s="37"/>
      <c r="F41" s="35"/>
      <c r="G41" s="35"/>
      <c r="H41" s="35"/>
      <c r="I41" s="35"/>
      <c r="J41" s="35"/>
      <c r="K41" s="35"/>
      <c r="L41" s="35"/>
      <c r="M41" s="31"/>
      <c r="N41" s="32"/>
      <c r="O41" s="32"/>
      <c r="P41" s="32"/>
      <c r="Q41" s="32"/>
      <c r="R41" s="32"/>
      <c r="S41" s="32"/>
      <c r="T41" s="32"/>
      <c r="U41" s="29"/>
      <c r="V41" s="29"/>
      <c r="W41" s="24"/>
      <c r="X41" s="18"/>
      <c r="Y41" s="18"/>
      <c r="Z41" s="18"/>
      <c r="AA41" s="18"/>
      <c r="AB41" s="18"/>
      <c r="AC41" s="18"/>
      <c r="AD41" s="18"/>
      <c r="AE41" s="19"/>
      <c r="AF41" s="20"/>
      <c r="AG41" s="21"/>
      <c r="AH41" s="21"/>
      <c r="AI41" s="19"/>
      <c r="AJ41" s="29"/>
      <c r="AK41" s="29"/>
      <c r="AL41" s="29"/>
    </row>
    <row r="42" spans="2:38" s="28" customFormat="1" x14ac:dyDescent="0.3">
      <c r="B42" s="24"/>
      <c r="C42" s="37"/>
      <c r="D42" s="37"/>
      <c r="E42" s="37"/>
      <c r="F42" s="35"/>
      <c r="G42" s="35"/>
      <c r="H42" s="35"/>
      <c r="I42" s="35"/>
      <c r="J42" s="35"/>
      <c r="K42" s="35"/>
      <c r="L42" s="35"/>
      <c r="M42" s="31"/>
      <c r="N42" s="32"/>
      <c r="O42" s="32"/>
      <c r="P42" s="32"/>
      <c r="Q42" s="32"/>
      <c r="R42" s="32"/>
      <c r="S42" s="32"/>
      <c r="T42" s="32"/>
      <c r="U42" s="29"/>
      <c r="V42" s="29"/>
      <c r="W42" s="24"/>
      <c r="X42" s="18"/>
      <c r="Y42" s="18"/>
      <c r="Z42" s="18"/>
      <c r="AA42" s="18"/>
      <c r="AB42" s="18"/>
      <c r="AC42" s="18"/>
      <c r="AD42" s="18"/>
      <c r="AE42" s="19"/>
      <c r="AF42" s="20"/>
      <c r="AG42" s="21"/>
      <c r="AH42" s="21"/>
      <c r="AI42" s="19"/>
      <c r="AJ42" s="29"/>
      <c r="AK42" s="29"/>
      <c r="AL42" s="29"/>
    </row>
    <row r="43" spans="2:38" s="28" customFormat="1" x14ac:dyDescent="0.3">
      <c r="B43" s="24"/>
      <c r="C43" s="37"/>
      <c r="D43" s="37"/>
      <c r="E43" s="37"/>
      <c r="F43" s="35"/>
      <c r="G43" s="35"/>
      <c r="H43" s="35"/>
      <c r="I43" s="35"/>
      <c r="J43" s="35"/>
      <c r="K43" s="35"/>
      <c r="L43" s="35"/>
      <c r="M43" s="31"/>
      <c r="N43" s="32"/>
      <c r="O43" s="32"/>
      <c r="P43" s="32"/>
      <c r="Q43" s="32"/>
      <c r="R43" s="32"/>
      <c r="S43" s="32"/>
      <c r="T43" s="32"/>
      <c r="U43" s="29"/>
      <c r="V43" s="29"/>
      <c r="W43" s="24"/>
      <c r="X43" s="18"/>
      <c r="Y43" s="18"/>
      <c r="Z43" s="18"/>
      <c r="AA43" s="18"/>
      <c r="AB43" s="18"/>
      <c r="AC43" s="18"/>
      <c r="AD43" s="18"/>
      <c r="AE43" s="19"/>
      <c r="AF43" s="20"/>
      <c r="AG43" s="21"/>
      <c r="AH43" s="21"/>
      <c r="AI43" s="19"/>
      <c r="AJ43" s="29"/>
      <c r="AK43" s="29"/>
      <c r="AL43" s="29"/>
    </row>
    <row r="44" spans="2:38" s="28" customFormat="1" x14ac:dyDescent="0.3">
      <c r="B44" s="24"/>
      <c r="C44" s="37"/>
      <c r="D44" s="37"/>
      <c r="E44" s="37"/>
      <c r="F44" s="35"/>
      <c r="G44" s="35"/>
      <c r="H44" s="35"/>
      <c r="I44" s="35"/>
      <c r="J44" s="35"/>
      <c r="K44" s="35"/>
      <c r="L44" s="35"/>
      <c r="M44" s="31"/>
      <c r="N44" s="32"/>
      <c r="O44" s="32"/>
      <c r="P44" s="32"/>
      <c r="Q44" s="32"/>
      <c r="R44" s="32"/>
      <c r="S44" s="32"/>
      <c r="T44" s="32"/>
      <c r="U44" s="29"/>
      <c r="V44" s="29"/>
      <c r="W44" s="24"/>
      <c r="X44" s="18"/>
      <c r="Y44" s="18"/>
      <c r="Z44" s="18"/>
      <c r="AA44" s="18"/>
      <c r="AB44" s="18"/>
      <c r="AC44" s="18"/>
      <c r="AD44" s="18"/>
      <c r="AE44" s="19"/>
      <c r="AF44" s="20"/>
      <c r="AG44" s="21"/>
      <c r="AH44" s="21"/>
      <c r="AI44" s="19"/>
      <c r="AJ44" s="29"/>
      <c r="AK44" s="29"/>
      <c r="AL44" s="29"/>
    </row>
    <row r="45" spans="2:38" s="28" customFormat="1" x14ac:dyDescent="0.3">
      <c r="B45" s="24"/>
      <c r="C45" s="37"/>
      <c r="D45" s="37"/>
      <c r="E45" s="37"/>
      <c r="F45" s="35"/>
      <c r="G45" s="35"/>
      <c r="H45" s="35"/>
      <c r="I45" s="35"/>
      <c r="J45" s="35"/>
      <c r="K45" s="35"/>
      <c r="L45" s="35"/>
      <c r="M45" s="31"/>
      <c r="N45" s="32"/>
      <c r="O45" s="32"/>
      <c r="P45" s="32"/>
      <c r="Q45" s="32"/>
      <c r="R45" s="32"/>
      <c r="S45" s="32"/>
      <c r="T45" s="32"/>
      <c r="U45" s="29"/>
      <c r="V45" s="29"/>
      <c r="W45" s="24"/>
      <c r="X45" s="18"/>
      <c r="Y45" s="18"/>
      <c r="Z45" s="18"/>
      <c r="AA45" s="18"/>
      <c r="AB45" s="18"/>
      <c r="AC45" s="18"/>
      <c r="AD45" s="18"/>
      <c r="AE45" s="19"/>
      <c r="AF45" s="20"/>
      <c r="AG45" s="21"/>
      <c r="AH45" s="21"/>
      <c r="AI45" s="19"/>
      <c r="AJ45" s="29"/>
      <c r="AK45" s="29"/>
      <c r="AL45" s="29"/>
    </row>
    <row r="46" spans="2:38" s="28" customFormat="1" x14ac:dyDescent="0.3">
      <c r="B46" s="24"/>
      <c r="C46" s="37"/>
      <c r="D46" s="37"/>
      <c r="E46" s="37"/>
      <c r="F46" s="35"/>
      <c r="G46" s="35"/>
      <c r="H46" s="35"/>
      <c r="I46" s="35"/>
      <c r="J46" s="35"/>
      <c r="K46" s="35"/>
      <c r="L46" s="35"/>
      <c r="M46" s="31"/>
      <c r="N46" s="32"/>
      <c r="O46" s="32"/>
      <c r="P46" s="32"/>
      <c r="Q46" s="32"/>
      <c r="R46" s="32"/>
      <c r="S46" s="32"/>
      <c r="T46" s="32"/>
      <c r="U46" s="29"/>
      <c r="V46" s="29"/>
      <c r="W46" s="24"/>
      <c r="X46" s="18"/>
      <c r="Y46" s="18"/>
      <c r="Z46" s="18"/>
      <c r="AA46" s="18"/>
      <c r="AB46" s="18"/>
      <c r="AC46" s="18"/>
      <c r="AD46" s="18"/>
      <c r="AE46" s="19"/>
      <c r="AF46" s="20"/>
      <c r="AG46" s="21"/>
      <c r="AH46" s="21"/>
      <c r="AI46" s="19"/>
      <c r="AJ46" s="29"/>
      <c r="AK46" s="29"/>
      <c r="AL46" s="29"/>
    </row>
    <row r="47" spans="2:38" s="28" customFormat="1" x14ac:dyDescent="0.3">
      <c r="B47" s="24"/>
      <c r="C47" s="37"/>
      <c r="D47" s="37"/>
      <c r="E47" s="37"/>
      <c r="F47" s="35"/>
      <c r="G47" s="35"/>
      <c r="H47" s="35"/>
      <c r="I47" s="35"/>
      <c r="J47" s="35"/>
      <c r="K47" s="35"/>
      <c r="L47" s="35"/>
      <c r="M47" s="31"/>
      <c r="N47" s="32"/>
      <c r="O47" s="32"/>
      <c r="P47" s="32"/>
      <c r="Q47" s="32"/>
      <c r="R47" s="32"/>
      <c r="S47" s="32"/>
      <c r="T47" s="32"/>
      <c r="U47" s="29"/>
      <c r="V47" s="29"/>
      <c r="W47" s="24"/>
      <c r="X47" s="18"/>
      <c r="Y47" s="18"/>
      <c r="Z47" s="18"/>
      <c r="AA47" s="18"/>
      <c r="AB47" s="18"/>
      <c r="AC47" s="18"/>
      <c r="AD47" s="18"/>
      <c r="AE47" s="19"/>
      <c r="AF47" s="20"/>
      <c r="AG47" s="21"/>
      <c r="AH47" s="21"/>
      <c r="AI47" s="19"/>
      <c r="AJ47" s="29"/>
      <c r="AK47" s="29"/>
      <c r="AL47" s="29"/>
    </row>
    <row r="48" spans="2:38" s="28" customFormat="1" x14ac:dyDescent="0.3">
      <c r="B48" s="24"/>
      <c r="C48" s="37"/>
      <c r="D48" s="37"/>
      <c r="E48" s="37"/>
      <c r="F48" s="35"/>
      <c r="G48" s="35"/>
      <c r="H48" s="35"/>
      <c r="I48" s="35"/>
      <c r="J48" s="35"/>
      <c r="K48" s="35"/>
      <c r="L48" s="35"/>
      <c r="M48" s="31"/>
      <c r="N48" s="32"/>
      <c r="O48" s="32"/>
      <c r="P48" s="32"/>
      <c r="Q48" s="32"/>
      <c r="R48" s="32"/>
      <c r="S48" s="32"/>
      <c r="T48" s="32"/>
      <c r="U48" s="29"/>
      <c r="V48" s="29"/>
      <c r="W48" s="24"/>
      <c r="X48" s="18"/>
      <c r="Y48" s="18"/>
      <c r="Z48" s="18"/>
      <c r="AA48" s="18"/>
      <c r="AB48" s="18"/>
      <c r="AC48" s="18"/>
      <c r="AD48" s="18"/>
      <c r="AE48" s="19"/>
      <c r="AF48" s="20"/>
      <c r="AG48" s="21"/>
      <c r="AH48" s="21"/>
      <c r="AI48" s="19"/>
      <c r="AJ48" s="29"/>
      <c r="AK48" s="29"/>
      <c r="AL48" s="29"/>
    </row>
    <row r="49" spans="2:38" s="28" customFormat="1" x14ac:dyDescent="0.3">
      <c r="B49" s="24"/>
      <c r="C49" s="37"/>
      <c r="D49" s="37"/>
      <c r="E49" s="37"/>
      <c r="F49" s="35"/>
      <c r="G49" s="35"/>
      <c r="H49" s="35"/>
      <c r="I49" s="35"/>
      <c r="J49" s="35"/>
      <c r="K49" s="35"/>
      <c r="L49" s="35"/>
      <c r="M49" s="31"/>
      <c r="N49" s="32"/>
      <c r="O49" s="32"/>
      <c r="P49" s="32"/>
      <c r="Q49" s="32"/>
      <c r="R49" s="32"/>
      <c r="S49" s="32"/>
      <c r="T49" s="32"/>
      <c r="U49" s="29"/>
      <c r="V49" s="29"/>
      <c r="W49" s="24"/>
      <c r="X49" s="18"/>
      <c r="Y49" s="18"/>
      <c r="Z49" s="18"/>
      <c r="AA49" s="18"/>
      <c r="AB49" s="18"/>
      <c r="AC49" s="18"/>
      <c r="AD49" s="18"/>
      <c r="AE49" s="19"/>
      <c r="AF49" s="20"/>
      <c r="AG49" s="21"/>
      <c r="AH49" s="21"/>
      <c r="AI49" s="19"/>
      <c r="AJ49" s="29"/>
      <c r="AK49" s="29"/>
      <c r="AL49" s="29"/>
    </row>
    <row r="50" spans="2:38" s="28" customFormat="1" x14ac:dyDescent="0.3">
      <c r="B50" s="24"/>
      <c r="C50" s="37"/>
      <c r="D50" s="37"/>
      <c r="E50" s="37"/>
      <c r="F50" s="35"/>
      <c r="G50" s="35"/>
      <c r="H50" s="35"/>
      <c r="I50" s="35"/>
      <c r="J50" s="35"/>
      <c r="K50" s="35"/>
      <c r="L50" s="35"/>
      <c r="M50" s="31"/>
      <c r="N50" s="32"/>
      <c r="O50" s="32"/>
      <c r="P50" s="32"/>
      <c r="Q50" s="32"/>
      <c r="R50" s="32"/>
      <c r="S50" s="32"/>
      <c r="T50" s="32"/>
      <c r="U50" s="29"/>
      <c r="V50" s="29"/>
      <c r="W50" s="24"/>
      <c r="X50" s="18"/>
      <c r="Y50" s="18"/>
      <c r="Z50" s="18"/>
      <c r="AA50" s="18"/>
      <c r="AB50" s="18"/>
      <c r="AC50" s="18"/>
      <c r="AD50" s="18"/>
      <c r="AE50" s="19"/>
      <c r="AF50" s="20"/>
      <c r="AG50" s="21"/>
      <c r="AH50" s="21"/>
      <c r="AI50" s="19"/>
      <c r="AJ50" s="29"/>
      <c r="AK50" s="29"/>
      <c r="AL50" s="29"/>
    </row>
    <row r="51" spans="2:38" s="28" customFormat="1" x14ac:dyDescent="0.3">
      <c r="B51" s="24"/>
      <c r="C51" s="37"/>
      <c r="D51" s="37"/>
      <c r="E51" s="37"/>
      <c r="F51" s="35"/>
      <c r="G51" s="35"/>
      <c r="H51" s="35"/>
      <c r="I51" s="35"/>
      <c r="J51" s="35"/>
      <c r="K51" s="35"/>
      <c r="L51" s="35"/>
      <c r="M51" s="31"/>
      <c r="N51" s="32"/>
      <c r="O51" s="32"/>
      <c r="P51" s="32"/>
      <c r="Q51" s="32"/>
      <c r="R51" s="32"/>
      <c r="S51" s="32"/>
      <c r="T51" s="32"/>
      <c r="U51" s="29"/>
      <c r="V51" s="29"/>
      <c r="W51" s="24"/>
      <c r="X51" s="18"/>
      <c r="Y51" s="18"/>
      <c r="Z51" s="18"/>
      <c r="AA51" s="18"/>
      <c r="AB51" s="18"/>
      <c r="AC51" s="18"/>
      <c r="AD51" s="18"/>
      <c r="AE51" s="19"/>
      <c r="AF51" s="20"/>
      <c r="AG51" s="21"/>
      <c r="AH51" s="21"/>
      <c r="AI51" s="19"/>
      <c r="AJ51" s="29"/>
      <c r="AK51" s="29"/>
      <c r="AL51" s="29"/>
    </row>
    <row r="52" spans="2:38" s="28" customFormat="1" x14ac:dyDescent="0.3">
      <c r="B52" s="24"/>
      <c r="C52" s="37"/>
      <c r="D52" s="37"/>
      <c r="E52" s="37"/>
      <c r="F52" s="35"/>
      <c r="G52" s="35"/>
      <c r="H52" s="35"/>
      <c r="I52" s="35"/>
      <c r="J52" s="35"/>
      <c r="K52" s="35"/>
      <c r="L52" s="35"/>
      <c r="M52" s="31"/>
      <c r="N52" s="32"/>
      <c r="O52" s="32"/>
      <c r="P52" s="32"/>
      <c r="Q52" s="32"/>
      <c r="R52" s="32"/>
      <c r="S52" s="32"/>
      <c r="T52" s="32"/>
      <c r="U52" s="29"/>
      <c r="V52" s="29"/>
      <c r="W52" s="24"/>
      <c r="X52" s="18"/>
      <c r="Y52" s="18"/>
      <c r="Z52" s="18"/>
      <c r="AA52" s="18"/>
      <c r="AB52" s="18"/>
      <c r="AC52" s="18"/>
      <c r="AD52" s="18"/>
      <c r="AE52" s="19"/>
      <c r="AF52" s="20"/>
      <c r="AG52" s="21"/>
      <c r="AH52" s="21"/>
      <c r="AI52" s="19"/>
      <c r="AJ52" s="29"/>
      <c r="AK52" s="29"/>
      <c r="AL52" s="29"/>
    </row>
    <row r="53" spans="2:38" s="28" customFormat="1" x14ac:dyDescent="0.3">
      <c r="B53" s="24"/>
      <c r="C53" s="37"/>
      <c r="D53" s="37"/>
      <c r="E53" s="37"/>
      <c r="F53" s="35"/>
      <c r="G53" s="35"/>
      <c r="H53" s="35"/>
      <c r="I53" s="35"/>
      <c r="J53" s="35"/>
      <c r="K53" s="35"/>
      <c r="L53" s="35"/>
      <c r="M53" s="31"/>
      <c r="N53" s="32"/>
      <c r="O53" s="32"/>
      <c r="P53" s="32"/>
      <c r="Q53" s="32"/>
      <c r="R53" s="32"/>
      <c r="S53" s="32"/>
      <c r="T53" s="32"/>
      <c r="U53" s="29"/>
      <c r="V53" s="29"/>
      <c r="W53" s="24"/>
      <c r="X53" s="18"/>
      <c r="Y53" s="18"/>
      <c r="Z53" s="18"/>
      <c r="AA53" s="18"/>
      <c r="AB53" s="18"/>
      <c r="AC53" s="18"/>
      <c r="AD53" s="18"/>
      <c r="AE53" s="19"/>
      <c r="AF53" s="20"/>
      <c r="AG53" s="21"/>
      <c r="AH53" s="21"/>
      <c r="AI53" s="19"/>
      <c r="AJ53" s="29"/>
      <c r="AK53" s="29"/>
      <c r="AL53" s="29"/>
    </row>
    <row r="54" spans="2:38" s="28" customFormat="1" x14ac:dyDescent="0.3">
      <c r="B54" s="24"/>
      <c r="C54" s="37"/>
      <c r="D54" s="37"/>
      <c r="E54" s="37"/>
      <c r="F54" s="35"/>
      <c r="G54" s="35"/>
      <c r="H54" s="35"/>
      <c r="I54" s="35"/>
      <c r="J54" s="35"/>
      <c r="K54" s="35"/>
      <c r="L54" s="35"/>
      <c r="M54" s="31"/>
      <c r="N54" s="32"/>
      <c r="O54" s="32"/>
      <c r="P54" s="32"/>
      <c r="Q54" s="32"/>
      <c r="R54" s="32"/>
      <c r="S54" s="32"/>
      <c r="T54" s="32"/>
      <c r="U54" s="29"/>
      <c r="V54" s="29"/>
      <c r="W54" s="24"/>
      <c r="X54" s="18"/>
      <c r="Y54" s="18"/>
      <c r="Z54" s="18"/>
      <c r="AA54" s="18"/>
      <c r="AB54" s="18"/>
      <c r="AC54" s="18"/>
      <c r="AD54" s="18"/>
      <c r="AE54" s="19"/>
      <c r="AF54" s="20"/>
      <c r="AG54" s="21"/>
      <c r="AH54" s="21"/>
      <c r="AI54" s="19"/>
      <c r="AJ54" s="29"/>
      <c r="AK54" s="29"/>
      <c r="AL54" s="29"/>
    </row>
    <row r="55" spans="2:38" s="28" customFormat="1" x14ac:dyDescent="0.3">
      <c r="B55" s="24"/>
      <c r="C55" s="37"/>
      <c r="D55" s="37"/>
      <c r="E55" s="37"/>
      <c r="F55" s="35"/>
      <c r="G55" s="35"/>
      <c r="H55" s="35"/>
      <c r="I55" s="35"/>
      <c r="J55" s="35"/>
      <c r="K55" s="35"/>
      <c r="L55" s="35"/>
      <c r="M55" s="31"/>
      <c r="N55" s="32"/>
      <c r="O55" s="32"/>
      <c r="P55" s="32"/>
      <c r="Q55" s="32"/>
      <c r="R55" s="32"/>
      <c r="S55" s="32"/>
      <c r="T55" s="32"/>
      <c r="U55" s="29"/>
      <c r="V55" s="29"/>
      <c r="W55" s="24"/>
      <c r="X55" s="18"/>
      <c r="Y55" s="18"/>
      <c r="Z55" s="18"/>
      <c r="AA55" s="18"/>
      <c r="AB55" s="18"/>
      <c r="AC55" s="18"/>
      <c r="AD55" s="18"/>
      <c r="AE55" s="19"/>
      <c r="AF55" s="20"/>
      <c r="AG55" s="21"/>
      <c r="AH55" s="21"/>
      <c r="AI55" s="19"/>
      <c r="AJ55" s="29"/>
      <c r="AK55" s="29"/>
      <c r="AL55" s="29"/>
    </row>
    <row r="56" spans="2:38" s="28" customFormat="1" x14ac:dyDescent="0.3">
      <c r="B56" s="24"/>
      <c r="C56" s="37"/>
      <c r="D56" s="37"/>
      <c r="E56" s="37"/>
      <c r="F56" s="35"/>
      <c r="G56" s="35"/>
      <c r="H56" s="35"/>
      <c r="I56" s="35"/>
      <c r="J56" s="35"/>
      <c r="K56" s="35"/>
      <c r="L56" s="35"/>
      <c r="M56" s="31"/>
      <c r="N56" s="32"/>
      <c r="O56" s="32"/>
      <c r="P56" s="32"/>
      <c r="Q56" s="32"/>
      <c r="R56" s="32"/>
      <c r="S56" s="32"/>
      <c r="T56" s="32"/>
      <c r="U56" s="29"/>
      <c r="V56" s="29"/>
      <c r="W56" s="24"/>
      <c r="X56" s="18"/>
      <c r="Y56" s="18"/>
      <c r="Z56" s="18"/>
      <c r="AA56" s="18"/>
      <c r="AB56" s="18"/>
      <c r="AC56" s="18"/>
      <c r="AD56" s="18"/>
      <c r="AE56" s="19"/>
      <c r="AF56" s="20"/>
      <c r="AG56" s="21"/>
      <c r="AH56" s="21"/>
      <c r="AI56" s="19"/>
      <c r="AJ56" s="29"/>
      <c r="AK56" s="29"/>
      <c r="AL56" s="29"/>
    </row>
    <row r="57" spans="2:38" s="28" customFormat="1" x14ac:dyDescent="0.3">
      <c r="B57" s="24"/>
      <c r="C57" s="37"/>
      <c r="D57" s="37"/>
      <c r="E57" s="37"/>
      <c r="F57" s="35"/>
      <c r="G57" s="35"/>
      <c r="H57" s="35"/>
      <c r="I57" s="35"/>
      <c r="J57" s="35"/>
      <c r="K57" s="35"/>
      <c r="L57" s="35"/>
      <c r="M57" s="31"/>
      <c r="N57" s="32"/>
      <c r="O57" s="32"/>
      <c r="P57" s="32"/>
      <c r="Q57" s="32"/>
      <c r="R57" s="32"/>
      <c r="S57" s="32"/>
      <c r="T57" s="32"/>
      <c r="U57" s="29"/>
      <c r="V57" s="29"/>
      <c r="W57" s="24"/>
      <c r="X57" s="18"/>
      <c r="Y57" s="18"/>
      <c r="Z57" s="18"/>
      <c r="AA57" s="18"/>
      <c r="AB57" s="18"/>
      <c r="AC57" s="18"/>
      <c r="AD57" s="18"/>
      <c r="AE57" s="19"/>
      <c r="AF57" s="20"/>
      <c r="AG57" s="21"/>
      <c r="AH57" s="21"/>
      <c r="AI57" s="19"/>
      <c r="AJ57" s="29"/>
      <c r="AK57" s="29"/>
      <c r="AL57" s="29"/>
    </row>
    <row r="58" spans="2:38" s="28" customFormat="1" x14ac:dyDescent="0.3">
      <c r="B58" s="24"/>
      <c r="C58" s="37"/>
      <c r="D58" s="37"/>
      <c r="E58" s="37"/>
      <c r="F58" s="35"/>
      <c r="G58" s="35"/>
      <c r="H58" s="35"/>
      <c r="I58" s="35"/>
      <c r="J58" s="35"/>
      <c r="K58" s="35"/>
      <c r="L58" s="35"/>
      <c r="M58" s="31"/>
      <c r="N58" s="32"/>
      <c r="O58" s="32"/>
      <c r="P58" s="32"/>
      <c r="Q58" s="32"/>
      <c r="R58" s="32"/>
      <c r="S58" s="32"/>
      <c r="T58" s="32"/>
      <c r="U58" s="29"/>
      <c r="V58" s="29"/>
      <c r="W58" s="24"/>
      <c r="X58" s="18"/>
      <c r="Y58" s="18"/>
      <c r="Z58" s="18"/>
      <c r="AA58" s="18"/>
      <c r="AB58" s="18"/>
      <c r="AC58" s="18"/>
      <c r="AD58" s="18"/>
      <c r="AE58" s="19"/>
      <c r="AF58" s="20"/>
      <c r="AG58" s="21"/>
      <c r="AH58" s="21"/>
      <c r="AI58" s="19"/>
      <c r="AJ58" s="29"/>
      <c r="AK58" s="29"/>
      <c r="AL58" s="29"/>
    </row>
    <row r="59" spans="2:38" s="28" customFormat="1" x14ac:dyDescent="0.3">
      <c r="B59" s="24"/>
      <c r="C59" s="37"/>
      <c r="D59" s="37"/>
      <c r="E59" s="37"/>
      <c r="F59" s="35"/>
      <c r="G59" s="35"/>
      <c r="H59" s="35"/>
      <c r="I59" s="35"/>
      <c r="J59" s="35"/>
      <c r="K59" s="35"/>
      <c r="L59" s="35"/>
      <c r="M59" s="31"/>
      <c r="N59" s="32"/>
      <c r="O59" s="32"/>
      <c r="P59" s="32"/>
      <c r="Q59" s="32"/>
      <c r="R59" s="32"/>
      <c r="S59" s="32"/>
      <c r="T59" s="32"/>
      <c r="U59" s="29"/>
      <c r="V59" s="29"/>
      <c r="W59" s="24"/>
      <c r="X59" s="18"/>
      <c r="Y59" s="18"/>
      <c r="Z59" s="18"/>
      <c r="AA59" s="18"/>
      <c r="AB59" s="18"/>
      <c r="AC59" s="18"/>
      <c r="AD59" s="18"/>
      <c r="AE59" s="19"/>
      <c r="AF59" s="20"/>
      <c r="AG59" s="21"/>
      <c r="AH59" s="21"/>
      <c r="AI59" s="19"/>
      <c r="AJ59" s="29"/>
      <c r="AK59" s="29"/>
      <c r="AL59" s="29"/>
    </row>
    <row r="60" spans="2:38" s="28" customFormat="1" x14ac:dyDescent="0.3">
      <c r="B60" s="24"/>
      <c r="C60" s="37"/>
      <c r="D60" s="37"/>
      <c r="E60" s="37"/>
      <c r="F60" s="35"/>
      <c r="G60" s="35"/>
      <c r="H60" s="35"/>
      <c r="I60" s="35"/>
      <c r="J60" s="35"/>
      <c r="K60" s="35"/>
      <c r="L60" s="35"/>
      <c r="M60" s="31"/>
      <c r="N60" s="32"/>
      <c r="O60" s="32"/>
      <c r="P60" s="32"/>
      <c r="Q60" s="32"/>
      <c r="R60" s="32"/>
      <c r="S60" s="32"/>
      <c r="T60" s="32"/>
      <c r="U60" s="29"/>
      <c r="V60" s="29"/>
      <c r="W60" s="24"/>
      <c r="X60" s="18"/>
      <c r="Y60" s="18"/>
      <c r="Z60" s="18"/>
      <c r="AA60" s="18"/>
      <c r="AB60" s="18"/>
      <c r="AC60" s="18"/>
      <c r="AD60" s="18"/>
      <c r="AE60" s="19"/>
      <c r="AF60" s="20"/>
      <c r="AG60" s="21"/>
      <c r="AH60" s="21"/>
      <c r="AI60" s="19"/>
      <c r="AJ60" s="29"/>
      <c r="AK60" s="29"/>
      <c r="AL60" s="29"/>
    </row>
    <row r="61" spans="2:38" s="28" customFormat="1" x14ac:dyDescent="0.3">
      <c r="B61" s="24"/>
      <c r="C61" s="37"/>
      <c r="D61" s="37"/>
      <c r="E61" s="37"/>
      <c r="F61" s="35"/>
      <c r="G61" s="35"/>
      <c r="H61" s="35"/>
      <c r="I61" s="35"/>
      <c r="J61" s="35"/>
      <c r="K61" s="35"/>
      <c r="L61" s="35"/>
      <c r="M61" s="31"/>
      <c r="N61" s="32"/>
      <c r="O61" s="32"/>
      <c r="P61" s="32"/>
      <c r="Q61" s="32"/>
      <c r="R61" s="32"/>
      <c r="S61" s="32"/>
      <c r="T61" s="32"/>
      <c r="U61" s="29"/>
      <c r="V61" s="29"/>
      <c r="W61" s="24"/>
      <c r="X61" s="18"/>
      <c r="Y61" s="18"/>
      <c r="Z61" s="18"/>
      <c r="AA61" s="18"/>
      <c r="AB61" s="18"/>
      <c r="AC61" s="18"/>
      <c r="AD61" s="18"/>
      <c r="AE61" s="19"/>
      <c r="AF61" s="20"/>
      <c r="AG61" s="21"/>
      <c r="AH61" s="21"/>
      <c r="AI61" s="19"/>
      <c r="AJ61" s="29"/>
      <c r="AK61" s="29"/>
      <c r="AL61" s="29"/>
    </row>
    <row r="62" spans="2:38" s="28" customFormat="1" x14ac:dyDescent="0.3">
      <c r="B62" s="24"/>
      <c r="C62" s="37"/>
      <c r="D62" s="37"/>
      <c r="E62" s="37"/>
      <c r="F62" s="35"/>
      <c r="G62" s="35"/>
      <c r="H62" s="35"/>
      <c r="I62" s="35"/>
      <c r="J62" s="35"/>
      <c r="K62" s="35"/>
      <c r="L62" s="35"/>
      <c r="M62" s="31"/>
      <c r="N62" s="32"/>
      <c r="O62" s="32"/>
      <c r="P62" s="32"/>
      <c r="Q62" s="32"/>
      <c r="R62" s="32"/>
      <c r="S62" s="32"/>
      <c r="T62" s="32"/>
      <c r="U62" s="29"/>
      <c r="V62" s="29"/>
      <c r="W62" s="24"/>
      <c r="X62" s="18"/>
      <c r="Y62" s="18"/>
      <c r="Z62" s="18"/>
      <c r="AA62" s="18"/>
      <c r="AB62" s="18"/>
      <c r="AC62" s="18"/>
      <c r="AD62" s="18"/>
      <c r="AE62" s="19"/>
      <c r="AF62" s="20"/>
      <c r="AG62" s="21"/>
      <c r="AH62" s="21"/>
      <c r="AI62" s="19"/>
      <c r="AJ62" s="29"/>
      <c r="AK62" s="29"/>
      <c r="AL62" s="29"/>
    </row>
    <row r="63" spans="2:38" s="28" customFormat="1" x14ac:dyDescent="0.3">
      <c r="B63" s="24"/>
      <c r="C63" s="37"/>
      <c r="D63" s="37"/>
      <c r="E63" s="37"/>
      <c r="F63" s="35"/>
      <c r="G63" s="35"/>
      <c r="H63" s="35"/>
      <c r="I63" s="35"/>
      <c r="J63" s="35"/>
      <c r="K63" s="35"/>
      <c r="L63" s="35"/>
      <c r="M63" s="31"/>
      <c r="N63" s="32"/>
      <c r="O63" s="32"/>
      <c r="P63" s="32"/>
      <c r="Q63" s="32"/>
      <c r="R63" s="32"/>
      <c r="S63" s="32"/>
      <c r="T63" s="32"/>
      <c r="U63" s="29"/>
      <c r="V63" s="29"/>
      <c r="W63" s="24"/>
      <c r="X63" s="18"/>
      <c r="Y63" s="18"/>
      <c r="Z63" s="18"/>
      <c r="AA63" s="18"/>
      <c r="AB63" s="18"/>
      <c r="AC63" s="18"/>
      <c r="AD63" s="18"/>
      <c r="AE63" s="19"/>
      <c r="AF63" s="20"/>
      <c r="AG63" s="21"/>
      <c r="AH63" s="21"/>
      <c r="AI63" s="19"/>
      <c r="AJ63" s="29"/>
      <c r="AK63" s="29"/>
      <c r="AL63" s="29"/>
    </row>
    <row r="64" spans="2:38" s="28" customFormat="1" x14ac:dyDescent="0.3">
      <c r="B64" s="24"/>
      <c r="C64" s="37"/>
      <c r="D64" s="37"/>
      <c r="E64" s="37"/>
      <c r="F64" s="35"/>
      <c r="G64" s="35"/>
      <c r="H64" s="35"/>
      <c r="I64" s="35"/>
      <c r="J64" s="35"/>
      <c r="K64" s="35"/>
      <c r="L64" s="35"/>
      <c r="M64" s="31"/>
      <c r="N64" s="32"/>
      <c r="O64" s="32"/>
      <c r="P64" s="32"/>
      <c r="Q64" s="32"/>
      <c r="R64" s="32"/>
      <c r="S64" s="32"/>
      <c r="T64" s="32"/>
      <c r="U64" s="29"/>
      <c r="V64" s="29"/>
      <c r="W64" s="24"/>
      <c r="X64" s="18"/>
      <c r="Y64" s="18"/>
      <c r="Z64" s="18"/>
      <c r="AA64" s="18"/>
      <c r="AB64" s="18"/>
      <c r="AC64" s="18"/>
      <c r="AD64" s="18"/>
      <c r="AE64" s="19"/>
      <c r="AF64" s="20"/>
      <c r="AG64" s="21"/>
      <c r="AH64" s="21"/>
      <c r="AI64" s="19"/>
      <c r="AJ64" s="29"/>
      <c r="AK64" s="29"/>
      <c r="AL64" s="29"/>
    </row>
    <row r="65" spans="2:38" s="28" customFormat="1" x14ac:dyDescent="0.3">
      <c r="B65" s="24"/>
      <c r="C65" s="37"/>
      <c r="D65" s="37"/>
      <c r="E65" s="37"/>
      <c r="F65" s="35"/>
      <c r="G65" s="35"/>
      <c r="H65" s="35"/>
      <c r="I65" s="35"/>
      <c r="J65" s="35"/>
      <c r="K65" s="35"/>
      <c r="L65" s="35"/>
      <c r="M65" s="31"/>
      <c r="N65" s="32"/>
      <c r="O65" s="32"/>
      <c r="P65" s="32"/>
      <c r="Q65" s="32"/>
      <c r="R65" s="32"/>
      <c r="S65" s="32"/>
      <c r="T65" s="32"/>
      <c r="U65" s="29"/>
      <c r="V65" s="29"/>
      <c r="W65" s="24"/>
      <c r="X65" s="18"/>
      <c r="Y65" s="18"/>
      <c r="Z65" s="18"/>
      <c r="AA65" s="18"/>
      <c r="AB65" s="18"/>
      <c r="AC65" s="18"/>
      <c r="AD65" s="18"/>
      <c r="AE65" s="19"/>
      <c r="AF65" s="20"/>
      <c r="AG65" s="21"/>
      <c r="AH65" s="21"/>
      <c r="AI65" s="19"/>
      <c r="AJ65" s="29"/>
      <c r="AK65" s="29"/>
      <c r="AL65" s="29"/>
    </row>
    <row r="66" spans="2:38" s="28" customFormat="1" x14ac:dyDescent="0.3">
      <c r="B66" s="24"/>
      <c r="C66" s="37"/>
      <c r="D66" s="37"/>
      <c r="E66" s="37"/>
      <c r="F66" s="35"/>
      <c r="G66" s="35"/>
      <c r="H66" s="35"/>
      <c r="I66" s="35"/>
      <c r="J66" s="35"/>
      <c r="K66" s="35"/>
      <c r="L66" s="35"/>
      <c r="M66" s="31"/>
      <c r="N66" s="32"/>
      <c r="O66" s="32"/>
      <c r="P66" s="32"/>
      <c r="Q66" s="32"/>
      <c r="R66" s="32"/>
      <c r="S66" s="32"/>
      <c r="T66" s="32"/>
      <c r="U66" s="29"/>
      <c r="V66" s="29"/>
      <c r="W66" s="24"/>
      <c r="X66" s="18"/>
      <c r="Y66" s="18"/>
      <c r="Z66" s="18"/>
      <c r="AA66" s="18"/>
      <c r="AB66" s="18"/>
      <c r="AC66" s="18"/>
      <c r="AD66" s="18"/>
      <c r="AE66" s="19"/>
      <c r="AF66" s="20"/>
      <c r="AG66" s="21"/>
      <c r="AH66" s="21"/>
      <c r="AI66" s="19"/>
      <c r="AJ66" s="29"/>
      <c r="AK66" s="29"/>
      <c r="AL66" s="29"/>
    </row>
    <row r="67" spans="2:38" s="28" customFormat="1" x14ac:dyDescent="0.3">
      <c r="B67" s="24"/>
      <c r="C67" s="37"/>
      <c r="D67" s="37"/>
      <c r="E67" s="37"/>
      <c r="F67" s="35"/>
      <c r="G67" s="35"/>
      <c r="H67" s="35"/>
      <c r="I67" s="35"/>
      <c r="J67" s="35"/>
      <c r="K67" s="35"/>
      <c r="L67" s="35"/>
      <c r="M67" s="31"/>
      <c r="N67" s="32"/>
      <c r="O67" s="32"/>
      <c r="P67" s="32"/>
      <c r="Q67" s="32"/>
      <c r="R67" s="32"/>
      <c r="S67" s="32"/>
      <c r="T67" s="32"/>
      <c r="U67" s="29"/>
      <c r="V67" s="29"/>
      <c r="W67" s="24"/>
      <c r="X67" s="18"/>
      <c r="Y67" s="18"/>
      <c r="Z67" s="18"/>
      <c r="AA67" s="18"/>
      <c r="AB67" s="18"/>
      <c r="AC67" s="18"/>
      <c r="AD67" s="18"/>
      <c r="AE67" s="19"/>
      <c r="AF67" s="20"/>
      <c r="AG67" s="21"/>
      <c r="AH67" s="21"/>
      <c r="AI67" s="19"/>
      <c r="AJ67" s="29"/>
      <c r="AK67" s="29"/>
      <c r="AL67" s="29"/>
    </row>
    <row r="68" spans="2:38" s="28" customFormat="1" x14ac:dyDescent="0.3">
      <c r="B68" s="24"/>
      <c r="C68" s="37"/>
      <c r="D68" s="37"/>
      <c r="E68" s="37"/>
      <c r="F68" s="35"/>
      <c r="G68" s="35"/>
      <c r="H68" s="35"/>
      <c r="I68" s="35"/>
      <c r="J68" s="35"/>
      <c r="K68" s="35"/>
      <c r="L68" s="35"/>
      <c r="M68" s="31"/>
      <c r="N68" s="32"/>
      <c r="O68" s="32"/>
      <c r="P68" s="32"/>
      <c r="Q68" s="32"/>
      <c r="R68" s="32"/>
      <c r="S68" s="32"/>
      <c r="T68" s="32"/>
      <c r="U68" s="29"/>
      <c r="V68" s="29"/>
      <c r="W68" s="24"/>
      <c r="X68" s="18"/>
      <c r="Y68" s="18"/>
      <c r="Z68" s="18"/>
      <c r="AA68" s="18"/>
      <c r="AB68" s="18"/>
      <c r="AC68" s="18"/>
      <c r="AD68" s="18"/>
      <c r="AE68" s="19"/>
      <c r="AF68" s="20"/>
      <c r="AG68" s="21"/>
      <c r="AH68" s="21"/>
      <c r="AI68" s="19"/>
      <c r="AJ68" s="29"/>
      <c r="AK68" s="29"/>
      <c r="AL68" s="29"/>
    </row>
    <row r="69" spans="2:38" s="28" customFormat="1" x14ac:dyDescent="0.3">
      <c r="B69" s="24"/>
      <c r="C69" s="37"/>
      <c r="D69" s="37"/>
      <c r="E69" s="37"/>
      <c r="F69" s="35"/>
      <c r="G69" s="35"/>
      <c r="H69" s="35"/>
      <c r="I69" s="35"/>
      <c r="J69" s="35"/>
      <c r="K69" s="35"/>
      <c r="L69" s="35"/>
      <c r="M69" s="31"/>
      <c r="N69" s="32"/>
      <c r="O69" s="32"/>
      <c r="P69" s="32"/>
      <c r="Q69" s="32"/>
      <c r="R69" s="32"/>
      <c r="S69" s="32"/>
      <c r="T69" s="32"/>
      <c r="U69" s="29"/>
      <c r="V69" s="29"/>
      <c r="W69" s="24"/>
      <c r="X69" s="18"/>
      <c r="Y69" s="18"/>
      <c r="Z69" s="18"/>
      <c r="AA69" s="18"/>
      <c r="AB69" s="18"/>
      <c r="AC69" s="18"/>
      <c r="AD69" s="18"/>
      <c r="AE69" s="19"/>
      <c r="AF69" s="20"/>
      <c r="AG69" s="21"/>
      <c r="AH69" s="21"/>
      <c r="AI69" s="19"/>
      <c r="AJ69" s="29"/>
      <c r="AK69" s="29"/>
      <c r="AL69" s="29"/>
    </row>
    <row r="70" spans="2:38" s="28" customFormat="1" x14ac:dyDescent="0.3">
      <c r="B70" s="24"/>
      <c r="C70" s="37"/>
      <c r="D70" s="37"/>
      <c r="E70" s="37"/>
      <c r="F70" s="35"/>
      <c r="G70" s="35"/>
      <c r="H70" s="35"/>
      <c r="I70" s="35"/>
      <c r="J70" s="35"/>
      <c r="K70" s="35"/>
      <c r="L70" s="35"/>
      <c r="M70" s="31"/>
      <c r="N70" s="32"/>
      <c r="O70" s="32"/>
      <c r="P70" s="32"/>
      <c r="Q70" s="32"/>
      <c r="R70" s="32"/>
      <c r="S70" s="32"/>
      <c r="T70" s="32"/>
      <c r="U70" s="29"/>
      <c r="V70" s="29"/>
      <c r="W70" s="24"/>
      <c r="X70" s="18"/>
      <c r="Y70" s="18"/>
      <c r="Z70" s="18"/>
      <c r="AA70" s="18"/>
      <c r="AB70" s="18"/>
      <c r="AC70" s="18"/>
      <c r="AD70" s="18"/>
      <c r="AE70" s="19"/>
      <c r="AF70" s="20"/>
      <c r="AG70" s="21"/>
      <c r="AH70" s="21"/>
      <c r="AI70" s="19"/>
      <c r="AJ70" s="29"/>
      <c r="AK70" s="29"/>
      <c r="AL70" s="29"/>
    </row>
    <row r="71" spans="2:38" s="28" customFormat="1" x14ac:dyDescent="0.3">
      <c r="B71" s="24"/>
      <c r="C71" s="37"/>
      <c r="D71" s="37"/>
      <c r="E71" s="37"/>
      <c r="F71" s="35"/>
      <c r="G71" s="35"/>
      <c r="H71" s="35"/>
      <c r="I71" s="35"/>
      <c r="J71" s="35"/>
      <c r="K71" s="35"/>
      <c r="L71" s="35"/>
      <c r="M71" s="31"/>
      <c r="N71" s="32"/>
      <c r="O71" s="32"/>
      <c r="P71" s="32"/>
      <c r="Q71" s="32"/>
      <c r="R71" s="32"/>
      <c r="S71" s="32"/>
      <c r="T71" s="32"/>
      <c r="U71" s="29"/>
      <c r="V71" s="29"/>
      <c r="W71" s="24"/>
      <c r="X71" s="18"/>
      <c r="Y71" s="18"/>
      <c r="Z71" s="18"/>
      <c r="AA71" s="18"/>
      <c r="AB71" s="18"/>
      <c r="AC71" s="18"/>
      <c r="AD71" s="18"/>
      <c r="AE71" s="19"/>
      <c r="AF71" s="20"/>
      <c r="AG71" s="21"/>
      <c r="AH71" s="21"/>
      <c r="AI71" s="19"/>
      <c r="AJ71" s="29"/>
      <c r="AK71" s="29"/>
      <c r="AL71" s="29"/>
    </row>
    <row r="72" spans="2:38" s="28" customFormat="1" x14ac:dyDescent="0.3">
      <c r="B72" s="24"/>
      <c r="C72" s="37"/>
      <c r="D72" s="37"/>
      <c r="E72" s="37"/>
      <c r="F72" s="35"/>
      <c r="G72" s="35"/>
      <c r="H72" s="35"/>
      <c r="I72" s="35"/>
      <c r="J72" s="35"/>
      <c r="K72" s="35"/>
      <c r="L72" s="35"/>
      <c r="M72" s="31"/>
      <c r="N72" s="32"/>
      <c r="O72" s="32"/>
      <c r="P72" s="32"/>
      <c r="Q72" s="32"/>
      <c r="R72" s="32"/>
      <c r="S72" s="32"/>
      <c r="T72" s="32"/>
      <c r="U72" s="29"/>
      <c r="V72" s="29"/>
      <c r="W72" s="24"/>
      <c r="X72" s="18"/>
      <c r="Y72" s="18"/>
      <c r="Z72" s="18"/>
      <c r="AA72" s="18"/>
      <c r="AB72" s="18"/>
      <c r="AC72" s="18"/>
      <c r="AD72" s="18"/>
      <c r="AE72" s="19"/>
      <c r="AF72" s="20"/>
      <c r="AG72" s="21"/>
      <c r="AH72" s="21"/>
      <c r="AI72" s="19"/>
      <c r="AJ72" s="29"/>
      <c r="AK72" s="29"/>
      <c r="AL72" s="29"/>
    </row>
    <row r="73" spans="2:38" s="28" customFormat="1" x14ac:dyDescent="0.3">
      <c r="B73" s="24"/>
      <c r="C73" s="37"/>
      <c r="D73" s="37"/>
      <c r="E73" s="37"/>
      <c r="F73" s="35"/>
      <c r="G73" s="35"/>
      <c r="H73" s="35"/>
      <c r="I73" s="35"/>
      <c r="J73" s="35"/>
      <c r="K73" s="35"/>
      <c r="L73" s="35"/>
      <c r="M73" s="31"/>
      <c r="N73" s="32"/>
      <c r="O73" s="32"/>
      <c r="P73" s="32"/>
      <c r="Q73" s="32"/>
      <c r="R73" s="32"/>
      <c r="S73" s="32"/>
      <c r="T73" s="32"/>
      <c r="U73" s="29"/>
      <c r="V73" s="29"/>
      <c r="W73" s="24"/>
      <c r="X73" s="18"/>
      <c r="Y73" s="18"/>
      <c r="Z73" s="18"/>
      <c r="AA73" s="18"/>
      <c r="AB73" s="18"/>
      <c r="AC73" s="18"/>
      <c r="AD73" s="18"/>
      <c r="AE73" s="19"/>
      <c r="AF73" s="20"/>
      <c r="AG73" s="21"/>
      <c r="AH73" s="21"/>
      <c r="AI73" s="19"/>
      <c r="AJ73" s="29"/>
      <c r="AK73" s="29"/>
      <c r="AL73" s="29"/>
    </row>
    <row r="74" spans="2:38" s="28" customFormat="1" x14ac:dyDescent="0.3">
      <c r="B74" s="24"/>
      <c r="C74" s="37"/>
      <c r="D74" s="37"/>
      <c r="E74" s="37"/>
      <c r="F74" s="35"/>
      <c r="G74" s="35"/>
      <c r="H74" s="35"/>
      <c r="I74" s="35"/>
      <c r="J74" s="35"/>
      <c r="K74" s="35"/>
      <c r="L74" s="35"/>
      <c r="M74" s="31"/>
      <c r="N74" s="32"/>
      <c r="O74" s="32"/>
      <c r="P74" s="32"/>
      <c r="Q74" s="32"/>
      <c r="R74" s="32"/>
      <c r="S74" s="32"/>
      <c r="T74" s="32"/>
      <c r="U74" s="29"/>
      <c r="V74" s="29"/>
      <c r="W74" s="24"/>
      <c r="X74" s="18"/>
      <c r="Y74" s="18"/>
      <c r="Z74" s="18"/>
      <c r="AA74" s="18"/>
      <c r="AB74" s="18"/>
      <c r="AC74" s="18"/>
      <c r="AD74" s="18"/>
      <c r="AE74" s="19"/>
      <c r="AF74" s="20"/>
      <c r="AG74" s="21"/>
      <c r="AH74" s="21"/>
      <c r="AI74" s="19"/>
      <c r="AJ74" s="29"/>
      <c r="AK74" s="29"/>
      <c r="AL74" s="29"/>
    </row>
    <row r="75" spans="2:38" s="28" customFormat="1" x14ac:dyDescent="0.3">
      <c r="B75" s="24"/>
      <c r="C75" s="37"/>
      <c r="D75" s="37"/>
      <c r="E75" s="37"/>
      <c r="F75" s="35"/>
      <c r="G75" s="35"/>
      <c r="H75" s="35"/>
      <c r="I75" s="35"/>
      <c r="J75" s="35"/>
      <c r="K75" s="35"/>
      <c r="L75" s="35"/>
      <c r="M75" s="31"/>
      <c r="N75" s="32"/>
      <c r="O75" s="32"/>
      <c r="P75" s="32"/>
      <c r="Q75" s="32"/>
      <c r="R75" s="32"/>
      <c r="S75" s="32"/>
      <c r="T75" s="32"/>
      <c r="U75" s="29"/>
      <c r="V75" s="29"/>
      <c r="W75" s="24"/>
      <c r="X75" s="18"/>
      <c r="Y75" s="18"/>
      <c r="Z75" s="18"/>
      <c r="AA75" s="18"/>
      <c r="AB75" s="18"/>
      <c r="AC75" s="18"/>
      <c r="AD75" s="18"/>
      <c r="AE75" s="19"/>
      <c r="AF75" s="20"/>
      <c r="AG75" s="21"/>
      <c r="AH75" s="21"/>
      <c r="AI75" s="19"/>
      <c r="AJ75" s="29"/>
      <c r="AK75" s="29"/>
      <c r="AL75" s="29"/>
    </row>
    <row r="76" spans="2:38" s="28" customFormat="1" x14ac:dyDescent="0.3">
      <c r="B76" s="24"/>
      <c r="C76" s="37"/>
      <c r="D76" s="37"/>
      <c r="E76" s="37"/>
      <c r="F76" s="35"/>
      <c r="G76" s="35"/>
      <c r="H76" s="35"/>
      <c r="I76" s="35"/>
      <c r="J76" s="35"/>
      <c r="K76" s="35"/>
      <c r="L76" s="35"/>
      <c r="M76" s="31"/>
      <c r="N76" s="32"/>
      <c r="O76" s="32"/>
      <c r="P76" s="32"/>
      <c r="Q76" s="32"/>
      <c r="R76" s="32"/>
      <c r="S76" s="32"/>
      <c r="T76" s="32"/>
      <c r="U76" s="29"/>
      <c r="V76" s="29"/>
      <c r="W76" s="24"/>
      <c r="X76" s="18"/>
      <c r="Y76" s="18"/>
      <c r="Z76" s="18"/>
      <c r="AA76" s="18"/>
      <c r="AB76" s="18"/>
      <c r="AC76" s="18"/>
      <c r="AD76" s="18"/>
      <c r="AE76" s="19"/>
      <c r="AF76" s="20"/>
      <c r="AG76" s="21"/>
      <c r="AH76" s="21"/>
      <c r="AI76" s="19"/>
      <c r="AJ76" s="29"/>
      <c r="AK76" s="29"/>
      <c r="AL76" s="29"/>
    </row>
    <row r="77" spans="2:38" s="28" customFormat="1" x14ac:dyDescent="0.3">
      <c r="B77" s="24"/>
      <c r="C77" s="37"/>
      <c r="D77" s="37"/>
      <c r="E77" s="37"/>
      <c r="F77" s="35"/>
      <c r="G77" s="35"/>
      <c r="H77" s="35"/>
      <c r="I77" s="35"/>
      <c r="J77" s="35"/>
      <c r="K77" s="35"/>
      <c r="L77" s="35"/>
      <c r="M77" s="31"/>
      <c r="N77" s="32"/>
      <c r="O77" s="32"/>
      <c r="P77" s="32"/>
      <c r="Q77" s="32"/>
      <c r="R77" s="32"/>
      <c r="S77" s="32"/>
      <c r="T77" s="32"/>
      <c r="U77" s="29"/>
      <c r="V77" s="29"/>
      <c r="W77" s="24"/>
      <c r="X77" s="18"/>
      <c r="Y77" s="18"/>
      <c r="Z77" s="18"/>
      <c r="AA77" s="18"/>
      <c r="AB77" s="18"/>
      <c r="AC77" s="18"/>
      <c r="AD77" s="18"/>
      <c r="AE77" s="19"/>
      <c r="AF77" s="20"/>
      <c r="AG77" s="21"/>
      <c r="AH77" s="21"/>
      <c r="AI77" s="19"/>
      <c r="AJ77" s="29"/>
      <c r="AK77" s="29"/>
      <c r="AL77" s="29"/>
    </row>
    <row r="78" spans="2:38" s="28" customFormat="1" x14ac:dyDescent="0.3">
      <c r="B78" s="24"/>
      <c r="C78" s="37"/>
      <c r="D78" s="37"/>
      <c r="E78" s="37"/>
      <c r="F78" s="35"/>
      <c r="G78" s="35"/>
      <c r="H78" s="35"/>
      <c r="I78" s="35"/>
      <c r="J78" s="35"/>
      <c r="K78" s="35"/>
      <c r="L78" s="35"/>
      <c r="M78" s="31"/>
      <c r="N78" s="32"/>
      <c r="O78" s="32"/>
      <c r="P78" s="32"/>
      <c r="Q78" s="32"/>
      <c r="R78" s="32"/>
      <c r="S78" s="32"/>
      <c r="T78" s="32"/>
      <c r="U78" s="29"/>
      <c r="V78" s="29"/>
      <c r="W78" s="24"/>
      <c r="X78" s="18"/>
      <c r="Y78" s="18"/>
      <c r="Z78" s="18"/>
      <c r="AA78" s="18"/>
      <c r="AB78" s="18"/>
      <c r="AC78" s="18"/>
      <c r="AD78" s="18"/>
      <c r="AE78" s="19"/>
      <c r="AF78" s="20"/>
      <c r="AG78" s="21"/>
      <c r="AH78" s="21"/>
      <c r="AI78" s="19"/>
      <c r="AJ78" s="29"/>
      <c r="AK78" s="29"/>
      <c r="AL78" s="29"/>
    </row>
    <row r="79" spans="2:38" s="28" customFormat="1" x14ac:dyDescent="0.3">
      <c r="B79" s="24"/>
      <c r="C79" s="37"/>
      <c r="D79" s="37"/>
      <c r="E79" s="37"/>
      <c r="F79" s="35"/>
      <c r="G79" s="35"/>
      <c r="H79" s="35"/>
      <c r="I79" s="35"/>
      <c r="J79" s="35"/>
      <c r="K79" s="35"/>
      <c r="L79" s="35"/>
      <c r="M79" s="31"/>
      <c r="N79" s="32"/>
      <c r="O79" s="32"/>
      <c r="P79" s="32"/>
      <c r="Q79" s="32"/>
      <c r="R79" s="32"/>
      <c r="S79" s="32"/>
      <c r="T79" s="32"/>
      <c r="U79" s="29"/>
      <c r="V79" s="29"/>
      <c r="W79" s="24"/>
      <c r="X79" s="18"/>
      <c r="Y79" s="18"/>
      <c r="Z79" s="18"/>
      <c r="AA79" s="18"/>
      <c r="AB79" s="18"/>
      <c r="AC79" s="18"/>
      <c r="AD79" s="18"/>
      <c r="AE79" s="19"/>
      <c r="AF79" s="20"/>
      <c r="AG79" s="21"/>
      <c r="AH79" s="21"/>
      <c r="AI79" s="19"/>
      <c r="AJ79" s="29"/>
      <c r="AK79" s="29"/>
      <c r="AL79" s="29"/>
    </row>
    <row r="80" spans="2:38" s="28" customFormat="1" x14ac:dyDescent="0.3">
      <c r="B80" s="24"/>
      <c r="C80" s="37"/>
      <c r="D80" s="37"/>
      <c r="E80" s="37"/>
      <c r="F80" s="35"/>
      <c r="G80" s="35"/>
      <c r="H80" s="35"/>
      <c r="I80" s="35"/>
      <c r="J80" s="35"/>
      <c r="K80" s="35"/>
      <c r="L80" s="35"/>
      <c r="M80" s="31"/>
      <c r="N80" s="32"/>
      <c r="O80" s="32"/>
      <c r="P80" s="32"/>
      <c r="Q80" s="32"/>
      <c r="R80" s="32"/>
      <c r="S80" s="32"/>
      <c r="T80" s="32"/>
      <c r="U80" s="29"/>
      <c r="V80" s="29"/>
      <c r="W80" s="24"/>
      <c r="X80" s="18"/>
      <c r="Y80" s="18"/>
      <c r="Z80" s="18"/>
      <c r="AA80" s="18"/>
      <c r="AB80" s="18"/>
      <c r="AC80" s="18"/>
      <c r="AD80" s="18"/>
      <c r="AE80" s="19"/>
      <c r="AF80" s="20"/>
      <c r="AG80" s="21"/>
      <c r="AH80" s="21"/>
      <c r="AI80" s="19"/>
      <c r="AJ80" s="29"/>
      <c r="AK80" s="29"/>
      <c r="AL80" s="29"/>
    </row>
    <row r="81" spans="2:38" s="28" customFormat="1" x14ac:dyDescent="0.3">
      <c r="B81" s="24"/>
      <c r="C81" s="37"/>
      <c r="D81" s="37"/>
      <c r="E81" s="37"/>
      <c r="F81" s="35"/>
      <c r="G81" s="35"/>
      <c r="H81" s="35"/>
      <c r="I81" s="35"/>
      <c r="J81" s="35"/>
      <c r="K81" s="35"/>
      <c r="L81" s="35"/>
      <c r="M81" s="31"/>
      <c r="N81" s="32"/>
      <c r="O81" s="32"/>
      <c r="P81" s="32"/>
      <c r="Q81" s="32"/>
      <c r="R81" s="32"/>
      <c r="S81" s="32"/>
      <c r="T81" s="32"/>
      <c r="U81" s="29"/>
      <c r="V81" s="29"/>
      <c r="W81" s="24"/>
      <c r="X81" s="18"/>
      <c r="Y81" s="18"/>
      <c r="Z81" s="18"/>
      <c r="AA81" s="18"/>
      <c r="AB81" s="18"/>
      <c r="AC81" s="18"/>
      <c r="AD81" s="18"/>
      <c r="AE81" s="19"/>
      <c r="AF81" s="20"/>
      <c r="AG81" s="21"/>
      <c r="AH81" s="21"/>
      <c r="AI81" s="19"/>
      <c r="AJ81" s="29"/>
      <c r="AK81" s="29"/>
      <c r="AL81" s="29"/>
    </row>
    <row r="82" spans="2:38" s="28" customFormat="1" x14ac:dyDescent="0.3">
      <c r="B82" s="24"/>
      <c r="C82" s="37"/>
      <c r="D82" s="37"/>
      <c r="E82" s="37"/>
      <c r="F82" s="35"/>
      <c r="G82" s="35"/>
      <c r="H82" s="35"/>
      <c r="I82" s="35"/>
      <c r="J82" s="35"/>
      <c r="K82" s="35"/>
      <c r="L82" s="35"/>
      <c r="M82" s="31"/>
      <c r="N82" s="32"/>
      <c r="O82" s="32"/>
      <c r="P82" s="32"/>
      <c r="Q82" s="32"/>
      <c r="R82" s="32"/>
      <c r="S82" s="32"/>
      <c r="T82" s="32"/>
      <c r="U82" s="29"/>
      <c r="V82" s="29"/>
      <c r="W82" s="24"/>
      <c r="X82" s="18"/>
      <c r="Y82" s="18"/>
      <c r="Z82" s="18"/>
      <c r="AA82" s="18"/>
      <c r="AB82" s="18"/>
      <c r="AC82" s="18"/>
      <c r="AD82" s="18"/>
      <c r="AE82" s="19"/>
      <c r="AF82" s="20"/>
      <c r="AG82" s="21"/>
      <c r="AH82" s="21"/>
      <c r="AI82" s="19"/>
      <c r="AJ82" s="29"/>
      <c r="AK82" s="29"/>
      <c r="AL82" s="29"/>
    </row>
    <row r="83" spans="2:38" s="28" customFormat="1" x14ac:dyDescent="0.3">
      <c r="B83" s="24"/>
      <c r="C83" s="37"/>
      <c r="D83" s="37"/>
      <c r="E83" s="37"/>
      <c r="F83" s="35"/>
      <c r="G83" s="35"/>
      <c r="H83" s="35"/>
      <c r="I83" s="35"/>
      <c r="J83" s="35"/>
      <c r="K83" s="35"/>
      <c r="L83" s="35"/>
      <c r="M83" s="31"/>
      <c r="N83" s="32"/>
      <c r="O83" s="32"/>
      <c r="P83" s="32"/>
      <c r="Q83" s="32"/>
      <c r="R83" s="32"/>
      <c r="S83" s="32"/>
      <c r="T83" s="32"/>
      <c r="U83" s="29"/>
      <c r="V83" s="29"/>
      <c r="W83" s="24"/>
      <c r="X83" s="18"/>
      <c r="Y83" s="18"/>
      <c r="Z83" s="18"/>
      <c r="AA83" s="18"/>
      <c r="AB83" s="18"/>
      <c r="AC83" s="18"/>
      <c r="AD83" s="18"/>
      <c r="AE83" s="19"/>
      <c r="AF83" s="20"/>
      <c r="AG83" s="21"/>
      <c r="AH83" s="21"/>
      <c r="AI83" s="19"/>
      <c r="AJ83" s="29"/>
      <c r="AK83" s="29"/>
      <c r="AL83" s="29"/>
    </row>
    <row r="84" spans="2:38" s="28" customFormat="1" x14ac:dyDescent="0.3">
      <c r="B84" s="24"/>
      <c r="C84" s="37"/>
      <c r="D84" s="37"/>
      <c r="E84" s="37"/>
      <c r="F84" s="35"/>
      <c r="G84" s="35"/>
      <c r="H84" s="35"/>
      <c r="I84" s="35"/>
      <c r="J84" s="35"/>
      <c r="K84" s="35"/>
      <c r="L84" s="35"/>
      <c r="M84" s="31"/>
      <c r="N84" s="32"/>
      <c r="O84" s="32"/>
      <c r="P84" s="32"/>
      <c r="Q84" s="32"/>
      <c r="R84" s="32"/>
      <c r="S84" s="32"/>
      <c r="T84" s="32"/>
      <c r="U84" s="29"/>
      <c r="V84" s="29"/>
      <c r="W84" s="24"/>
      <c r="X84" s="18"/>
      <c r="Y84" s="18"/>
      <c r="Z84" s="18"/>
      <c r="AA84" s="18"/>
      <c r="AB84" s="18"/>
      <c r="AC84" s="18"/>
      <c r="AD84" s="18"/>
      <c r="AE84" s="19"/>
      <c r="AF84" s="20"/>
      <c r="AG84" s="21"/>
      <c r="AH84" s="21"/>
      <c r="AI84" s="19"/>
      <c r="AJ84" s="29"/>
      <c r="AK84" s="29"/>
      <c r="AL84" s="29"/>
    </row>
    <row r="85" spans="2:38" s="28" customFormat="1" x14ac:dyDescent="0.3">
      <c r="B85" s="24"/>
      <c r="C85" s="37"/>
      <c r="D85" s="37"/>
      <c r="E85" s="37"/>
      <c r="F85" s="35"/>
      <c r="G85" s="35"/>
      <c r="H85" s="35"/>
      <c r="I85" s="35"/>
      <c r="J85" s="35"/>
      <c r="K85" s="35"/>
      <c r="L85" s="35"/>
      <c r="M85" s="31"/>
      <c r="N85" s="32"/>
      <c r="O85" s="32"/>
      <c r="P85" s="32"/>
      <c r="Q85" s="32"/>
      <c r="R85" s="32"/>
      <c r="S85" s="32"/>
      <c r="T85" s="32"/>
      <c r="U85" s="29"/>
      <c r="V85" s="29"/>
      <c r="W85" s="24"/>
      <c r="X85" s="18"/>
      <c r="Y85" s="18"/>
      <c r="Z85" s="18"/>
      <c r="AA85" s="18"/>
      <c r="AB85" s="18"/>
      <c r="AC85" s="18"/>
      <c r="AD85" s="18"/>
      <c r="AE85" s="19"/>
      <c r="AF85" s="20"/>
      <c r="AG85" s="21"/>
      <c r="AH85" s="21"/>
      <c r="AI85" s="19"/>
      <c r="AJ85" s="29"/>
      <c r="AK85" s="29"/>
      <c r="AL85" s="29"/>
    </row>
    <row r="86" spans="2:38" s="28" customFormat="1" x14ac:dyDescent="0.3">
      <c r="B86" s="24"/>
      <c r="C86" s="37"/>
      <c r="D86" s="37"/>
      <c r="E86" s="37"/>
      <c r="F86" s="35"/>
      <c r="G86" s="35"/>
      <c r="H86" s="35"/>
      <c r="I86" s="35"/>
      <c r="J86" s="35"/>
      <c r="K86" s="35"/>
      <c r="L86" s="35"/>
      <c r="M86" s="31"/>
      <c r="N86" s="32"/>
      <c r="O86" s="32"/>
      <c r="P86" s="32"/>
      <c r="Q86" s="32"/>
      <c r="R86" s="32"/>
      <c r="S86" s="32"/>
      <c r="T86" s="32"/>
      <c r="U86" s="29"/>
      <c r="V86" s="29"/>
      <c r="W86" s="24"/>
      <c r="X86" s="18"/>
      <c r="Y86" s="18"/>
      <c r="Z86" s="18"/>
      <c r="AA86" s="18"/>
      <c r="AB86" s="18"/>
      <c r="AC86" s="18"/>
      <c r="AD86" s="18"/>
      <c r="AE86" s="19"/>
      <c r="AF86" s="20"/>
      <c r="AG86" s="21"/>
      <c r="AH86" s="21"/>
      <c r="AI86" s="19"/>
      <c r="AJ86" s="29"/>
      <c r="AK86" s="29"/>
      <c r="AL86" s="29"/>
    </row>
    <row r="87" spans="2:38" s="28" customFormat="1" x14ac:dyDescent="0.3">
      <c r="B87" s="24"/>
      <c r="C87" s="37"/>
      <c r="D87" s="37"/>
      <c r="E87" s="37"/>
      <c r="F87" s="35"/>
      <c r="G87" s="35"/>
      <c r="H87" s="35"/>
      <c r="I87" s="35"/>
      <c r="J87" s="35"/>
      <c r="K87" s="35"/>
      <c r="L87" s="35"/>
      <c r="M87" s="31"/>
      <c r="N87" s="32"/>
      <c r="O87" s="32"/>
      <c r="P87" s="32"/>
      <c r="Q87" s="32"/>
      <c r="R87" s="32"/>
      <c r="S87" s="32"/>
      <c r="T87" s="32"/>
      <c r="U87" s="29"/>
      <c r="V87" s="29"/>
      <c r="W87" s="24"/>
      <c r="X87" s="18"/>
      <c r="Y87" s="18"/>
      <c r="Z87" s="18"/>
      <c r="AA87" s="18"/>
      <c r="AB87" s="18"/>
      <c r="AC87" s="18"/>
      <c r="AD87" s="18"/>
      <c r="AE87" s="19"/>
      <c r="AF87" s="20"/>
      <c r="AG87" s="21"/>
      <c r="AH87" s="21"/>
      <c r="AI87" s="19"/>
      <c r="AJ87" s="29"/>
      <c r="AK87" s="29"/>
      <c r="AL87" s="29"/>
    </row>
    <row r="88" spans="2:38" s="28" customFormat="1" x14ac:dyDescent="0.3">
      <c r="B88" s="24"/>
      <c r="C88" s="37"/>
      <c r="D88" s="37"/>
      <c r="E88" s="37"/>
      <c r="F88" s="35"/>
      <c r="G88" s="35"/>
      <c r="H88" s="35"/>
      <c r="I88" s="35"/>
      <c r="J88" s="35"/>
      <c r="K88" s="35"/>
      <c r="L88" s="35"/>
      <c r="M88" s="31"/>
      <c r="N88" s="32"/>
      <c r="O88" s="32"/>
      <c r="P88" s="32"/>
      <c r="Q88" s="32"/>
      <c r="R88" s="32"/>
      <c r="S88" s="32"/>
      <c r="T88" s="32"/>
      <c r="U88" s="29"/>
      <c r="V88" s="29"/>
      <c r="W88" s="24"/>
      <c r="X88" s="18"/>
      <c r="Y88" s="18"/>
      <c r="Z88" s="18"/>
      <c r="AA88" s="18"/>
      <c r="AB88" s="18"/>
      <c r="AC88" s="18"/>
      <c r="AD88" s="18"/>
      <c r="AE88" s="19"/>
      <c r="AF88" s="20"/>
      <c r="AG88" s="21"/>
      <c r="AH88" s="21"/>
      <c r="AI88" s="19"/>
      <c r="AJ88" s="29"/>
      <c r="AK88" s="29"/>
      <c r="AL88" s="29"/>
    </row>
    <row r="89" spans="2:38" s="28" customFormat="1" x14ac:dyDescent="0.3">
      <c r="B89" s="24"/>
      <c r="C89" s="37"/>
      <c r="D89" s="37"/>
      <c r="E89" s="37"/>
      <c r="F89" s="35"/>
      <c r="G89" s="35"/>
      <c r="H89" s="35"/>
      <c r="I89" s="35"/>
      <c r="J89" s="35"/>
      <c r="K89" s="35"/>
      <c r="L89" s="35"/>
      <c r="M89" s="31"/>
      <c r="N89" s="32"/>
      <c r="O89" s="32"/>
      <c r="P89" s="32"/>
      <c r="Q89" s="32"/>
      <c r="R89" s="32"/>
      <c r="S89" s="32"/>
      <c r="T89" s="32"/>
      <c r="U89" s="29"/>
      <c r="V89" s="29"/>
      <c r="W89" s="24"/>
      <c r="X89" s="18"/>
      <c r="Y89" s="18"/>
      <c r="Z89" s="18"/>
      <c r="AA89" s="18"/>
      <c r="AB89" s="18"/>
      <c r="AC89" s="18"/>
      <c r="AD89" s="18"/>
      <c r="AE89" s="19"/>
      <c r="AF89" s="20"/>
      <c r="AG89" s="21"/>
      <c r="AH89" s="21"/>
      <c r="AI89" s="19"/>
      <c r="AJ89" s="29"/>
      <c r="AK89" s="29"/>
      <c r="AL89" s="29"/>
    </row>
    <row r="90" spans="2:38" s="28" customFormat="1" x14ac:dyDescent="0.3">
      <c r="B90" s="24"/>
      <c r="C90" s="37"/>
      <c r="D90" s="37"/>
      <c r="E90" s="37"/>
      <c r="F90" s="35"/>
      <c r="G90" s="35"/>
      <c r="H90" s="35"/>
      <c r="I90" s="35"/>
      <c r="J90" s="35"/>
      <c r="K90" s="35"/>
      <c r="L90" s="35"/>
      <c r="M90" s="31"/>
      <c r="N90" s="32"/>
      <c r="O90" s="32"/>
      <c r="P90" s="32"/>
      <c r="Q90" s="32"/>
      <c r="R90" s="32"/>
      <c r="S90" s="32"/>
      <c r="T90" s="32"/>
      <c r="U90" s="29"/>
      <c r="V90" s="29"/>
      <c r="W90" s="24"/>
      <c r="X90" s="18"/>
      <c r="Y90" s="18"/>
      <c r="Z90" s="18"/>
      <c r="AA90" s="18"/>
      <c r="AB90" s="18"/>
      <c r="AC90" s="18"/>
      <c r="AD90" s="18"/>
      <c r="AE90" s="19"/>
      <c r="AF90" s="20"/>
      <c r="AG90" s="21"/>
      <c r="AH90" s="21"/>
      <c r="AI90" s="19"/>
      <c r="AJ90" s="29"/>
      <c r="AK90" s="29"/>
      <c r="AL90" s="29"/>
    </row>
    <row r="91" spans="2:38" s="28" customFormat="1" x14ac:dyDescent="0.3">
      <c r="B91" s="24"/>
      <c r="C91" s="37"/>
      <c r="D91" s="37"/>
      <c r="E91" s="37"/>
      <c r="F91" s="35"/>
      <c r="G91" s="35"/>
      <c r="H91" s="35"/>
      <c r="I91" s="35"/>
      <c r="J91" s="35"/>
      <c r="K91" s="35"/>
      <c r="L91" s="35"/>
      <c r="M91" s="31"/>
      <c r="N91" s="32"/>
      <c r="O91" s="32"/>
      <c r="P91" s="32"/>
      <c r="Q91" s="32"/>
      <c r="R91" s="32"/>
      <c r="S91" s="32"/>
      <c r="T91" s="32"/>
      <c r="U91" s="29"/>
      <c r="V91" s="29"/>
      <c r="W91" s="24"/>
      <c r="X91" s="18"/>
      <c r="Y91" s="18"/>
      <c r="Z91" s="18"/>
      <c r="AA91" s="18"/>
      <c r="AB91" s="18"/>
      <c r="AC91" s="18"/>
      <c r="AD91" s="18"/>
      <c r="AE91" s="19"/>
      <c r="AF91" s="20"/>
      <c r="AG91" s="21"/>
      <c r="AH91" s="21"/>
      <c r="AI91" s="19"/>
      <c r="AJ91" s="29"/>
      <c r="AK91" s="29"/>
      <c r="AL91" s="29"/>
    </row>
    <row r="92" spans="2:38" s="28" customFormat="1" x14ac:dyDescent="0.3">
      <c r="B92" s="24"/>
      <c r="C92" s="37"/>
      <c r="D92" s="37"/>
      <c r="E92" s="37"/>
      <c r="F92" s="35"/>
      <c r="G92" s="35"/>
      <c r="H92" s="35"/>
      <c r="I92" s="35"/>
      <c r="J92" s="35"/>
      <c r="K92" s="35"/>
      <c r="L92" s="35"/>
      <c r="M92" s="31"/>
      <c r="N92" s="32"/>
      <c r="O92" s="32"/>
      <c r="P92" s="32"/>
      <c r="Q92" s="32"/>
      <c r="R92" s="32"/>
      <c r="S92" s="32"/>
      <c r="T92" s="32"/>
      <c r="U92" s="29"/>
      <c r="V92" s="29"/>
      <c r="W92" s="24"/>
      <c r="X92" s="18"/>
      <c r="Y92" s="18"/>
      <c r="Z92" s="18"/>
      <c r="AA92" s="18"/>
      <c r="AB92" s="18"/>
      <c r="AC92" s="18"/>
      <c r="AD92" s="18"/>
      <c r="AE92" s="19"/>
      <c r="AF92" s="20"/>
      <c r="AG92" s="21"/>
      <c r="AH92" s="21"/>
      <c r="AI92" s="19"/>
      <c r="AJ92" s="29"/>
      <c r="AK92" s="29"/>
      <c r="AL92" s="29"/>
    </row>
    <row r="93" spans="2:38" s="28" customFormat="1" x14ac:dyDescent="0.3">
      <c r="B93" s="24"/>
      <c r="C93" s="37"/>
      <c r="D93" s="37"/>
      <c r="E93" s="37"/>
      <c r="F93" s="35"/>
      <c r="G93" s="35"/>
      <c r="H93" s="35"/>
      <c r="I93" s="35"/>
      <c r="J93" s="35"/>
      <c r="K93" s="35"/>
      <c r="L93" s="35"/>
      <c r="M93" s="31"/>
      <c r="N93" s="32"/>
      <c r="O93" s="32"/>
      <c r="P93" s="32"/>
      <c r="Q93" s="32"/>
      <c r="R93" s="32"/>
      <c r="S93" s="32"/>
      <c r="T93" s="32"/>
      <c r="U93" s="29"/>
      <c r="V93" s="29"/>
      <c r="W93" s="24"/>
      <c r="X93" s="18"/>
      <c r="Y93" s="18"/>
      <c r="Z93" s="18"/>
      <c r="AA93" s="18"/>
      <c r="AB93" s="18"/>
      <c r="AC93" s="18"/>
      <c r="AD93" s="18"/>
      <c r="AE93" s="19"/>
      <c r="AF93" s="20"/>
      <c r="AG93" s="21"/>
      <c r="AH93" s="21"/>
      <c r="AI93" s="19"/>
      <c r="AJ93" s="29"/>
      <c r="AK93" s="29"/>
      <c r="AL93" s="29"/>
    </row>
    <row r="94" spans="2:38" s="28" customFormat="1" x14ac:dyDescent="0.3">
      <c r="B94" s="24"/>
      <c r="C94" s="37"/>
      <c r="D94" s="37"/>
      <c r="E94" s="37"/>
      <c r="F94" s="35"/>
      <c r="G94" s="35"/>
      <c r="H94" s="35"/>
      <c r="I94" s="35"/>
      <c r="J94" s="35"/>
      <c r="K94" s="35"/>
      <c r="L94" s="35"/>
      <c r="M94" s="31"/>
      <c r="N94" s="32"/>
      <c r="O94" s="32"/>
      <c r="P94" s="32"/>
      <c r="Q94" s="32"/>
      <c r="R94" s="32"/>
      <c r="S94" s="32"/>
      <c r="T94" s="32"/>
      <c r="U94" s="29"/>
      <c r="V94" s="29"/>
      <c r="W94" s="24"/>
      <c r="X94" s="18"/>
      <c r="Y94" s="18"/>
      <c r="Z94" s="18"/>
      <c r="AA94" s="18"/>
      <c r="AB94" s="18"/>
      <c r="AC94" s="18"/>
      <c r="AD94" s="18"/>
      <c r="AE94" s="19"/>
      <c r="AF94" s="20"/>
      <c r="AG94" s="21"/>
      <c r="AH94" s="21"/>
      <c r="AI94" s="19"/>
      <c r="AJ94" s="29"/>
      <c r="AK94" s="29"/>
      <c r="AL94" s="29"/>
    </row>
    <row r="95" spans="2:38" s="28" customFormat="1" x14ac:dyDescent="0.3">
      <c r="B95" s="24"/>
      <c r="C95" s="37"/>
      <c r="D95" s="37"/>
      <c r="E95" s="37"/>
      <c r="F95" s="35"/>
      <c r="G95" s="35"/>
      <c r="H95" s="35"/>
      <c r="I95" s="35"/>
      <c r="J95" s="35"/>
      <c r="K95" s="35"/>
      <c r="L95" s="35"/>
      <c r="M95" s="31"/>
      <c r="N95" s="32"/>
      <c r="O95" s="32"/>
      <c r="P95" s="32"/>
      <c r="Q95" s="32"/>
      <c r="R95" s="32"/>
      <c r="S95" s="32"/>
      <c r="T95" s="32"/>
      <c r="U95" s="29"/>
      <c r="V95" s="29"/>
      <c r="W95" s="24"/>
      <c r="X95" s="18"/>
      <c r="Y95" s="18"/>
      <c r="Z95" s="18"/>
      <c r="AA95" s="18"/>
      <c r="AB95" s="18"/>
      <c r="AC95" s="18"/>
      <c r="AD95" s="18"/>
      <c r="AE95" s="19"/>
      <c r="AF95" s="20"/>
      <c r="AG95" s="21"/>
      <c r="AH95" s="21"/>
      <c r="AI95" s="19"/>
      <c r="AJ95" s="29"/>
      <c r="AK95" s="29"/>
      <c r="AL95" s="29"/>
    </row>
    <row r="96" spans="2:38" s="28" customFormat="1" x14ac:dyDescent="0.3">
      <c r="B96" s="24"/>
      <c r="C96" s="37"/>
      <c r="D96" s="37"/>
      <c r="E96" s="37"/>
      <c r="F96" s="35"/>
      <c r="G96" s="35"/>
      <c r="H96" s="35"/>
      <c r="I96" s="35"/>
      <c r="J96" s="35"/>
      <c r="K96" s="35"/>
      <c r="L96" s="35"/>
      <c r="M96" s="31"/>
      <c r="N96" s="32"/>
      <c r="O96" s="32"/>
      <c r="P96" s="32"/>
      <c r="Q96" s="32"/>
      <c r="R96" s="32"/>
      <c r="S96" s="32"/>
      <c r="T96" s="32"/>
      <c r="U96" s="29"/>
      <c r="V96" s="29"/>
      <c r="W96" s="24"/>
      <c r="X96" s="18"/>
      <c r="Y96" s="18"/>
      <c r="Z96" s="18"/>
      <c r="AA96" s="18"/>
      <c r="AB96" s="18"/>
      <c r="AC96" s="18"/>
      <c r="AD96" s="18"/>
      <c r="AE96" s="19"/>
      <c r="AF96" s="20"/>
      <c r="AG96" s="21"/>
      <c r="AH96" s="21"/>
      <c r="AI96" s="19"/>
      <c r="AJ96" s="29"/>
      <c r="AK96" s="29"/>
      <c r="AL96" s="29"/>
    </row>
    <row r="97" spans="2:38" s="28" customFormat="1" x14ac:dyDescent="0.3">
      <c r="B97" s="24"/>
      <c r="C97" s="37"/>
      <c r="D97" s="37"/>
      <c r="E97" s="37"/>
      <c r="F97" s="35"/>
      <c r="G97" s="35"/>
      <c r="H97" s="35"/>
      <c r="I97" s="35"/>
      <c r="J97" s="35"/>
      <c r="K97" s="35"/>
      <c r="L97" s="35"/>
      <c r="M97" s="31"/>
      <c r="N97" s="32"/>
      <c r="O97" s="32"/>
      <c r="P97" s="32"/>
      <c r="Q97" s="32"/>
      <c r="R97" s="32"/>
      <c r="S97" s="32"/>
      <c r="T97" s="32"/>
      <c r="U97" s="29"/>
      <c r="V97" s="29"/>
      <c r="W97" s="24"/>
      <c r="X97" s="18"/>
      <c r="Y97" s="18"/>
      <c r="Z97" s="18"/>
      <c r="AA97" s="18"/>
      <c r="AB97" s="18"/>
      <c r="AC97" s="18"/>
      <c r="AD97" s="18"/>
      <c r="AE97" s="19"/>
      <c r="AF97" s="20"/>
      <c r="AG97" s="21"/>
      <c r="AH97" s="21"/>
      <c r="AI97" s="19"/>
      <c r="AJ97" s="29"/>
      <c r="AK97" s="29"/>
      <c r="AL97" s="29"/>
    </row>
    <row r="98" spans="2:38" s="28" customFormat="1" x14ac:dyDescent="0.3">
      <c r="B98" s="24"/>
      <c r="C98" s="37"/>
      <c r="D98" s="37"/>
      <c r="E98" s="37"/>
      <c r="F98" s="35"/>
      <c r="G98" s="35"/>
      <c r="H98" s="35"/>
      <c r="I98" s="35"/>
      <c r="J98" s="35"/>
      <c r="K98" s="35"/>
      <c r="L98" s="35"/>
      <c r="M98" s="31"/>
      <c r="N98" s="32"/>
      <c r="O98" s="32"/>
      <c r="P98" s="32"/>
      <c r="Q98" s="32"/>
      <c r="R98" s="32"/>
      <c r="S98" s="32"/>
      <c r="T98" s="32"/>
      <c r="U98" s="29"/>
      <c r="V98" s="29"/>
      <c r="W98" s="24"/>
      <c r="X98" s="18"/>
      <c r="Y98" s="18"/>
      <c r="Z98" s="18"/>
      <c r="AA98" s="18"/>
      <c r="AB98" s="18"/>
      <c r="AC98" s="18"/>
      <c r="AD98" s="18"/>
      <c r="AE98" s="19"/>
      <c r="AF98" s="20"/>
      <c r="AG98" s="21"/>
      <c r="AH98" s="21"/>
      <c r="AI98" s="19"/>
      <c r="AJ98" s="29"/>
      <c r="AK98" s="29"/>
      <c r="AL98" s="29"/>
    </row>
    <row r="99" spans="2:38" s="28" customFormat="1" x14ac:dyDescent="0.3">
      <c r="B99" s="24"/>
      <c r="C99" s="37"/>
      <c r="D99" s="37"/>
      <c r="E99" s="37"/>
      <c r="F99" s="35"/>
      <c r="G99" s="35"/>
      <c r="H99" s="35"/>
      <c r="I99" s="35"/>
      <c r="J99" s="35"/>
      <c r="K99" s="35"/>
      <c r="L99" s="35"/>
      <c r="M99" s="31"/>
      <c r="N99" s="32"/>
      <c r="O99" s="32"/>
      <c r="P99" s="32"/>
      <c r="Q99" s="32"/>
      <c r="R99" s="32"/>
      <c r="S99" s="32"/>
      <c r="T99" s="32"/>
      <c r="U99" s="29"/>
      <c r="V99" s="29"/>
      <c r="W99" s="24"/>
      <c r="X99" s="18"/>
      <c r="Y99" s="18"/>
      <c r="Z99" s="18"/>
      <c r="AA99" s="18"/>
      <c r="AB99" s="18"/>
      <c r="AC99" s="18"/>
      <c r="AD99" s="18"/>
      <c r="AE99" s="19"/>
      <c r="AF99" s="20"/>
      <c r="AG99" s="21"/>
      <c r="AH99" s="21"/>
      <c r="AI99" s="19"/>
      <c r="AJ99" s="29"/>
      <c r="AK99" s="29"/>
      <c r="AL99" s="29"/>
    </row>
    <row r="100" spans="2:38" s="28" customFormat="1" x14ac:dyDescent="0.3">
      <c r="B100" s="24"/>
      <c r="C100" s="37"/>
      <c r="D100" s="37"/>
      <c r="E100" s="37"/>
      <c r="F100" s="35"/>
      <c r="G100" s="35"/>
      <c r="H100" s="35"/>
      <c r="I100" s="35"/>
      <c r="J100" s="35"/>
      <c r="K100" s="35"/>
      <c r="L100" s="35"/>
      <c r="M100" s="31"/>
      <c r="N100" s="32"/>
      <c r="O100" s="32"/>
      <c r="P100" s="32"/>
      <c r="Q100" s="32"/>
      <c r="R100" s="32"/>
      <c r="S100" s="32"/>
      <c r="T100" s="32"/>
      <c r="U100" s="29"/>
      <c r="V100" s="29"/>
      <c r="W100" s="24"/>
      <c r="X100" s="18"/>
      <c r="Y100" s="18"/>
      <c r="Z100" s="18"/>
      <c r="AA100" s="18"/>
      <c r="AB100" s="18"/>
      <c r="AC100" s="18"/>
      <c r="AD100" s="18"/>
      <c r="AE100" s="19"/>
      <c r="AF100" s="20"/>
      <c r="AG100" s="21"/>
      <c r="AH100" s="21"/>
      <c r="AI100" s="19"/>
      <c r="AJ100" s="29"/>
      <c r="AK100" s="29"/>
      <c r="AL100" s="29"/>
    </row>
    <row r="101" spans="2:38" s="28" customFormat="1" x14ac:dyDescent="0.3">
      <c r="B101" s="24"/>
      <c r="C101" s="37"/>
      <c r="D101" s="37"/>
      <c r="E101" s="37"/>
      <c r="F101" s="35"/>
      <c r="G101" s="35"/>
      <c r="H101" s="35"/>
      <c r="I101" s="35"/>
      <c r="J101" s="35"/>
      <c r="K101" s="35"/>
      <c r="L101" s="35"/>
      <c r="M101" s="31"/>
      <c r="N101" s="32"/>
      <c r="O101" s="32"/>
      <c r="P101" s="32"/>
      <c r="Q101" s="32"/>
      <c r="R101" s="32"/>
      <c r="S101" s="32"/>
      <c r="T101" s="32"/>
      <c r="U101" s="29"/>
      <c r="V101" s="29"/>
      <c r="W101" s="24"/>
      <c r="X101" s="18"/>
      <c r="Y101" s="18"/>
      <c r="Z101" s="18"/>
      <c r="AA101" s="18"/>
      <c r="AB101" s="18"/>
      <c r="AC101" s="18"/>
      <c r="AD101" s="18"/>
      <c r="AE101" s="19"/>
      <c r="AF101" s="20"/>
      <c r="AG101" s="21"/>
      <c r="AH101" s="21"/>
      <c r="AI101" s="19"/>
      <c r="AJ101" s="29"/>
      <c r="AK101" s="29"/>
      <c r="AL101" s="29"/>
    </row>
    <row r="102" spans="2:38" s="28" customFormat="1" x14ac:dyDescent="0.3">
      <c r="B102" s="24"/>
      <c r="C102" s="37"/>
      <c r="D102" s="37"/>
      <c r="E102" s="37"/>
      <c r="F102" s="35"/>
      <c r="G102" s="35"/>
      <c r="H102" s="35"/>
      <c r="I102" s="35"/>
      <c r="J102" s="35"/>
      <c r="K102" s="35"/>
      <c r="L102" s="35"/>
      <c r="M102" s="31"/>
      <c r="N102" s="32"/>
      <c r="O102" s="32"/>
      <c r="P102" s="32"/>
      <c r="Q102" s="32"/>
      <c r="R102" s="32"/>
      <c r="S102" s="32"/>
      <c r="T102" s="32"/>
      <c r="U102" s="29"/>
      <c r="V102" s="29"/>
      <c r="W102" s="24"/>
      <c r="X102" s="18"/>
      <c r="Y102" s="18"/>
      <c r="Z102" s="18"/>
      <c r="AA102" s="18"/>
      <c r="AB102" s="18"/>
      <c r="AC102" s="18"/>
      <c r="AD102" s="18"/>
      <c r="AE102" s="19"/>
      <c r="AF102" s="20"/>
      <c r="AG102" s="21"/>
      <c r="AH102" s="21"/>
      <c r="AI102" s="19"/>
      <c r="AJ102" s="29"/>
      <c r="AK102" s="29"/>
      <c r="AL102" s="29"/>
    </row>
    <row r="103" spans="2:38" s="28" customFormat="1" x14ac:dyDescent="0.3">
      <c r="B103" s="24"/>
      <c r="C103" s="37"/>
      <c r="D103" s="37"/>
      <c r="E103" s="37"/>
      <c r="F103" s="35"/>
      <c r="G103" s="35"/>
      <c r="H103" s="35"/>
      <c r="I103" s="35"/>
      <c r="J103" s="35"/>
      <c r="K103" s="35"/>
      <c r="L103" s="35"/>
      <c r="M103" s="31"/>
      <c r="N103" s="32"/>
      <c r="O103" s="32"/>
      <c r="P103" s="32"/>
      <c r="Q103" s="32"/>
      <c r="R103" s="32"/>
      <c r="S103" s="32"/>
      <c r="T103" s="32"/>
      <c r="U103" s="29"/>
      <c r="V103" s="29"/>
      <c r="W103" s="24"/>
      <c r="X103" s="18"/>
      <c r="Y103" s="18"/>
      <c r="Z103" s="18"/>
      <c r="AA103" s="18"/>
      <c r="AB103" s="18"/>
      <c r="AC103" s="18"/>
      <c r="AD103" s="18"/>
      <c r="AE103" s="19"/>
      <c r="AF103" s="20"/>
      <c r="AG103" s="21"/>
      <c r="AH103" s="21"/>
      <c r="AI103" s="19"/>
      <c r="AJ103" s="29"/>
      <c r="AK103" s="29"/>
      <c r="AL103" s="29"/>
    </row>
    <row r="104" spans="2:38" s="28" customFormat="1" x14ac:dyDescent="0.3">
      <c r="B104" s="24"/>
      <c r="C104" s="37"/>
      <c r="D104" s="37"/>
      <c r="E104" s="37"/>
      <c r="F104" s="35"/>
      <c r="G104" s="35"/>
      <c r="H104" s="35"/>
      <c r="I104" s="35"/>
      <c r="J104" s="35"/>
      <c r="K104" s="35"/>
      <c r="L104" s="35"/>
      <c r="M104" s="31"/>
      <c r="N104" s="32"/>
      <c r="O104" s="32"/>
      <c r="P104" s="32"/>
      <c r="Q104" s="32"/>
      <c r="R104" s="32"/>
      <c r="S104" s="32"/>
      <c r="T104" s="32"/>
      <c r="U104" s="29"/>
      <c r="V104" s="29"/>
      <c r="W104" s="24"/>
      <c r="X104" s="18"/>
      <c r="Y104" s="18"/>
      <c r="Z104" s="18"/>
      <c r="AA104" s="18"/>
      <c r="AB104" s="18"/>
      <c r="AC104" s="18"/>
      <c r="AD104" s="18"/>
      <c r="AE104" s="19"/>
      <c r="AF104" s="20"/>
      <c r="AG104" s="21"/>
      <c r="AH104" s="21"/>
      <c r="AI104" s="19"/>
      <c r="AJ104" s="29"/>
      <c r="AK104" s="29"/>
      <c r="AL104" s="29"/>
    </row>
    <row r="105" spans="2:38" s="28" customFormat="1" x14ac:dyDescent="0.3">
      <c r="B105" s="24"/>
      <c r="C105" s="37"/>
      <c r="D105" s="37"/>
      <c r="E105" s="37"/>
      <c r="F105" s="35"/>
      <c r="G105" s="35"/>
      <c r="H105" s="35"/>
      <c r="I105" s="35"/>
      <c r="J105" s="35"/>
      <c r="K105" s="35"/>
      <c r="L105" s="35"/>
      <c r="M105" s="31"/>
      <c r="N105" s="32"/>
      <c r="O105" s="32"/>
      <c r="P105" s="32"/>
      <c r="Q105" s="32"/>
      <c r="R105" s="32"/>
      <c r="S105" s="32"/>
      <c r="T105" s="32"/>
      <c r="U105" s="29"/>
      <c r="V105" s="29"/>
      <c r="W105" s="24"/>
      <c r="X105" s="18"/>
      <c r="Y105" s="18"/>
      <c r="Z105" s="18"/>
      <c r="AA105" s="18"/>
      <c r="AB105" s="18"/>
      <c r="AC105" s="18"/>
      <c r="AD105" s="18"/>
      <c r="AE105" s="19"/>
      <c r="AF105" s="20"/>
      <c r="AG105" s="21"/>
      <c r="AH105" s="21"/>
      <c r="AI105" s="19"/>
      <c r="AJ105" s="29"/>
      <c r="AK105" s="29"/>
      <c r="AL105" s="29"/>
    </row>
    <row r="106" spans="2:38" s="28" customFormat="1" x14ac:dyDescent="0.3">
      <c r="B106" s="24"/>
      <c r="C106" s="37"/>
      <c r="D106" s="37"/>
      <c r="E106" s="37"/>
      <c r="F106" s="35"/>
      <c r="G106" s="35"/>
      <c r="H106" s="35"/>
      <c r="I106" s="35"/>
      <c r="J106" s="35"/>
      <c r="K106" s="35"/>
      <c r="L106" s="35"/>
      <c r="M106" s="31"/>
      <c r="N106" s="32"/>
      <c r="O106" s="32"/>
      <c r="P106" s="32"/>
      <c r="Q106" s="32"/>
      <c r="R106" s="32"/>
      <c r="S106" s="32"/>
      <c r="T106" s="32"/>
      <c r="U106" s="29"/>
      <c r="V106" s="29"/>
      <c r="W106" s="24"/>
      <c r="X106" s="18"/>
      <c r="Y106" s="18"/>
      <c r="Z106" s="18"/>
      <c r="AA106" s="18"/>
      <c r="AB106" s="18"/>
      <c r="AC106" s="18"/>
      <c r="AD106" s="18"/>
      <c r="AE106" s="19"/>
      <c r="AF106" s="20"/>
      <c r="AG106" s="21"/>
      <c r="AH106" s="21"/>
      <c r="AI106" s="19"/>
      <c r="AJ106" s="29"/>
      <c r="AK106" s="29"/>
      <c r="AL106" s="29"/>
    </row>
    <row r="107" spans="2:38" s="28" customFormat="1" x14ac:dyDescent="0.3">
      <c r="B107" s="24"/>
      <c r="C107" s="37"/>
      <c r="D107" s="37"/>
      <c r="E107" s="37"/>
      <c r="F107" s="35"/>
      <c r="G107" s="35"/>
      <c r="H107" s="35"/>
      <c r="I107" s="35"/>
      <c r="J107" s="35"/>
      <c r="K107" s="35"/>
      <c r="L107" s="35"/>
      <c r="M107" s="31"/>
      <c r="N107" s="32"/>
      <c r="O107" s="32"/>
      <c r="P107" s="32"/>
      <c r="Q107" s="32"/>
      <c r="R107" s="32"/>
      <c r="S107" s="32"/>
      <c r="T107" s="32"/>
      <c r="U107" s="29"/>
      <c r="V107" s="29"/>
      <c r="W107" s="24"/>
      <c r="X107" s="18"/>
      <c r="Y107" s="18"/>
      <c r="Z107" s="18"/>
      <c r="AA107" s="18"/>
      <c r="AB107" s="18"/>
      <c r="AC107" s="18"/>
      <c r="AD107" s="18"/>
      <c r="AE107" s="19"/>
      <c r="AF107" s="20"/>
      <c r="AG107" s="21"/>
      <c r="AH107" s="21"/>
      <c r="AI107" s="19"/>
      <c r="AJ107" s="29"/>
      <c r="AK107" s="29"/>
      <c r="AL107" s="29"/>
    </row>
    <row r="108" spans="2:38" s="28" customFormat="1" x14ac:dyDescent="0.3">
      <c r="B108" s="24"/>
      <c r="C108" s="37"/>
      <c r="D108" s="37"/>
      <c r="E108" s="37"/>
      <c r="F108" s="35"/>
      <c r="G108" s="35"/>
      <c r="H108" s="35"/>
      <c r="I108" s="35"/>
      <c r="J108" s="35"/>
      <c r="K108" s="35"/>
      <c r="L108" s="35"/>
      <c r="M108" s="31"/>
      <c r="N108" s="32"/>
      <c r="O108" s="32"/>
      <c r="P108" s="32"/>
      <c r="Q108" s="32"/>
      <c r="R108" s="32"/>
      <c r="S108" s="32"/>
      <c r="T108" s="32"/>
      <c r="U108" s="29"/>
      <c r="V108" s="29"/>
      <c r="W108" s="24"/>
      <c r="X108" s="18"/>
      <c r="Y108" s="18"/>
      <c r="Z108" s="18"/>
      <c r="AA108" s="18"/>
      <c r="AB108" s="18"/>
      <c r="AC108" s="18"/>
      <c r="AD108" s="18"/>
      <c r="AE108" s="19"/>
      <c r="AF108" s="20"/>
      <c r="AG108" s="21"/>
      <c r="AH108" s="21"/>
      <c r="AI108" s="19"/>
      <c r="AJ108" s="29"/>
      <c r="AK108" s="29"/>
      <c r="AL108" s="29"/>
    </row>
    <row r="109" spans="2:38" s="28" customFormat="1" x14ac:dyDescent="0.3">
      <c r="B109" s="24"/>
      <c r="C109" s="37"/>
      <c r="D109" s="37"/>
      <c r="E109" s="37"/>
      <c r="F109" s="35"/>
      <c r="G109" s="35"/>
      <c r="H109" s="35"/>
      <c r="I109" s="35"/>
      <c r="J109" s="35"/>
      <c r="K109" s="35"/>
      <c r="L109" s="35"/>
      <c r="M109" s="31"/>
      <c r="N109" s="32"/>
      <c r="O109" s="32"/>
      <c r="P109" s="32"/>
      <c r="Q109" s="32"/>
      <c r="R109" s="32"/>
      <c r="S109" s="32"/>
      <c r="T109" s="32"/>
      <c r="U109" s="29"/>
      <c r="V109" s="29"/>
      <c r="W109" s="24"/>
      <c r="X109" s="18"/>
      <c r="Y109" s="18"/>
      <c r="Z109" s="18"/>
      <c r="AA109" s="18"/>
      <c r="AB109" s="18"/>
      <c r="AC109" s="18"/>
      <c r="AD109" s="18"/>
      <c r="AE109" s="19"/>
      <c r="AF109" s="20"/>
      <c r="AG109" s="21"/>
      <c r="AH109" s="21"/>
      <c r="AI109" s="19"/>
      <c r="AJ109" s="29"/>
      <c r="AK109" s="29"/>
      <c r="AL109" s="29"/>
    </row>
    <row r="110" spans="2:38" s="28" customFormat="1" x14ac:dyDescent="0.3">
      <c r="B110" s="24"/>
      <c r="C110" s="37"/>
      <c r="D110" s="37"/>
      <c r="E110" s="37"/>
      <c r="F110" s="35"/>
      <c r="G110" s="35"/>
      <c r="H110" s="35"/>
      <c r="I110" s="35"/>
      <c r="J110" s="35"/>
      <c r="K110" s="35"/>
      <c r="L110" s="35"/>
      <c r="M110" s="31"/>
      <c r="N110" s="32"/>
      <c r="O110" s="32"/>
      <c r="P110" s="32"/>
      <c r="Q110" s="32"/>
      <c r="R110" s="32"/>
      <c r="S110" s="32"/>
      <c r="T110" s="32"/>
      <c r="U110" s="29"/>
      <c r="V110" s="29"/>
      <c r="W110" s="24"/>
      <c r="X110" s="18"/>
      <c r="Y110" s="18"/>
      <c r="Z110" s="18"/>
      <c r="AA110" s="18"/>
      <c r="AB110" s="18"/>
      <c r="AC110" s="18"/>
      <c r="AD110" s="18"/>
      <c r="AE110" s="19"/>
      <c r="AF110" s="20"/>
      <c r="AG110" s="21"/>
      <c r="AH110" s="21"/>
      <c r="AI110" s="19"/>
      <c r="AJ110" s="29"/>
      <c r="AK110" s="29"/>
      <c r="AL110" s="29"/>
    </row>
    <row r="111" spans="2:38" s="28" customFormat="1" x14ac:dyDescent="0.3">
      <c r="B111" s="24"/>
      <c r="C111" s="37"/>
      <c r="D111" s="37"/>
      <c r="E111" s="37"/>
      <c r="F111" s="35"/>
      <c r="G111" s="35"/>
      <c r="H111" s="35"/>
      <c r="I111" s="35"/>
      <c r="J111" s="35"/>
      <c r="K111" s="35"/>
      <c r="L111" s="35"/>
      <c r="M111" s="31"/>
      <c r="N111" s="32"/>
      <c r="O111" s="32"/>
      <c r="P111" s="32"/>
      <c r="Q111" s="32"/>
      <c r="R111" s="32"/>
      <c r="S111" s="32"/>
      <c r="T111" s="32"/>
      <c r="U111" s="29"/>
      <c r="V111" s="29"/>
      <c r="W111" s="24"/>
      <c r="X111" s="18"/>
      <c r="Y111" s="18"/>
      <c r="Z111" s="18"/>
      <c r="AA111" s="18"/>
      <c r="AB111" s="18"/>
      <c r="AC111" s="18"/>
      <c r="AD111" s="18"/>
      <c r="AE111" s="19"/>
      <c r="AF111" s="20"/>
      <c r="AG111" s="21"/>
      <c r="AH111" s="21"/>
      <c r="AI111" s="19"/>
      <c r="AJ111" s="29"/>
      <c r="AK111" s="29"/>
      <c r="AL111" s="29"/>
    </row>
    <row r="112" spans="2:38" s="28" customFormat="1" x14ac:dyDescent="0.3">
      <c r="B112" s="24"/>
      <c r="C112" s="37"/>
      <c r="D112" s="37"/>
      <c r="E112" s="37"/>
      <c r="F112" s="35"/>
      <c r="G112" s="35"/>
      <c r="H112" s="35"/>
      <c r="I112" s="35"/>
      <c r="J112" s="35"/>
      <c r="K112" s="35"/>
      <c r="L112" s="35"/>
      <c r="M112" s="31"/>
      <c r="N112" s="32"/>
      <c r="O112" s="32"/>
      <c r="P112" s="32"/>
      <c r="Q112" s="32"/>
      <c r="R112" s="32"/>
      <c r="S112" s="32"/>
      <c r="T112" s="32"/>
      <c r="U112" s="29"/>
      <c r="V112" s="29"/>
      <c r="W112" s="24"/>
      <c r="X112" s="18"/>
      <c r="Y112" s="18"/>
      <c r="Z112" s="18"/>
      <c r="AA112" s="18"/>
      <c r="AB112" s="18"/>
      <c r="AC112" s="18"/>
      <c r="AD112" s="18"/>
      <c r="AE112" s="19"/>
      <c r="AF112" s="20"/>
      <c r="AG112" s="21"/>
      <c r="AH112" s="21"/>
      <c r="AI112" s="19"/>
      <c r="AJ112" s="29"/>
      <c r="AK112" s="29"/>
      <c r="AL112" s="29"/>
    </row>
    <row r="113" spans="2:38" s="28" customFormat="1" x14ac:dyDescent="0.3">
      <c r="B113" s="24"/>
      <c r="C113" s="37"/>
      <c r="D113" s="37"/>
      <c r="E113" s="37"/>
      <c r="F113" s="35"/>
      <c r="G113" s="35"/>
      <c r="H113" s="35"/>
      <c r="I113" s="35"/>
      <c r="J113" s="35"/>
      <c r="K113" s="35"/>
      <c r="L113" s="35"/>
      <c r="M113" s="31"/>
      <c r="N113" s="32"/>
      <c r="O113" s="32"/>
      <c r="P113" s="32"/>
      <c r="Q113" s="32"/>
      <c r="R113" s="32"/>
      <c r="S113" s="32"/>
      <c r="T113" s="32"/>
      <c r="U113" s="29"/>
      <c r="V113" s="29"/>
      <c r="W113" s="24"/>
      <c r="X113" s="18"/>
      <c r="Y113" s="18"/>
      <c r="Z113" s="18"/>
      <c r="AA113" s="18"/>
      <c r="AB113" s="18"/>
      <c r="AC113" s="18"/>
      <c r="AD113" s="18"/>
      <c r="AE113" s="19"/>
      <c r="AF113" s="20"/>
      <c r="AG113" s="21"/>
      <c r="AH113" s="21"/>
      <c r="AI113" s="19"/>
      <c r="AJ113" s="29"/>
      <c r="AK113" s="29"/>
      <c r="AL113" s="29"/>
    </row>
    <row r="114" spans="2:38" s="28" customFormat="1" x14ac:dyDescent="0.3">
      <c r="B114" s="24"/>
      <c r="C114" s="37"/>
      <c r="D114" s="37"/>
      <c r="E114" s="37"/>
      <c r="F114" s="35"/>
      <c r="G114" s="35"/>
      <c r="H114" s="35"/>
      <c r="I114" s="35"/>
      <c r="J114" s="35"/>
      <c r="K114" s="35"/>
      <c r="L114" s="35"/>
      <c r="M114" s="31"/>
      <c r="N114" s="32"/>
      <c r="O114" s="32"/>
      <c r="P114" s="32"/>
      <c r="Q114" s="32"/>
      <c r="R114" s="32"/>
      <c r="S114" s="32"/>
      <c r="T114" s="32"/>
      <c r="U114" s="29"/>
      <c r="V114" s="29"/>
      <c r="W114" s="24"/>
      <c r="X114" s="18"/>
      <c r="Y114" s="18"/>
      <c r="Z114" s="18"/>
      <c r="AA114" s="18"/>
      <c r="AB114" s="18"/>
      <c r="AC114" s="18"/>
      <c r="AD114" s="18"/>
      <c r="AE114" s="19"/>
      <c r="AF114" s="20"/>
      <c r="AG114" s="21"/>
      <c r="AH114" s="21"/>
      <c r="AI114" s="19"/>
      <c r="AJ114" s="29"/>
      <c r="AK114" s="29"/>
      <c r="AL114" s="29"/>
    </row>
    <row r="115" spans="2:38" s="28" customFormat="1" x14ac:dyDescent="0.3">
      <c r="B115" s="24"/>
      <c r="C115" s="37"/>
      <c r="D115" s="37"/>
      <c r="E115" s="37"/>
      <c r="F115" s="35"/>
      <c r="G115" s="35"/>
      <c r="H115" s="35"/>
      <c r="I115" s="35"/>
      <c r="J115" s="35"/>
      <c r="K115" s="35"/>
      <c r="L115" s="35"/>
      <c r="M115" s="31"/>
      <c r="N115" s="32"/>
      <c r="O115" s="32"/>
      <c r="P115" s="32"/>
      <c r="Q115" s="32"/>
      <c r="R115" s="32"/>
      <c r="S115" s="32"/>
      <c r="T115" s="32"/>
      <c r="U115" s="29"/>
      <c r="V115" s="29"/>
      <c r="W115" s="24"/>
      <c r="X115" s="18"/>
      <c r="Y115" s="18"/>
      <c r="Z115" s="18"/>
      <c r="AA115" s="18"/>
      <c r="AB115" s="18"/>
      <c r="AC115" s="18"/>
      <c r="AD115" s="18"/>
      <c r="AE115" s="19"/>
      <c r="AF115" s="20"/>
      <c r="AG115" s="21"/>
      <c r="AH115" s="21"/>
      <c r="AI115" s="19"/>
      <c r="AJ115" s="29"/>
      <c r="AK115" s="29"/>
      <c r="AL115" s="29"/>
    </row>
    <row r="116" spans="2:38" s="28" customFormat="1" x14ac:dyDescent="0.3">
      <c r="B116" s="24"/>
      <c r="C116" s="37"/>
      <c r="D116" s="37"/>
      <c r="E116" s="37"/>
      <c r="F116" s="35"/>
      <c r="G116" s="35"/>
      <c r="H116" s="35"/>
      <c r="I116" s="35"/>
      <c r="J116" s="35"/>
      <c r="K116" s="35"/>
      <c r="L116" s="35"/>
      <c r="M116" s="31"/>
      <c r="N116" s="32"/>
      <c r="O116" s="32"/>
      <c r="P116" s="32"/>
      <c r="Q116" s="32"/>
      <c r="R116" s="32"/>
      <c r="S116" s="32"/>
      <c r="T116" s="32"/>
      <c r="U116" s="29"/>
      <c r="V116" s="29"/>
      <c r="W116" s="24"/>
      <c r="X116" s="18"/>
      <c r="Y116" s="18"/>
      <c r="Z116" s="18"/>
      <c r="AA116" s="18"/>
      <c r="AB116" s="18"/>
      <c r="AC116" s="18"/>
      <c r="AD116" s="18"/>
      <c r="AE116" s="19"/>
      <c r="AF116" s="20"/>
      <c r="AG116" s="21"/>
      <c r="AH116" s="21"/>
      <c r="AI116" s="19"/>
      <c r="AJ116" s="29"/>
      <c r="AK116" s="29"/>
      <c r="AL116" s="29"/>
    </row>
    <row r="117" spans="2:38" s="28" customFormat="1" x14ac:dyDescent="0.3">
      <c r="B117" s="24"/>
      <c r="C117" s="37"/>
      <c r="D117" s="37"/>
      <c r="E117" s="37"/>
      <c r="F117" s="35"/>
      <c r="G117" s="35"/>
      <c r="H117" s="35"/>
      <c r="I117" s="35"/>
      <c r="J117" s="35"/>
      <c r="K117" s="35"/>
      <c r="L117" s="35"/>
      <c r="M117" s="31"/>
      <c r="N117" s="32"/>
      <c r="O117" s="32"/>
      <c r="P117" s="32"/>
      <c r="Q117" s="32"/>
      <c r="R117" s="32"/>
      <c r="S117" s="32"/>
      <c r="T117" s="32"/>
      <c r="U117" s="29"/>
      <c r="V117" s="29"/>
      <c r="W117" s="24"/>
      <c r="X117" s="18"/>
      <c r="Y117" s="18"/>
      <c r="Z117" s="18"/>
      <c r="AA117" s="18"/>
      <c r="AB117" s="18"/>
      <c r="AC117" s="18"/>
      <c r="AD117" s="18"/>
      <c r="AE117" s="19"/>
      <c r="AF117" s="20"/>
      <c r="AG117" s="21"/>
      <c r="AH117" s="21"/>
      <c r="AI117" s="19"/>
      <c r="AJ117" s="29"/>
      <c r="AK117" s="29"/>
      <c r="AL117" s="29"/>
    </row>
    <row r="118" spans="2:38" s="28" customFormat="1" x14ac:dyDescent="0.3">
      <c r="B118" s="24"/>
      <c r="C118" s="37"/>
      <c r="D118" s="37"/>
      <c r="E118" s="37"/>
      <c r="F118" s="35"/>
      <c r="G118" s="35"/>
      <c r="H118" s="35"/>
      <c r="I118" s="35"/>
      <c r="J118" s="35"/>
      <c r="K118" s="35"/>
      <c r="L118" s="35"/>
      <c r="M118" s="31"/>
      <c r="N118" s="32"/>
      <c r="O118" s="32"/>
      <c r="P118" s="32"/>
      <c r="Q118" s="32"/>
      <c r="R118" s="32"/>
      <c r="S118" s="32"/>
      <c r="T118" s="32"/>
      <c r="U118" s="29"/>
      <c r="V118" s="29"/>
      <c r="W118" s="24"/>
      <c r="X118" s="18"/>
      <c r="Y118" s="18"/>
      <c r="Z118" s="18"/>
      <c r="AA118" s="18"/>
      <c r="AB118" s="18"/>
      <c r="AC118" s="18"/>
      <c r="AD118" s="18"/>
      <c r="AE118" s="19"/>
      <c r="AF118" s="20"/>
      <c r="AG118" s="21"/>
      <c r="AH118" s="21"/>
      <c r="AI118" s="19"/>
      <c r="AJ118" s="29"/>
      <c r="AK118" s="29"/>
      <c r="AL118" s="29"/>
    </row>
    <row r="119" spans="2:38" s="28" customFormat="1" x14ac:dyDescent="0.3">
      <c r="B119" s="24"/>
      <c r="C119" s="37"/>
      <c r="D119" s="37"/>
      <c r="E119" s="37"/>
      <c r="F119" s="35"/>
      <c r="G119" s="35"/>
      <c r="H119" s="35"/>
      <c r="I119" s="35"/>
      <c r="J119" s="35"/>
      <c r="K119" s="35"/>
      <c r="L119" s="35"/>
      <c r="M119" s="31"/>
      <c r="N119" s="32"/>
      <c r="O119" s="32"/>
      <c r="P119" s="32"/>
      <c r="Q119" s="32"/>
      <c r="R119" s="32"/>
      <c r="S119" s="32"/>
      <c r="T119" s="32"/>
      <c r="U119" s="29"/>
      <c r="V119" s="29"/>
      <c r="W119" s="24"/>
      <c r="X119" s="18"/>
      <c r="Y119" s="18"/>
      <c r="Z119" s="18"/>
      <c r="AA119" s="18"/>
      <c r="AB119" s="18"/>
      <c r="AC119" s="18"/>
      <c r="AD119" s="18"/>
      <c r="AE119" s="19"/>
      <c r="AF119" s="20"/>
      <c r="AG119" s="21"/>
      <c r="AH119" s="21"/>
      <c r="AI119" s="19"/>
      <c r="AJ119" s="29"/>
      <c r="AK119" s="29"/>
      <c r="AL119" s="29"/>
    </row>
    <row r="120" spans="2:38" s="28" customFormat="1" x14ac:dyDescent="0.3">
      <c r="B120" s="24"/>
      <c r="C120" s="37"/>
      <c r="D120" s="37"/>
      <c r="E120" s="37"/>
      <c r="F120" s="35"/>
      <c r="G120" s="35"/>
      <c r="H120" s="35"/>
      <c r="I120" s="35"/>
      <c r="J120" s="35"/>
      <c r="K120" s="35"/>
      <c r="L120" s="35"/>
      <c r="M120" s="31"/>
      <c r="N120" s="32"/>
      <c r="O120" s="32"/>
      <c r="P120" s="32"/>
      <c r="Q120" s="32"/>
      <c r="R120" s="32"/>
      <c r="S120" s="32"/>
      <c r="T120" s="32"/>
      <c r="U120" s="29"/>
      <c r="V120" s="29"/>
      <c r="W120" s="24"/>
      <c r="X120" s="18"/>
      <c r="Y120" s="18"/>
      <c r="Z120" s="18"/>
      <c r="AA120" s="18"/>
      <c r="AB120" s="18"/>
      <c r="AC120" s="18"/>
      <c r="AD120" s="18"/>
      <c r="AE120" s="19"/>
      <c r="AF120" s="20"/>
      <c r="AG120" s="21"/>
      <c r="AH120" s="21"/>
      <c r="AI120" s="19"/>
      <c r="AJ120" s="29"/>
      <c r="AK120" s="29"/>
      <c r="AL120" s="29"/>
    </row>
    <row r="121" spans="2:38" s="28" customFormat="1" x14ac:dyDescent="0.3">
      <c r="B121" s="24"/>
      <c r="C121" s="37"/>
      <c r="D121" s="37"/>
      <c r="E121" s="37"/>
      <c r="F121" s="35"/>
      <c r="G121" s="35"/>
      <c r="H121" s="35"/>
      <c r="I121" s="35"/>
      <c r="J121" s="35"/>
      <c r="K121" s="35"/>
      <c r="L121" s="35"/>
      <c r="M121" s="31"/>
      <c r="N121" s="32"/>
      <c r="O121" s="32"/>
      <c r="P121" s="32"/>
      <c r="Q121" s="32"/>
      <c r="R121" s="32"/>
      <c r="S121" s="32"/>
      <c r="T121" s="32"/>
      <c r="U121" s="29"/>
      <c r="V121" s="29"/>
      <c r="W121" s="24"/>
      <c r="X121" s="18"/>
      <c r="Y121" s="18"/>
      <c r="Z121" s="18"/>
      <c r="AA121" s="18"/>
      <c r="AB121" s="18"/>
      <c r="AC121" s="18"/>
      <c r="AD121" s="18"/>
      <c r="AE121" s="19"/>
      <c r="AF121" s="20"/>
      <c r="AG121" s="21"/>
      <c r="AH121" s="21"/>
      <c r="AI121" s="19"/>
      <c r="AJ121" s="29"/>
      <c r="AK121" s="29"/>
      <c r="AL121" s="29"/>
    </row>
    <row r="122" spans="2:38" s="28" customFormat="1" x14ac:dyDescent="0.3">
      <c r="B122" s="24"/>
      <c r="C122" s="37"/>
      <c r="D122" s="37"/>
      <c r="E122" s="37"/>
      <c r="F122" s="35"/>
      <c r="G122" s="35"/>
      <c r="H122" s="35"/>
      <c r="I122" s="35"/>
      <c r="J122" s="35"/>
      <c r="K122" s="35"/>
      <c r="L122" s="35"/>
      <c r="M122" s="31"/>
      <c r="N122" s="32"/>
      <c r="O122" s="32"/>
      <c r="P122" s="32"/>
      <c r="Q122" s="32"/>
      <c r="R122" s="32"/>
      <c r="S122" s="32"/>
      <c r="T122" s="32"/>
      <c r="U122" s="29"/>
      <c r="V122" s="29"/>
      <c r="W122" s="24"/>
      <c r="X122" s="18"/>
      <c r="Y122" s="18"/>
      <c r="Z122" s="18"/>
      <c r="AA122" s="18"/>
      <c r="AB122" s="18"/>
      <c r="AC122" s="18"/>
      <c r="AD122" s="18"/>
      <c r="AE122" s="19"/>
      <c r="AF122" s="20"/>
      <c r="AG122" s="21"/>
      <c r="AH122" s="21"/>
      <c r="AI122" s="19"/>
      <c r="AJ122" s="29"/>
      <c r="AK122" s="29"/>
      <c r="AL122" s="29"/>
    </row>
    <row r="123" spans="2:38" s="28" customFormat="1" x14ac:dyDescent="0.3">
      <c r="B123" s="24"/>
      <c r="C123" s="37"/>
      <c r="D123" s="37"/>
      <c r="E123" s="37"/>
      <c r="F123" s="35"/>
      <c r="G123" s="35"/>
      <c r="H123" s="35"/>
      <c r="I123" s="35"/>
      <c r="J123" s="35"/>
      <c r="K123" s="35"/>
      <c r="L123" s="35"/>
      <c r="M123" s="31"/>
      <c r="N123" s="32"/>
      <c r="O123" s="32"/>
      <c r="P123" s="32"/>
      <c r="Q123" s="32"/>
      <c r="R123" s="32"/>
      <c r="S123" s="32"/>
      <c r="T123" s="32"/>
      <c r="U123" s="29"/>
      <c r="V123" s="29"/>
      <c r="W123" s="24"/>
      <c r="X123" s="18"/>
      <c r="Y123" s="18"/>
      <c r="Z123" s="18"/>
      <c r="AA123" s="18"/>
      <c r="AB123" s="18"/>
      <c r="AC123" s="18"/>
      <c r="AD123" s="18"/>
      <c r="AE123" s="19"/>
      <c r="AF123" s="20"/>
      <c r="AG123" s="21"/>
      <c r="AH123" s="21"/>
      <c r="AI123" s="19"/>
      <c r="AJ123" s="29"/>
      <c r="AK123" s="29"/>
      <c r="AL123" s="29"/>
    </row>
    <row r="124" spans="2:38" s="28" customFormat="1" x14ac:dyDescent="0.3">
      <c r="B124" s="24"/>
      <c r="C124" s="37"/>
      <c r="D124" s="37"/>
      <c r="E124" s="37"/>
      <c r="F124" s="35"/>
      <c r="G124" s="35"/>
      <c r="H124" s="35"/>
      <c r="I124" s="35"/>
      <c r="J124" s="35"/>
      <c r="K124" s="35"/>
      <c r="L124" s="35"/>
      <c r="M124" s="31"/>
      <c r="N124" s="32"/>
      <c r="O124" s="32"/>
      <c r="P124" s="32"/>
      <c r="Q124" s="32"/>
      <c r="R124" s="32"/>
      <c r="S124" s="32"/>
      <c r="T124" s="32"/>
      <c r="U124" s="29"/>
      <c r="V124" s="29"/>
      <c r="W124" s="24"/>
      <c r="X124" s="18"/>
      <c r="Y124" s="18"/>
      <c r="Z124" s="18"/>
      <c r="AA124" s="18"/>
      <c r="AB124" s="18"/>
      <c r="AC124" s="18"/>
      <c r="AD124" s="18"/>
      <c r="AE124" s="19"/>
      <c r="AF124" s="20"/>
      <c r="AG124" s="21"/>
      <c r="AH124" s="21"/>
      <c r="AI124" s="19"/>
      <c r="AJ124" s="29"/>
      <c r="AK124" s="29"/>
      <c r="AL124" s="29"/>
    </row>
    <row r="125" spans="2:38" s="28" customFormat="1" x14ac:dyDescent="0.3">
      <c r="B125" s="24"/>
      <c r="C125" s="37"/>
      <c r="D125" s="37"/>
      <c r="E125" s="37"/>
      <c r="F125" s="35"/>
      <c r="G125" s="35"/>
      <c r="H125" s="35"/>
      <c r="I125" s="35"/>
      <c r="J125" s="35"/>
      <c r="K125" s="35"/>
      <c r="L125" s="35"/>
      <c r="M125" s="31"/>
      <c r="N125" s="32"/>
      <c r="O125" s="32"/>
      <c r="P125" s="32"/>
      <c r="Q125" s="32"/>
      <c r="R125" s="32"/>
      <c r="S125" s="32"/>
      <c r="T125" s="32"/>
      <c r="U125" s="29"/>
      <c r="V125" s="29"/>
      <c r="W125" s="24"/>
      <c r="X125" s="18"/>
      <c r="Y125" s="18"/>
      <c r="Z125" s="18"/>
      <c r="AA125" s="18"/>
      <c r="AB125" s="18"/>
      <c r="AC125" s="18"/>
      <c r="AD125" s="18"/>
      <c r="AE125" s="19"/>
      <c r="AF125" s="20"/>
      <c r="AG125" s="21"/>
      <c r="AH125" s="21"/>
      <c r="AI125" s="19"/>
      <c r="AJ125" s="29"/>
      <c r="AK125" s="29"/>
      <c r="AL125" s="29"/>
    </row>
    <row r="126" spans="2:38" s="28" customFormat="1" x14ac:dyDescent="0.3">
      <c r="B126" s="24"/>
      <c r="C126" s="37"/>
      <c r="D126" s="37"/>
      <c r="E126" s="37"/>
      <c r="F126" s="35"/>
      <c r="G126" s="35"/>
      <c r="H126" s="35"/>
      <c r="I126" s="35"/>
      <c r="J126" s="35"/>
      <c r="K126" s="35"/>
      <c r="L126" s="35"/>
      <c r="M126" s="31"/>
      <c r="N126" s="32"/>
      <c r="O126" s="32"/>
      <c r="P126" s="32"/>
      <c r="Q126" s="32"/>
      <c r="R126" s="32"/>
      <c r="S126" s="32"/>
      <c r="T126" s="32"/>
      <c r="U126" s="29"/>
      <c r="V126" s="29"/>
      <c r="W126" s="24"/>
      <c r="X126" s="18"/>
      <c r="Y126" s="18"/>
      <c r="Z126" s="18"/>
      <c r="AA126" s="18"/>
      <c r="AB126" s="18"/>
      <c r="AC126" s="18"/>
      <c r="AD126" s="18"/>
      <c r="AE126" s="19"/>
      <c r="AF126" s="20"/>
      <c r="AG126" s="21"/>
      <c r="AH126" s="21"/>
      <c r="AI126" s="19"/>
      <c r="AJ126" s="29"/>
      <c r="AK126" s="29"/>
      <c r="AL126" s="29"/>
    </row>
    <row r="127" spans="2:38" s="28" customFormat="1" x14ac:dyDescent="0.3">
      <c r="B127" s="24"/>
      <c r="C127" s="37"/>
      <c r="D127" s="37"/>
      <c r="E127" s="37"/>
      <c r="F127" s="35"/>
      <c r="G127" s="35"/>
      <c r="H127" s="35"/>
      <c r="I127" s="35"/>
      <c r="J127" s="35"/>
      <c r="K127" s="35"/>
      <c r="L127" s="35"/>
      <c r="M127" s="31"/>
      <c r="N127" s="32"/>
      <c r="O127" s="32"/>
      <c r="P127" s="32"/>
      <c r="Q127" s="32"/>
      <c r="R127" s="32"/>
      <c r="S127" s="32"/>
      <c r="T127" s="32"/>
      <c r="U127" s="29"/>
      <c r="V127" s="29"/>
      <c r="W127" s="24"/>
      <c r="X127" s="18"/>
      <c r="Y127" s="18"/>
      <c r="Z127" s="18"/>
      <c r="AA127" s="18"/>
      <c r="AB127" s="18"/>
      <c r="AC127" s="18"/>
      <c r="AD127" s="18"/>
      <c r="AE127" s="19"/>
      <c r="AF127" s="20"/>
      <c r="AG127" s="21"/>
      <c r="AH127" s="21"/>
      <c r="AI127" s="19"/>
      <c r="AJ127" s="29"/>
      <c r="AK127" s="29"/>
      <c r="AL127" s="29"/>
    </row>
    <row r="128" spans="2:38" s="28" customFormat="1" x14ac:dyDescent="0.3">
      <c r="B128" s="24"/>
      <c r="C128" s="37"/>
      <c r="D128" s="37"/>
      <c r="E128" s="37"/>
      <c r="F128" s="35"/>
      <c r="G128" s="35"/>
      <c r="H128" s="35"/>
      <c r="I128" s="35"/>
      <c r="J128" s="35"/>
      <c r="K128" s="35"/>
      <c r="L128" s="35"/>
      <c r="M128" s="31"/>
      <c r="N128" s="32"/>
      <c r="O128" s="32"/>
      <c r="P128" s="32"/>
      <c r="Q128" s="32"/>
      <c r="R128" s="32"/>
      <c r="S128" s="32"/>
      <c r="T128" s="32"/>
      <c r="U128" s="29"/>
      <c r="V128" s="29"/>
      <c r="W128" s="24"/>
      <c r="X128" s="18"/>
      <c r="Y128" s="18"/>
      <c r="Z128" s="18"/>
      <c r="AA128" s="18"/>
      <c r="AB128" s="18"/>
      <c r="AC128" s="18"/>
      <c r="AD128" s="18"/>
      <c r="AE128" s="19"/>
      <c r="AF128" s="20"/>
      <c r="AG128" s="21"/>
      <c r="AH128" s="21"/>
      <c r="AI128" s="19"/>
      <c r="AJ128" s="29"/>
      <c r="AK128" s="29"/>
      <c r="AL128" s="29"/>
    </row>
    <row r="129" spans="2:38" s="28" customFormat="1" x14ac:dyDescent="0.3">
      <c r="B129" s="24"/>
      <c r="C129" s="37"/>
      <c r="D129" s="37"/>
      <c r="E129" s="37"/>
      <c r="F129" s="35"/>
      <c r="G129" s="35"/>
      <c r="H129" s="35"/>
      <c r="I129" s="35"/>
      <c r="J129" s="35"/>
      <c r="K129" s="35"/>
      <c r="L129" s="35"/>
      <c r="M129" s="31"/>
      <c r="N129" s="32"/>
      <c r="O129" s="32"/>
      <c r="P129" s="32"/>
      <c r="Q129" s="32"/>
      <c r="R129" s="32"/>
      <c r="S129" s="32"/>
      <c r="T129" s="32"/>
      <c r="U129" s="29"/>
      <c r="V129" s="29"/>
      <c r="W129" s="24"/>
      <c r="X129" s="18"/>
      <c r="Y129" s="18"/>
      <c r="Z129" s="18"/>
      <c r="AA129" s="18"/>
      <c r="AB129" s="18"/>
      <c r="AC129" s="18"/>
      <c r="AD129" s="18"/>
      <c r="AE129" s="19"/>
      <c r="AF129" s="20"/>
      <c r="AG129" s="21"/>
      <c r="AH129" s="21"/>
      <c r="AI129" s="19"/>
      <c r="AJ129" s="29"/>
      <c r="AK129" s="29"/>
      <c r="AL129" s="29"/>
    </row>
    <row r="130" spans="2:38" s="28" customFormat="1" x14ac:dyDescent="0.3">
      <c r="B130" s="24"/>
      <c r="C130" s="37"/>
      <c r="D130" s="37"/>
      <c r="E130" s="37"/>
      <c r="F130" s="35"/>
      <c r="G130" s="35"/>
      <c r="H130" s="35"/>
      <c r="I130" s="35"/>
      <c r="J130" s="35"/>
      <c r="K130" s="35"/>
      <c r="L130" s="35"/>
      <c r="M130" s="31"/>
      <c r="N130" s="32"/>
      <c r="O130" s="32"/>
      <c r="P130" s="32"/>
      <c r="Q130" s="32"/>
      <c r="R130" s="32"/>
      <c r="S130" s="32"/>
      <c r="T130" s="32"/>
      <c r="U130" s="29"/>
      <c r="V130" s="29"/>
      <c r="W130" s="24"/>
      <c r="X130" s="18"/>
      <c r="Y130" s="18"/>
      <c r="Z130" s="18"/>
      <c r="AA130" s="18"/>
      <c r="AB130" s="18"/>
      <c r="AC130" s="18"/>
      <c r="AD130" s="18"/>
      <c r="AE130" s="19"/>
      <c r="AF130" s="20"/>
      <c r="AG130" s="21"/>
      <c r="AH130" s="21"/>
      <c r="AI130" s="19"/>
      <c r="AJ130" s="29"/>
      <c r="AK130" s="29"/>
      <c r="AL130" s="29"/>
    </row>
    <row r="131" spans="2:38" s="28" customFormat="1" x14ac:dyDescent="0.3">
      <c r="B131" s="24"/>
      <c r="C131" s="37"/>
      <c r="D131" s="37"/>
      <c r="E131" s="37"/>
      <c r="F131" s="35"/>
      <c r="G131" s="35"/>
      <c r="H131" s="35"/>
      <c r="I131" s="35"/>
      <c r="J131" s="35"/>
      <c r="K131" s="35"/>
      <c r="L131" s="35"/>
      <c r="M131" s="31"/>
      <c r="N131" s="32"/>
      <c r="O131" s="32"/>
      <c r="P131" s="32"/>
      <c r="Q131" s="32"/>
      <c r="R131" s="32"/>
      <c r="S131" s="32"/>
      <c r="T131" s="32"/>
      <c r="U131" s="29"/>
      <c r="V131" s="29"/>
      <c r="W131" s="24"/>
      <c r="X131" s="18"/>
      <c r="Y131" s="18"/>
      <c r="Z131" s="18"/>
      <c r="AA131" s="18"/>
      <c r="AB131" s="18"/>
      <c r="AC131" s="18"/>
      <c r="AD131" s="18"/>
      <c r="AE131" s="19"/>
      <c r="AF131" s="20"/>
      <c r="AG131" s="21"/>
      <c r="AH131" s="21"/>
      <c r="AI131" s="19"/>
      <c r="AJ131" s="29"/>
      <c r="AK131" s="29"/>
      <c r="AL131" s="29"/>
    </row>
    <row r="132" spans="2:38" s="28" customFormat="1" x14ac:dyDescent="0.3">
      <c r="B132" s="24"/>
      <c r="C132" s="37"/>
      <c r="D132" s="37"/>
      <c r="E132" s="37"/>
      <c r="F132" s="35"/>
      <c r="G132" s="35"/>
      <c r="H132" s="35"/>
      <c r="I132" s="35"/>
      <c r="J132" s="35"/>
      <c r="K132" s="35"/>
      <c r="L132" s="35"/>
      <c r="M132" s="31"/>
      <c r="N132" s="32"/>
      <c r="O132" s="32"/>
      <c r="P132" s="32"/>
      <c r="Q132" s="32"/>
      <c r="R132" s="32"/>
      <c r="S132" s="32"/>
      <c r="T132" s="32"/>
      <c r="U132" s="29"/>
      <c r="V132" s="29"/>
      <c r="W132" s="24"/>
      <c r="X132" s="18"/>
      <c r="Y132" s="18"/>
      <c r="Z132" s="18"/>
      <c r="AA132" s="18"/>
      <c r="AB132" s="18"/>
      <c r="AC132" s="18"/>
      <c r="AD132" s="18"/>
      <c r="AE132" s="19"/>
      <c r="AF132" s="20"/>
      <c r="AG132" s="21"/>
      <c r="AH132" s="21"/>
      <c r="AI132" s="19"/>
      <c r="AJ132" s="29"/>
      <c r="AK132" s="29"/>
      <c r="AL132" s="29"/>
    </row>
    <row r="133" spans="2:38" s="28" customFormat="1" x14ac:dyDescent="0.3">
      <c r="B133" s="24"/>
      <c r="C133" s="37"/>
      <c r="D133" s="37"/>
      <c r="E133" s="37"/>
      <c r="F133" s="35"/>
      <c r="G133" s="35"/>
      <c r="H133" s="35"/>
      <c r="I133" s="35"/>
      <c r="J133" s="35"/>
      <c r="K133" s="35"/>
      <c r="L133" s="35"/>
      <c r="M133" s="31"/>
      <c r="N133" s="32"/>
      <c r="O133" s="32"/>
      <c r="P133" s="32"/>
      <c r="Q133" s="32"/>
      <c r="R133" s="32"/>
      <c r="S133" s="32"/>
      <c r="T133" s="32"/>
      <c r="U133" s="29"/>
      <c r="V133" s="29"/>
      <c r="W133" s="24"/>
      <c r="X133" s="18"/>
      <c r="Y133" s="18"/>
      <c r="Z133" s="18"/>
      <c r="AA133" s="18"/>
      <c r="AB133" s="18"/>
      <c r="AC133" s="18"/>
      <c r="AD133" s="18"/>
      <c r="AE133" s="19"/>
      <c r="AF133" s="20"/>
      <c r="AG133" s="21"/>
      <c r="AH133" s="21"/>
      <c r="AI133" s="19"/>
      <c r="AJ133" s="29"/>
      <c r="AK133" s="29"/>
      <c r="AL133" s="29"/>
    </row>
    <row r="134" spans="2:38" s="28" customFormat="1" x14ac:dyDescent="0.3">
      <c r="B134" s="24"/>
      <c r="C134" s="37"/>
      <c r="D134" s="37"/>
      <c r="E134" s="37"/>
      <c r="F134" s="35"/>
      <c r="G134" s="35"/>
      <c r="H134" s="35"/>
      <c r="I134" s="35"/>
      <c r="J134" s="35"/>
      <c r="K134" s="35"/>
      <c r="L134" s="35"/>
      <c r="M134" s="31"/>
      <c r="N134" s="32"/>
      <c r="O134" s="32"/>
      <c r="P134" s="32"/>
      <c r="Q134" s="32"/>
      <c r="R134" s="32"/>
      <c r="S134" s="32"/>
      <c r="T134" s="32"/>
      <c r="U134" s="29"/>
      <c r="V134" s="29"/>
      <c r="W134" s="24"/>
      <c r="X134" s="18"/>
      <c r="Y134" s="18"/>
      <c r="Z134" s="18"/>
      <c r="AA134" s="18"/>
      <c r="AB134" s="18"/>
      <c r="AC134" s="18"/>
      <c r="AD134" s="18"/>
      <c r="AE134" s="19"/>
      <c r="AF134" s="20"/>
      <c r="AG134" s="21"/>
      <c r="AH134" s="21"/>
      <c r="AI134" s="19"/>
      <c r="AJ134" s="29"/>
      <c r="AK134" s="29"/>
      <c r="AL134" s="29"/>
    </row>
    <row r="135" spans="2:38" s="28" customFormat="1" x14ac:dyDescent="0.3">
      <c r="B135" s="24"/>
      <c r="C135" s="37"/>
      <c r="D135" s="37"/>
      <c r="E135" s="37"/>
      <c r="F135" s="35"/>
      <c r="G135" s="35"/>
      <c r="H135" s="35"/>
      <c r="I135" s="35"/>
      <c r="J135" s="35"/>
      <c r="K135" s="35"/>
      <c r="L135" s="35"/>
      <c r="M135" s="31"/>
      <c r="N135" s="32"/>
      <c r="O135" s="32"/>
      <c r="P135" s="32"/>
      <c r="Q135" s="32"/>
      <c r="R135" s="32"/>
      <c r="S135" s="32"/>
      <c r="T135" s="32"/>
      <c r="U135" s="29"/>
      <c r="V135" s="29"/>
      <c r="W135" s="24"/>
      <c r="X135" s="18"/>
      <c r="Y135" s="18"/>
      <c r="Z135" s="18"/>
      <c r="AA135" s="18"/>
      <c r="AB135" s="18"/>
      <c r="AC135" s="18"/>
      <c r="AD135" s="18"/>
      <c r="AE135" s="19"/>
      <c r="AF135" s="20"/>
      <c r="AG135" s="21"/>
      <c r="AH135" s="21"/>
      <c r="AI135" s="19"/>
      <c r="AJ135" s="29"/>
      <c r="AK135" s="29"/>
      <c r="AL135" s="29"/>
    </row>
    <row r="136" spans="2:38" s="28" customFormat="1" x14ac:dyDescent="0.3">
      <c r="B136" s="24"/>
      <c r="C136" s="37"/>
      <c r="D136" s="37"/>
      <c r="E136" s="37"/>
      <c r="F136" s="35"/>
      <c r="G136" s="35"/>
      <c r="H136" s="35"/>
      <c r="I136" s="35"/>
      <c r="J136" s="35"/>
      <c r="K136" s="35"/>
      <c r="L136" s="35"/>
      <c r="M136" s="31"/>
      <c r="N136" s="32"/>
      <c r="O136" s="32"/>
      <c r="P136" s="32"/>
      <c r="Q136" s="32"/>
      <c r="R136" s="32"/>
      <c r="S136" s="32"/>
      <c r="T136" s="32"/>
      <c r="U136" s="29"/>
      <c r="V136" s="29"/>
      <c r="W136" s="24"/>
      <c r="X136" s="18"/>
      <c r="Y136" s="18"/>
      <c r="Z136" s="18"/>
      <c r="AA136" s="18"/>
      <c r="AB136" s="18"/>
      <c r="AC136" s="18"/>
      <c r="AD136" s="18"/>
      <c r="AE136" s="19"/>
      <c r="AF136" s="20"/>
      <c r="AG136" s="21"/>
      <c r="AH136" s="21"/>
      <c r="AI136" s="19"/>
      <c r="AJ136" s="29"/>
      <c r="AK136" s="29"/>
      <c r="AL136" s="29"/>
    </row>
    <row r="137" spans="2:38" s="28" customFormat="1" x14ac:dyDescent="0.3">
      <c r="B137" s="24"/>
      <c r="C137" s="37"/>
      <c r="D137" s="37"/>
      <c r="E137" s="37"/>
      <c r="F137" s="35"/>
      <c r="G137" s="35"/>
      <c r="H137" s="35"/>
      <c r="I137" s="35"/>
      <c r="J137" s="35"/>
      <c r="K137" s="35"/>
      <c r="L137" s="35"/>
      <c r="M137" s="31"/>
      <c r="N137" s="32"/>
      <c r="O137" s="32"/>
      <c r="P137" s="32"/>
      <c r="Q137" s="32"/>
      <c r="R137" s="32"/>
      <c r="S137" s="32"/>
      <c r="T137" s="32"/>
      <c r="U137" s="29"/>
      <c r="V137" s="29"/>
      <c r="W137" s="24"/>
      <c r="X137" s="18"/>
      <c r="Y137" s="18"/>
      <c r="Z137" s="18"/>
      <c r="AA137" s="18"/>
      <c r="AB137" s="18"/>
      <c r="AC137" s="18"/>
      <c r="AD137" s="18"/>
      <c r="AE137" s="19"/>
      <c r="AF137" s="20"/>
      <c r="AG137" s="21"/>
      <c r="AH137" s="21"/>
      <c r="AI137" s="19"/>
      <c r="AJ137" s="29"/>
      <c r="AK137" s="29"/>
      <c r="AL137" s="29"/>
    </row>
    <row r="138" spans="2:38" s="28" customFormat="1" x14ac:dyDescent="0.3">
      <c r="B138" s="24"/>
      <c r="C138" s="37"/>
      <c r="D138" s="37"/>
      <c r="E138" s="37"/>
      <c r="F138" s="35"/>
      <c r="G138" s="35"/>
      <c r="H138" s="35"/>
      <c r="I138" s="35"/>
      <c r="J138" s="35"/>
      <c r="K138" s="35"/>
      <c r="L138" s="35"/>
      <c r="M138" s="31"/>
      <c r="N138" s="32"/>
      <c r="O138" s="32"/>
      <c r="P138" s="32"/>
      <c r="Q138" s="32"/>
      <c r="R138" s="32"/>
      <c r="S138" s="32"/>
      <c r="T138" s="32"/>
      <c r="U138" s="29"/>
      <c r="V138" s="29"/>
      <c r="W138" s="24"/>
      <c r="X138" s="18"/>
      <c r="Y138" s="18"/>
      <c r="Z138" s="18"/>
      <c r="AA138" s="18"/>
      <c r="AB138" s="18"/>
      <c r="AC138" s="18"/>
      <c r="AD138" s="18"/>
      <c r="AE138" s="19"/>
      <c r="AF138" s="20"/>
      <c r="AG138" s="21"/>
      <c r="AH138" s="21"/>
      <c r="AI138" s="19"/>
      <c r="AJ138" s="29"/>
      <c r="AK138" s="29"/>
      <c r="AL138" s="29"/>
    </row>
    <row r="139" spans="2:38" s="28" customFormat="1" x14ac:dyDescent="0.3">
      <c r="B139" s="24"/>
      <c r="C139" s="37"/>
      <c r="D139" s="37"/>
      <c r="E139" s="37"/>
      <c r="F139" s="35"/>
      <c r="G139" s="35"/>
      <c r="H139" s="35"/>
      <c r="I139" s="35"/>
      <c r="J139" s="35"/>
      <c r="K139" s="35"/>
      <c r="L139" s="35"/>
      <c r="M139" s="31"/>
      <c r="N139" s="32"/>
      <c r="O139" s="32"/>
      <c r="P139" s="32"/>
      <c r="Q139" s="32"/>
      <c r="R139" s="32"/>
      <c r="S139" s="32"/>
      <c r="T139" s="32"/>
      <c r="U139" s="29"/>
      <c r="V139" s="29"/>
      <c r="W139" s="24"/>
      <c r="X139" s="18"/>
      <c r="Y139" s="18"/>
      <c r="Z139" s="18"/>
      <c r="AA139" s="18"/>
      <c r="AB139" s="18"/>
      <c r="AC139" s="18"/>
      <c r="AD139" s="18"/>
      <c r="AE139" s="19"/>
      <c r="AF139" s="20"/>
      <c r="AG139" s="21"/>
      <c r="AH139" s="21"/>
      <c r="AI139" s="19"/>
      <c r="AJ139" s="29"/>
      <c r="AK139" s="29"/>
      <c r="AL139" s="29"/>
    </row>
    <row r="140" spans="2:38" s="28" customFormat="1" x14ac:dyDescent="0.3">
      <c r="B140" s="24"/>
      <c r="C140" s="37"/>
      <c r="D140" s="37"/>
      <c r="E140" s="37"/>
      <c r="F140" s="35"/>
      <c r="G140" s="35"/>
      <c r="H140" s="35"/>
      <c r="I140" s="35"/>
      <c r="J140" s="35"/>
      <c r="K140" s="35"/>
      <c r="L140" s="35"/>
      <c r="M140" s="31"/>
      <c r="N140" s="32"/>
      <c r="O140" s="32"/>
      <c r="P140" s="32"/>
      <c r="Q140" s="32"/>
      <c r="R140" s="32"/>
      <c r="S140" s="32"/>
      <c r="T140" s="32"/>
      <c r="U140" s="29"/>
      <c r="V140" s="29"/>
      <c r="W140" s="24"/>
      <c r="X140" s="18"/>
      <c r="Y140" s="18"/>
      <c r="Z140" s="18"/>
      <c r="AA140" s="18"/>
      <c r="AB140" s="18"/>
      <c r="AC140" s="18"/>
      <c r="AD140" s="18"/>
      <c r="AE140" s="19"/>
      <c r="AF140" s="20"/>
      <c r="AG140" s="21"/>
      <c r="AH140" s="21"/>
      <c r="AI140" s="19"/>
      <c r="AJ140" s="29"/>
      <c r="AK140" s="29"/>
      <c r="AL140" s="29"/>
    </row>
    <row r="141" spans="2:38" s="28" customFormat="1" x14ac:dyDescent="0.3">
      <c r="B141" s="24"/>
      <c r="C141" s="37"/>
      <c r="D141" s="37"/>
      <c r="E141" s="37"/>
      <c r="F141" s="35"/>
      <c r="G141" s="35"/>
      <c r="H141" s="35"/>
      <c r="I141" s="35"/>
      <c r="J141" s="35"/>
      <c r="K141" s="35"/>
      <c r="L141" s="35"/>
      <c r="M141" s="31"/>
      <c r="N141" s="32"/>
      <c r="O141" s="32"/>
      <c r="P141" s="32"/>
      <c r="Q141" s="32"/>
      <c r="R141" s="32"/>
      <c r="S141" s="32"/>
      <c r="T141" s="32"/>
      <c r="U141" s="29"/>
      <c r="V141" s="29"/>
      <c r="W141" s="24"/>
      <c r="X141" s="18"/>
      <c r="Y141" s="18"/>
      <c r="Z141" s="18"/>
      <c r="AA141" s="18"/>
      <c r="AB141" s="18"/>
      <c r="AC141" s="18"/>
      <c r="AD141" s="18"/>
      <c r="AE141" s="19"/>
      <c r="AF141" s="20"/>
      <c r="AG141" s="21"/>
      <c r="AH141" s="21"/>
      <c r="AI141" s="19"/>
      <c r="AJ141" s="29"/>
      <c r="AK141" s="29"/>
      <c r="AL141" s="29"/>
    </row>
    <row r="142" spans="2:38" s="28" customFormat="1" x14ac:dyDescent="0.3">
      <c r="B142" s="24"/>
      <c r="C142" s="37"/>
      <c r="D142" s="37"/>
      <c r="E142" s="37"/>
      <c r="F142" s="35"/>
      <c r="G142" s="35"/>
      <c r="H142" s="35"/>
      <c r="I142" s="35"/>
      <c r="J142" s="35"/>
      <c r="K142" s="35"/>
      <c r="L142" s="35"/>
      <c r="M142" s="31"/>
      <c r="N142" s="32"/>
      <c r="O142" s="32"/>
      <c r="P142" s="32"/>
      <c r="Q142" s="32"/>
      <c r="R142" s="32"/>
      <c r="S142" s="32"/>
      <c r="T142" s="32"/>
      <c r="U142" s="29"/>
      <c r="V142" s="29"/>
      <c r="W142" s="24"/>
      <c r="X142" s="18"/>
      <c r="Y142" s="18"/>
      <c r="Z142" s="18"/>
      <c r="AA142" s="18"/>
      <c r="AB142" s="18"/>
      <c r="AC142" s="18"/>
      <c r="AD142" s="18"/>
      <c r="AE142" s="19"/>
      <c r="AF142" s="20"/>
      <c r="AG142" s="21"/>
      <c r="AH142" s="21"/>
      <c r="AI142" s="19"/>
      <c r="AJ142" s="29"/>
      <c r="AK142" s="29"/>
      <c r="AL142" s="29"/>
    </row>
    <row r="143" spans="2:38" s="28" customFormat="1" x14ac:dyDescent="0.3">
      <c r="B143" s="24"/>
      <c r="C143" s="37"/>
      <c r="D143" s="37"/>
      <c r="E143" s="37"/>
      <c r="F143" s="35"/>
      <c r="G143" s="35"/>
      <c r="H143" s="35"/>
      <c r="I143" s="35"/>
      <c r="J143" s="35"/>
      <c r="K143" s="35"/>
      <c r="L143" s="35"/>
      <c r="M143" s="31"/>
      <c r="N143" s="32"/>
      <c r="O143" s="32"/>
      <c r="P143" s="32"/>
      <c r="Q143" s="32"/>
      <c r="R143" s="32"/>
      <c r="S143" s="32"/>
      <c r="T143" s="32"/>
      <c r="U143" s="29"/>
      <c r="V143" s="29"/>
      <c r="W143" s="24"/>
      <c r="X143" s="18"/>
      <c r="Y143" s="18"/>
      <c r="Z143" s="18"/>
      <c r="AA143" s="18"/>
      <c r="AB143" s="18"/>
      <c r="AC143" s="18"/>
      <c r="AD143" s="18"/>
      <c r="AE143" s="19"/>
      <c r="AF143" s="20"/>
      <c r="AG143" s="21"/>
      <c r="AH143" s="21"/>
      <c r="AI143" s="19"/>
      <c r="AJ143" s="29"/>
      <c r="AK143" s="29"/>
      <c r="AL143" s="29"/>
    </row>
    <row r="144" spans="2:38" s="28" customFormat="1" x14ac:dyDescent="0.3">
      <c r="B144" s="24"/>
      <c r="C144" s="37"/>
      <c r="D144" s="37"/>
      <c r="E144" s="37"/>
      <c r="F144" s="35"/>
      <c r="G144" s="35"/>
      <c r="H144" s="35"/>
      <c r="I144" s="35"/>
      <c r="J144" s="35"/>
      <c r="K144" s="35"/>
      <c r="L144" s="35"/>
      <c r="M144" s="31"/>
      <c r="N144" s="32"/>
      <c r="O144" s="32"/>
      <c r="P144" s="32"/>
      <c r="Q144" s="32"/>
      <c r="R144" s="32"/>
      <c r="S144" s="32"/>
      <c r="T144" s="32"/>
      <c r="U144" s="29"/>
      <c r="V144" s="29"/>
      <c r="W144" s="24"/>
      <c r="X144" s="18"/>
      <c r="Y144" s="18"/>
      <c r="Z144" s="18"/>
      <c r="AA144" s="18"/>
      <c r="AB144" s="18"/>
      <c r="AC144" s="18"/>
      <c r="AD144" s="18"/>
      <c r="AE144" s="19"/>
      <c r="AF144" s="20"/>
      <c r="AG144" s="21"/>
      <c r="AH144" s="21"/>
      <c r="AI144" s="19"/>
      <c r="AJ144" s="29"/>
      <c r="AK144" s="29"/>
      <c r="AL144" s="29"/>
    </row>
    <row r="145" spans="2:38" s="28" customFormat="1" x14ac:dyDescent="0.3">
      <c r="B145" s="24"/>
      <c r="C145" s="37"/>
      <c r="D145" s="37"/>
      <c r="E145" s="37"/>
      <c r="F145" s="35"/>
      <c r="G145" s="35"/>
      <c r="H145" s="35"/>
      <c r="I145" s="35"/>
      <c r="J145" s="35"/>
      <c r="K145" s="35"/>
      <c r="L145" s="35"/>
      <c r="M145" s="31"/>
      <c r="N145" s="32"/>
      <c r="O145" s="32"/>
      <c r="P145" s="32"/>
      <c r="Q145" s="32"/>
      <c r="R145" s="32"/>
      <c r="S145" s="32"/>
      <c r="T145" s="32"/>
      <c r="U145" s="29"/>
      <c r="V145" s="29"/>
      <c r="W145" s="24"/>
      <c r="X145" s="18"/>
      <c r="Y145" s="18"/>
      <c r="Z145" s="18"/>
      <c r="AA145" s="18"/>
      <c r="AB145" s="18"/>
      <c r="AC145" s="18"/>
      <c r="AD145" s="18"/>
      <c r="AE145" s="19"/>
      <c r="AF145" s="20"/>
      <c r="AG145" s="21"/>
      <c r="AH145" s="21"/>
      <c r="AI145" s="19"/>
      <c r="AJ145" s="29"/>
      <c r="AK145" s="29"/>
      <c r="AL145" s="29"/>
    </row>
    <row r="146" spans="2:38" s="28" customFormat="1" x14ac:dyDescent="0.3">
      <c r="B146" s="24"/>
      <c r="C146" s="37"/>
      <c r="D146" s="37"/>
      <c r="E146" s="37"/>
      <c r="F146" s="35"/>
      <c r="G146" s="35"/>
      <c r="H146" s="35"/>
      <c r="I146" s="35"/>
      <c r="J146" s="35"/>
      <c r="K146" s="35"/>
      <c r="L146" s="35"/>
      <c r="M146" s="31"/>
      <c r="N146" s="32"/>
      <c r="O146" s="32"/>
      <c r="P146" s="32"/>
      <c r="Q146" s="32"/>
      <c r="R146" s="32"/>
      <c r="S146" s="32"/>
      <c r="T146" s="32"/>
      <c r="U146" s="29"/>
      <c r="V146" s="29"/>
      <c r="W146" s="24"/>
      <c r="X146" s="18"/>
      <c r="Y146" s="18"/>
      <c r="Z146" s="18"/>
      <c r="AA146" s="18"/>
      <c r="AB146" s="18"/>
      <c r="AC146" s="18"/>
      <c r="AD146" s="18"/>
      <c r="AE146" s="19"/>
      <c r="AF146" s="20"/>
      <c r="AG146" s="21"/>
      <c r="AH146" s="21"/>
      <c r="AI146" s="19"/>
      <c r="AJ146" s="29"/>
      <c r="AK146" s="29"/>
      <c r="AL146" s="29"/>
    </row>
    <row r="147" spans="2:38" s="28" customFormat="1" x14ac:dyDescent="0.3">
      <c r="B147" s="24"/>
      <c r="C147" s="37"/>
      <c r="D147" s="37"/>
      <c r="E147" s="37"/>
      <c r="F147" s="35"/>
      <c r="G147" s="35"/>
      <c r="H147" s="35"/>
      <c r="I147" s="35"/>
      <c r="J147" s="35"/>
      <c r="K147" s="35"/>
      <c r="L147" s="35"/>
      <c r="M147" s="31"/>
      <c r="N147" s="32"/>
      <c r="O147" s="32"/>
      <c r="P147" s="32"/>
      <c r="Q147" s="32"/>
      <c r="R147" s="32"/>
      <c r="S147" s="32"/>
      <c r="T147" s="32"/>
      <c r="U147" s="29"/>
      <c r="V147" s="29"/>
      <c r="W147" s="24"/>
      <c r="X147" s="18"/>
      <c r="Y147" s="18"/>
      <c r="Z147" s="18"/>
      <c r="AA147" s="18"/>
      <c r="AB147" s="18"/>
      <c r="AC147" s="18"/>
      <c r="AD147" s="18"/>
      <c r="AE147" s="19"/>
      <c r="AF147" s="20"/>
      <c r="AG147" s="21"/>
      <c r="AH147" s="21"/>
      <c r="AI147" s="19"/>
      <c r="AJ147" s="29"/>
      <c r="AK147" s="29"/>
      <c r="AL147" s="29"/>
    </row>
    <row r="148" spans="2:38" s="28" customFormat="1" x14ac:dyDescent="0.3">
      <c r="B148" s="24"/>
      <c r="C148" s="37"/>
      <c r="D148" s="37"/>
      <c r="E148" s="37"/>
      <c r="F148" s="35"/>
      <c r="G148" s="35"/>
      <c r="H148" s="35"/>
      <c r="I148" s="35"/>
      <c r="J148" s="35"/>
      <c r="K148" s="35"/>
      <c r="L148" s="35"/>
      <c r="M148" s="31"/>
      <c r="N148" s="32"/>
      <c r="O148" s="32"/>
      <c r="P148" s="32"/>
      <c r="Q148" s="32"/>
      <c r="R148" s="32"/>
      <c r="S148" s="32"/>
      <c r="T148" s="32"/>
      <c r="U148" s="29"/>
      <c r="V148" s="29"/>
      <c r="W148" s="24"/>
      <c r="X148" s="18"/>
      <c r="Y148" s="18"/>
      <c r="Z148" s="18"/>
      <c r="AA148" s="18"/>
      <c r="AB148" s="18"/>
      <c r="AC148" s="18"/>
      <c r="AD148" s="18"/>
      <c r="AE148" s="19"/>
      <c r="AF148" s="20"/>
      <c r="AG148" s="21"/>
      <c r="AH148" s="21"/>
      <c r="AI148" s="19"/>
      <c r="AJ148" s="29"/>
      <c r="AK148" s="29"/>
      <c r="AL148" s="29"/>
    </row>
    <row r="149" spans="2:38" s="28" customFormat="1" x14ac:dyDescent="0.3">
      <c r="B149" s="24"/>
      <c r="C149" s="37"/>
      <c r="D149" s="37"/>
      <c r="E149" s="37"/>
      <c r="F149" s="35"/>
      <c r="G149" s="35"/>
      <c r="H149" s="35"/>
      <c r="I149" s="35"/>
      <c r="J149" s="35"/>
      <c r="K149" s="35"/>
      <c r="L149" s="35"/>
      <c r="M149" s="31"/>
      <c r="N149" s="32"/>
      <c r="O149" s="32"/>
      <c r="P149" s="32"/>
      <c r="Q149" s="32"/>
      <c r="R149" s="32"/>
      <c r="S149" s="32"/>
      <c r="T149" s="32"/>
      <c r="U149" s="29"/>
      <c r="V149" s="29"/>
      <c r="W149" s="24"/>
      <c r="X149" s="18"/>
      <c r="Y149" s="18"/>
      <c r="Z149" s="18"/>
      <c r="AA149" s="18"/>
      <c r="AB149" s="18"/>
      <c r="AC149" s="18"/>
      <c r="AD149" s="18"/>
      <c r="AE149" s="19"/>
      <c r="AF149" s="20"/>
      <c r="AG149" s="21"/>
      <c r="AH149" s="21"/>
      <c r="AI149" s="19"/>
      <c r="AJ149" s="29"/>
      <c r="AK149" s="29"/>
      <c r="AL149" s="29"/>
    </row>
    <row r="150" spans="2:38" s="28" customFormat="1" x14ac:dyDescent="0.3">
      <c r="B150" s="24"/>
      <c r="C150" s="37"/>
      <c r="D150" s="37"/>
      <c r="E150" s="37"/>
      <c r="F150" s="35"/>
      <c r="G150" s="35"/>
      <c r="H150" s="35"/>
      <c r="I150" s="35"/>
      <c r="J150" s="35"/>
      <c r="K150" s="35"/>
      <c r="L150" s="35"/>
      <c r="M150" s="31"/>
      <c r="N150" s="32"/>
      <c r="O150" s="32"/>
      <c r="P150" s="32"/>
      <c r="Q150" s="32"/>
      <c r="R150" s="32"/>
      <c r="S150" s="32"/>
      <c r="T150" s="32"/>
      <c r="U150" s="29"/>
      <c r="V150" s="29"/>
      <c r="W150" s="24"/>
      <c r="X150" s="18"/>
      <c r="Y150" s="18"/>
      <c r="Z150" s="18"/>
      <c r="AA150" s="18"/>
      <c r="AB150" s="18"/>
      <c r="AC150" s="18"/>
      <c r="AD150" s="18"/>
      <c r="AE150" s="19"/>
      <c r="AF150" s="20"/>
      <c r="AG150" s="21"/>
      <c r="AH150" s="21"/>
      <c r="AI150" s="19"/>
      <c r="AJ150" s="29"/>
      <c r="AK150" s="29"/>
      <c r="AL150" s="29"/>
    </row>
    <row r="151" spans="2:38" s="28" customFormat="1" x14ac:dyDescent="0.3">
      <c r="B151" s="24"/>
      <c r="C151" s="37"/>
      <c r="D151" s="37"/>
      <c r="E151" s="37"/>
      <c r="F151" s="35"/>
      <c r="G151" s="35"/>
      <c r="H151" s="35"/>
      <c r="I151" s="35"/>
      <c r="J151" s="35"/>
      <c r="K151" s="35"/>
      <c r="L151" s="35"/>
      <c r="M151" s="31"/>
      <c r="N151" s="32"/>
      <c r="O151" s="32"/>
      <c r="P151" s="32"/>
      <c r="Q151" s="32"/>
      <c r="R151" s="32"/>
      <c r="S151" s="32"/>
      <c r="T151" s="32"/>
      <c r="U151" s="29"/>
      <c r="V151" s="29"/>
      <c r="W151" s="24"/>
      <c r="X151" s="18"/>
      <c r="Y151" s="18"/>
      <c r="Z151" s="18"/>
      <c r="AA151" s="18"/>
      <c r="AB151" s="18"/>
      <c r="AC151" s="18"/>
      <c r="AD151" s="18"/>
      <c r="AE151" s="19"/>
      <c r="AF151" s="20"/>
      <c r="AG151" s="21"/>
      <c r="AH151" s="21"/>
      <c r="AI151" s="19"/>
      <c r="AJ151" s="29"/>
      <c r="AK151" s="29"/>
      <c r="AL151" s="29"/>
    </row>
    <row r="152" spans="2:38" s="28" customFormat="1" x14ac:dyDescent="0.3">
      <c r="B152" s="24"/>
      <c r="C152" s="37"/>
      <c r="D152" s="37"/>
      <c r="E152" s="37"/>
      <c r="F152" s="35"/>
      <c r="G152" s="35"/>
      <c r="H152" s="35"/>
      <c r="I152" s="35"/>
      <c r="J152" s="35"/>
      <c r="K152" s="35"/>
      <c r="L152" s="35"/>
      <c r="M152" s="31"/>
      <c r="N152" s="32"/>
      <c r="O152" s="32"/>
      <c r="P152" s="32"/>
      <c r="Q152" s="32"/>
      <c r="R152" s="32"/>
      <c r="S152" s="32"/>
      <c r="T152" s="32"/>
      <c r="U152" s="29"/>
      <c r="V152" s="29"/>
      <c r="W152" s="24"/>
      <c r="X152" s="18"/>
      <c r="Y152" s="18"/>
      <c r="Z152" s="18"/>
      <c r="AA152" s="18"/>
      <c r="AB152" s="18"/>
      <c r="AC152" s="18"/>
      <c r="AD152" s="18"/>
      <c r="AE152" s="19"/>
      <c r="AF152" s="20"/>
      <c r="AG152" s="21"/>
      <c r="AH152" s="21"/>
      <c r="AI152" s="19"/>
      <c r="AJ152" s="29"/>
      <c r="AK152" s="29"/>
      <c r="AL152" s="29"/>
    </row>
    <row r="153" spans="2:38" s="28" customFormat="1" x14ac:dyDescent="0.3">
      <c r="B153" s="24"/>
      <c r="C153" s="37"/>
      <c r="D153" s="37"/>
      <c r="E153" s="37"/>
      <c r="F153" s="35"/>
      <c r="G153" s="35"/>
      <c r="H153" s="35"/>
      <c r="I153" s="35"/>
      <c r="J153" s="35"/>
      <c r="K153" s="35"/>
      <c r="L153" s="35"/>
      <c r="M153" s="31"/>
      <c r="N153" s="32"/>
      <c r="O153" s="32"/>
      <c r="P153" s="32"/>
      <c r="Q153" s="32"/>
      <c r="R153" s="32"/>
      <c r="S153" s="32"/>
      <c r="T153" s="32"/>
      <c r="U153" s="29"/>
      <c r="V153" s="29"/>
      <c r="W153" s="24"/>
      <c r="X153" s="18"/>
      <c r="Y153" s="18"/>
      <c r="Z153" s="18"/>
      <c r="AA153" s="18"/>
      <c r="AB153" s="18"/>
      <c r="AC153" s="18"/>
      <c r="AD153" s="18"/>
      <c r="AE153" s="19"/>
      <c r="AF153" s="20"/>
      <c r="AG153" s="21"/>
      <c r="AH153" s="21"/>
      <c r="AI153" s="19"/>
      <c r="AJ153" s="29"/>
      <c r="AK153" s="29"/>
      <c r="AL153" s="29"/>
    </row>
    <row r="154" spans="2:38" s="28" customFormat="1" x14ac:dyDescent="0.3">
      <c r="B154" s="24"/>
      <c r="C154" s="37"/>
      <c r="D154" s="37"/>
      <c r="E154" s="37"/>
      <c r="F154" s="35"/>
      <c r="G154" s="35"/>
      <c r="H154" s="35"/>
      <c r="I154" s="35"/>
      <c r="J154" s="35"/>
      <c r="K154" s="35"/>
      <c r="L154" s="35"/>
      <c r="M154" s="31"/>
      <c r="N154" s="32"/>
      <c r="O154" s="32"/>
      <c r="P154" s="32"/>
      <c r="Q154" s="32"/>
      <c r="R154" s="32"/>
      <c r="S154" s="32"/>
      <c r="T154" s="32"/>
      <c r="U154" s="29"/>
      <c r="V154" s="29"/>
      <c r="W154" s="24"/>
      <c r="X154" s="18"/>
      <c r="Y154" s="18"/>
      <c r="Z154" s="18"/>
      <c r="AA154" s="18"/>
      <c r="AB154" s="18"/>
      <c r="AC154" s="18"/>
      <c r="AD154" s="18"/>
      <c r="AE154" s="19"/>
      <c r="AF154" s="20"/>
      <c r="AG154" s="21"/>
      <c r="AH154" s="21"/>
      <c r="AI154" s="19"/>
      <c r="AJ154" s="29"/>
      <c r="AK154" s="29"/>
      <c r="AL154" s="29"/>
    </row>
    <row r="155" spans="2:38" s="28" customFormat="1" x14ac:dyDescent="0.3">
      <c r="B155" s="24"/>
      <c r="C155" s="37"/>
      <c r="D155" s="37"/>
      <c r="E155" s="37"/>
      <c r="F155" s="35"/>
      <c r="G155" s="35"/>
      <c r="H155" s="35"/>
      <c r="I155" s="35"/>
      <c r="J155" s="35"/>
      <c r="K155" s="35"/>
      <c r="L155" s="35"/>
      <c r="M155" s="31"/>
      <c r="N155" s="32"/>
      <c r="O155" s="32"/>
      <c r="P155" s="32"/>
      <c r="Q155" s="32"/>
      <c r="R155" s="32"/>
      <c r="S155" s="32"/>
      <c r="T155" s="32"/>
      <c r="U155" s="29"/>
      <c r="V155" s="29"/>
      <c r="W155" s="24"/>
      <c r="X155" s="18"/>
      <c r="Y155" s="18"/>
      <c r="Z155" s="18"/>
      <c r="AA155" s="18"/>
      <c r="AB155" s="18"/>
      <c r="AC155" s="18"/>
      <c r="AD155" s="18"/>
      <c r="AE155" s="19"/>
      <c r="AF155" s="20"/>
      <c r="AG155" s="21"/>
      <c r="AH155" s="21"/>
      <c r="AI155" s="19"/>
      <c r="AJ155" s="29"/>
      <c r="AK155" s="29"/>
      <c r="AL155" s="29"/>
    </row>
    <row r="156" spans="2:38" s="28" customFormat="1" x14ac:dyDescent="0.3">
      <c r="B156" s="24"/>
      <c r="C156" s="37"/>
      <c r="D156" s="37"/>
      <c r="E156" s="37"/>
      <c r="F156" s="35"/>
      <c r="G156" s="35"/>
      <c r="H156" s="35"/>
      <c r="I156" s="35"/>
      <c r="J156" s="35"/>
      <c r="K156" s="35"/>
      <c r="L156" s="35"/>
      <c r="M156" s="31"/>
      <c r="N156" s="32"/>
      <c r="O156" s="32"/>
      <c r="P156" s="32"/>
      <c r="Q156" s="32"/>
      <c r="R156" s="32"/>
      <c r="S156" s="32"/>
      <c r="T156" s="32"/>
      <c r="U156" s="29"/>
      <c r="V156" s="29"/>
      <c r="W156" s="24"/>
      <c r="X156" s="18"/>
      <c r="Y156" s="18"/>
      <c r="Z156" s="18"/>
      <c r="AA156" s="18"/>
      <c r="AB156" s="18"/>
      <c r="AC156" s="18"/>
      <c r="AD156" s="18"/>
      <c r="AE156" s="19"/>
      <c r="AF156" s="20"/>
      <c r="AG156" s="21"/>
      <c r="AH156" s="21"/>
      <c r="AI156" s="19"/>
      <c r="AJ156" s="29"/>
      <c r="AK156" s="29"/>
      <c r="AL156" s="29"/>
    </row>
    <row r="157" spans="2:38" s="28" customFormat="1" x14ac:dyDescent="0.3">
      <c r="B157" s="24"/>
      <c r="C157" s="37"/>
      <c r="D157" s="37"/>
      <c r="E157" s="37"/>
      <c r="F157" s="35"/>
      <c r="G157" s="35"/>
      <c r="H157" s="35"/>
      <c r="I157" s="35"/>
      <c r="J157" s="35"/>
      <c r="K157" s="35"/>
      <c r="L157" s="35"/>
      <c r="M157" s="31"/>
      <c r="N157" s="32"/>
      <c r="O157" s="32"/>
      <c r="P157" s="32"/>
      <c r="Q157" s="32"/>
      <c r="R157" s="32"/>
      <c r="S157" s="32"/>
      <c r="T157" s="32"/>
      <c r="U157" s="29"/>
      <c r="V157" s="29"/>
      <c r="W157" s="24"/>
      <c r="X157" s="18"/>
      <c r="Y157" s="18"/>
      <c r="Z157" s="18"/>
      <c r="AA157" s="18"/>
      <c r="AB157" s="18"/>
      <c r="AC157" s="18"/>
      <c r="AD157" s="18"/>
      <c r="AE157" s="19"/>
      <c r="AF157" s="20"/>
      <c r="AG157" s="21"/>
      <c r="AH157" s="21"/>
      <c r="AI157" s="19"/>
      <c r="AJ157" s="29"/>
      <c r="AK157" s="29"/>
      <c r="AL157" s="29"/>
    </row>
    <row r="158" spans="2:38" s="28" customFormat="1" x14ac:dyDescent="0.3">
      <c r="B158" s="24"/>
      <c r="C158" s="37"/>
      <c r="D158" s="37"/>
      <c r="E158" s="37"/>
      <c r="F158" s="35"/>
      <c r="G158" s="35"/>
      <c r="H158" s="35"/>
      <c r="I158" s="35"/>
      <c r="J158" s="35"/>
      <c r="K158" s="35"/>
      <c r="L158" s="35"/>
      <c r="M158" s="31"/>
      <c r="N158" s="32"/>
      <c r="O158" s="32"/>
      <c r="P158" s="32"/>
      <c r="Q158" s="32"/>
      <c r="R158" s="32"/>
      <c r="S158" s="32"/>
      <c r="T158" s="32"/>
      <c r="U158" s="29"/>
      <c r="V158" s="29"/>
      <c r="W158" s="24"/>
      <c r="X158" s="18"/>
      <c r="Y158" s="18"/>
      <c r="Z158" s="18"/>
      <c r="AA158" s="18"/>
      <c r="AB158" s="18"/>
      <c r="AC158" s="18"/>
      <c r="AD158" s="18"/>
      <c r="AE158" s="19"/>
      <c r="AF158" s="20"/>
      <c r="AG158" s="21"/>
      <c r="AH158" s="21"/>
      <c r="AI158" s="19"/>
      <c r="AJ158" s="29"/>
      <c r="AK158" s="29"/>
      <c r="AL158" s="29"/>
    </row>
    <row r="159" spans="2:38" s="28" customFormat="1" x14ac:dyDescent="0.3">
      <c r="B159" s="24"/>
      <c r="C159" s="37"/>
      <c r="D159" s="37"/>
      <c r="E159" s="37"/>
      <c r="F159" s="35"/>
      <c r="G159" s="35"/>
      <c r="H159" s="35"/>
      <c r="I159" s="35"/>
      <c r="J159" s="35"/>
      <c r="K159" s="35"/>
      <c r="L159" s="35"/>
      <c r="M159" s="31"/>
      <c r="N159" s="32"/>
      <c r="O159" s="32"/>
      <c r="P159" s="32"/>
      <c r="Q159" s="32"/>
      <c r="R159" s="32"/>
      <c r="S159" s="32"/>
      <c r="T159" s="32"/>
      <c r="U159" s="29"/>
      <c r="V159" s="29"/>
      <c r="W159" s="24"/>
      <c r="X159" s="18"/>
      <c r="Y159" s="18"/>
      <c r="Z159" s="18"/>
      <c r="AA159" s="18"/>
      <c r="AB159" s="18"/>
      <c r="AC159" s="18"/>
      <c r="AD159" s="18"/>
      <c r="AE159" s="19"/>
      <c r="AF159" s="20"/>
      <c r="AG159" s="21"/>
      <c r="AH159" s="21"/>
      <c r="AI159" s="19"/>
      <c r="AJ159" s="29"/>
      <c r="AK159" s="29"/>
      <c r="AL159" s="29"/>
    </row>
    <row r="160" spans="2:38" s="28" customFormat="1" x14ac:dyDescent="0.3">
      <c r="B160" s="24"/>
      <c r="C160" s="37"/>
      <c r="D160" s="37"/>
      <c r="E160" s="37"/>
      <c r="F160" s="35"/>
      <c r="G160" s="35"/>
      <c r="H160" s="35"/>
      <c r="I160" s="35"/>
      <c r="J160" s="35"/>
      <c r="K160" s="35"/>
      <c r="L160" s="35"/>
      <c r="M160" s="31"/>
      <c r="N160" s="32"/>
      <c r="O160" s="32"/>
      <c r="P160" s="32"/>
      <c r="Q160" s="32"/>
      <c r="R160" s="32"/>
      <c r="S160" s="32"/>
      <c r="T160" s="32"/>
      <c r="U160" s="29"/>
      <c r="V160" s="29"/>
      <c r="W160" s="24"/>
      <c r="X160" s="18"/>
      <c r="Y160" s="18"/>
      <c r="Z160" s="18"/>
      <c r="AA160" s="18"/>
      <c r="AB160" s="18"/>
      <c r="AC160" s="18"/>
      <c r="AD160" s="18"/>
      <c r="AE160" s="19"/>
      <c r="AF160" s="20"/>
      <c r="AG160" s="21"/>
      <c r="AH160" s="21"/>
      <c r="AI160" s="19"/>
      <c r="AJ160" s="29"/>
      <c r="AK160" s="29"/>
      <c r="AL160" s="29"/>
    </row>
    <row r="161" spans="2:38" s="28" customFormat="1" x14ac:dyDescent="0.3">
      <c r="B161" s="24"/>
      <c r="C161" s="37"/>
      <c r="D161" s="37"/>
      <c r="E161" s="37"/>
      <c r="F161" s="35"/>
      <c r="G161" s="35"/>
      <c r="H161" s="35"/>
      <c r="I161" s="35"/>
      <c r="J161" s="35"/>
      <c r="K161" s="35"/>
      <c r="L161" s="35"/>
      <c r="M161" s="31"/>
      <c r="N161" s="32"/>
      <c r="O161" s="32"/>
      <c r="P161" s="32"/>
      <c r="Q161" s="32"/>
      <c r="R161" s="32"/>
      <c r="S161" s="32"/>
      <c r="T161" s="32"/>
      <c r="U161" s="29"/>
      <c r="V161" s="29"/>
      <c r="W161" s="24"/>
      <c r="X161" s="18"/>
      <c r="Y161" s="18"/>
      <c r="Z161" s="18"/>
      <c r="AA161" s="18"/>
      <c r="AB161" s="18"/>
      <c r="AC161" s="18"/>
      <c r="AD161" s="18"/>
      <c r="AE161" s="19"/>
      <c r="AF161" s="20"/>
      <c r="AG161" s="21"/>
      <c r="AH161" s="21"/>
      <c r="AI161" s="19"/>
      <c r="AJ161" s="29"/>
      <c r="AK161" s="29"/>
      <c r="AL161" s="29"/>
    </row>
    <row r="162" spans="2:38" s="28" customFormat="1" x14ac:dyDescent="0.3">
      <c r="B162" s="24"/>
      <c r="C162" s="37"/>
      <c r="D162" s="37"/>
      <c r="E162" s="37"/>
      <c r="F162" s="35"/>
      <c r="G162" s="35"/>
      <c r="H162" s="35"/>
      <c r="I162" s="35"/>
      <c r="J162" s="35"/>
      <c r="K162" s="35"/>
      <c r="L162" s="35"/>
      <c r="M162" s="31"/>
      <c r="N162" s="32"/>
      <c r="O162" s="32"/>
      <c r="P162" s="32"/>
      <c r="Q162" s="32"/>
      <c r="R162" s="32"/>
      <c r="S162" s="32"/>
      <c r="T162" s="32"/>
      <c r="U162" s="29"/>
      <c r="V162" s="29"/>
      <c r="W162" s="24"/>
      <c r="X162" s="18"/>
      <c r="Y162" s="18"/>
      <c r="Z162" s="18"/>
      <c r="AA162" s="18"/>
      <c r="AB162" s="18"/>
      <c r="AC162" s="18"/>
      <c r="AD162" s="18"/>
      <c r="AE162" s="19"/>
      <c r="AF162" s="20"/>
      <c r="AG162" s="21"/>
      <c r="AH162" s="21"/>
      <c r="AI162" s="19"/>
      <c r="AJ162" s="29"/>
      <c r="AK162" s="29"/>
      <c r="AL162" s="29"/>
    </row>
    <row r="163" spans="2:38" s="28" customFormat="1" x14ac:dyDescent="0.3">
      <c r="B163" s="24"/>
      <c r="C163" s="37"/>
      <c r="D163" s="37"/>
      <c r="E163" s="37"/>
      <c r="F163" s="35"/>
      <c r="G163" s="35"/>
      <c r="H163" s="35"/>
      <c r="I163" s="35"/>
      <c r="J163" s="35"/>
      <c r="K163" s="35"/>
      <c r="L163" s="35"/>
      <c r="M163" s="31"/>
      <c r="N163" s="32"/>
      <c r="O163" s="32"/>
      <c r="P163" s="32"/>
      <c r="Q163" s="32"/>
      <c r="R163" s="32"/>
      <c r="S163" s="32"/>
      <c r="T163" s="32"/>
      <c r="U163" s="29"/>
      <c r="V163" s="29"/>
      <c r="W163" s="24"/>
      <c r="X163" s="18"/>
      <c r="Y163" s="18"/>
      <c r="Z163" s="18"/>
      <c r="AA163" s="18"/>
      <c r="AB163" s="18"/>
      <c r="AC163" s="18"/>
      <c r="AD163" s="18"/>
      <c r="AE163" s="19"/>
      <c r="AF163" s="20"/>
      <c r="AG163" s="21"/>
      <c r="AH163" s="21"/>
      <c r="AI163" s="19"/>
      <c r="AJ163" s="29"/>
      <c r="AK163" s="29"/>
      <c r="AL163" s="29"/>
    </row>
    <row r="164" spans="2:38" s="28" customFormat="1" x14ac:dyDescent="0.3">
      <c r="B164" s="24"/>
      <c r="C164" s="37"/>
      <c r="D164" s="37"/>
      <c r="E164" s="37"/>
      <c r="F164" s="35"/>
      <c r="G164" s="35"/>
      <c r="H164" s="35"/>
      <c r="I164" s="35"/>
      <c r="J164" s="35"/>
      <c r="K164" s="35"/>
      <c r="L164" s="35"/>
      <c r="M164" s="31"/>
      <c r="N164" s="32"/>
      <c r="O164" s="32"/>
      <c r="P164" s="32"/>
      <c r="Q164" s="32"/>
      <c r="R164" s="32"/>
      <c r="S164" s="32"/>
      <c r="T164" s="32"/>
      <c r="U164" s="29"/>
      <c r="V164" s="29"/>
      <c r="W164" s="24"/>
      <c r="X164" s="18"/>
      <c r="Y164" s="18"/>
      <c r="Z164" s="18"/>
      <c r="AA164" s="18"/>
      <c r="AB164" s="18"/>
      <c r="AC164" s="18"/>
      <c r="AD164" s="18"/>
      <c r="AE164" s="19"/>
      <c r="AF164" s="20"/>
      <c r="AG164" s="21"/>
      <c r="AH164" s="21"/>
      <c r="AI164" s="19"/>
      <c r="AJ164" s="29"/>
      <c r="AK164" s="29"/>
      <c r="AL164" s="29"/>
    </row>
    <row r="165" spans="2:38" s="28" customFormat="1" x14ac:dyDescent="0.3">
      <c r="B165" s="24"/>
      <c r="C165" s="37"/>
      <c r="D165" s="37"/>
      <c r="E165" s="37"/>
      <c r="F165" s="35"/>
      <c r="G165" s="35"/>
      <c r="H165" s="35"/>
      <c r="I165" s="35"/>
      <c r="J165" s="35"/>
      <c r="K165" s="35"/>
      <c r="L165" s="35"/>
      <c r="M165" s="31"/>
      <c r="N165" s="32"/>
      <c r="O165" s="32"/>
      <c r="P165" s="32"/>
      <c r="Q165" s="32"/>
      <c r="R165" s="32"/>
      <c r="S165" s="32"/>
      <c r="T165" s="32"/>
      <c r="U165" s="29"/>
      <c r="V165" s="29"/>
      <c r="W165" s="24"/>
      <c r="X165" s="18"/>
      <c r="Y165" s="18"/>
      <c r="Z165" s="18"/>
      <c r="AA165" s="18"/>
      <c r="AB165" s="18"/>
      <c r="AC165" s="18"/>
      <c r="AD165" s="18"/>
      <c r="AE165" s="19"/>
      <c r="AF165" s="20"/>
      <c r="AG165" s="21"/>
      <c r="AH165" s="21"/>
      <c r="AI165" s="19"/>
      <c r="AJ165" s="29"/>
      <c r="AK165" s="29"/>
      <c r="AL165" s="29"/>
    </row>
    <row r="166" spans="2:38" s="28" customFormat="1" x14ac:dyDescent="0.3">
      <c r="B166" s="24"/>
      <c r="C166" s="37"/>
      <c r="D166" s="37"/>
      <c r="E166" s="37"/>
      <c r="F166" s="35"/>
      <c r="G166" s="35"/>
      <c r="H166" s="35"/>
      <c r="I166" s="35"/>
      <c r="J166" s="35"/>
      <c r="K166" s="35"/>
      <c r="L166" s="35"/>
      <c r="M166" s="31"/>
      <c r="N166" s="32"/>
      <c r="O166" s="32"/>
      <c r="P166" s="32"/>
      <c r="Q166" s="32"/>
      <c r="R166" s="32"/>
      <c r="S166" s="32"/>
      <c r="T166" s="32"/>
      <c r="U166" s="29"/>
      <c r="V166" s="29"/>
      <c r="W166" s="24"/>
      <c r="X166" s="18"/>
      <c r="Y166" s="18"/>
      <c r="Z166" s="18"/>
      <c r="AA166" s="18"/>
      <c r="AB166" s="18"/>
      <c r="AC166" s="18"/>
      <c r="AD166" s="18"/>
      <c r="AE166" s="19"/>
      <c r="AF166" s="20"/>
      <c r="AG166" s="21"/>
      <c r="AH166" s="21"/>
      <c r="AI166" s="19"/>
      <c r="AJ166" s="29"/>
      <c r="AK166" s="29"/>
      <c r="AL166" s="29"/>
    </row>
    <row r="167" spans="2:38" s="28" customFormat="1" x14ac:dyDescent="0.3">
      <c r="B167" s="24"/>
      <c r="C167" s="37"/>
      <c r="D167" s="37"/>
      <c r="E167" s="37"/>
      <c r="F167" s="35"/>
      <c r="G167" s="35"/>
      <c r="H167" s="35"/>
      <c r="I167" s="35"/>
      <c r="J167" s="35"/>
      <c r="K167" s="35"/>
      <c r="L167" s="35"/>
      <c r="M167" s="31"/>
      <c r="N167" s="32"/>
      <c r="O167" s="32"/>
      <c r="P167" s="32"/>
      <c r="Q167" s="32"/>
      <c r="R167" s="32"/>
      <c r="S167" s="32"/>
      <c r="T167" s="32"/>
      <c r="U167" s="29"/>
      <c r="V167" s="29"/>
      <c r="W167" s="24"/>
      <c r="X167" s="18"/>
      <c r="Y167" s="18"/>
      <c r="Z167" s="18"/>
      <c r="AA167" s="18"/>
      <c r="AB167" s="18"/>
      <c r="AC167" s="18"/>
      <c r="AD167" s="18"/>
      <c r="AE167" s="19"/>
      <c r="AF167" s="20"/>
      <c r="AG167" s="21"/>
      <c r="AH167" s="21"/>
      <c r="AI167" s="19"/>
      <c r="AJ167" s="29"/>
      <c r="AK167" s="29"/>
      <c r="AL167" s="29"/>
    </row>
    <row r="168" spans="2:38" s="28" customFormat="1" x14ac:dyDescent="0.3">
      <c r="B168" s="24"/>
      <c r="C168" s="37"/>
      <c r="D168" s="37"/>
      <c r="E168" s="37"/>
      <c r="F168" s="35"/>
      <c r="G168" s="35"/>
      <c r="H168" s="35"/>
      <c r="I168" s="35"/>
      <c r="J168" s="35"/>
      <c r="K168" s="35"/>
      <c r="L168" s="35"/>
      <c r="M168" s="31"/>
      <c r="N168" s="32"/>
      <c r="O168" s="32"/>
      <c r="P168" s="32"/>
      <c r="Q168" s="32"/>
      <c r="R168" s="32"/>
      <c r="S168" s="32"/>
      <c r="T168" s="32"/>
      <c r="U168" s="29"/>
      <c r="V168" s="29"/>
      <c r="W168" s="24"/>
      <c r="X168" s="18"/>
      <c r="Y168" s="18"/>
      <c r="Z168" s="18"/>
      <c r="AA168" s="18"/>
      <c r="AB168" s="18"/>
      <c r="AC168" s="18"/>
      <c r="AD168" s="18"/>
      <c r="AE168" s="19"/>
      <c r="AF168" s="20"/>
      <c r="AG168" s="21"/>
      <c r="AH168" s="21"/>
      <c r="AI168" s="19"/>
      <c r="AJ168" s="29"/>
      <c r="AK168" s="29"/>
      <c r="AL168" s="29"/>
    </row>
    <row r="169" spans="2:38" s="28" customFormat="1" x14ac:dyDescent="0.3">
      <c r="B169" s="24"/>
      <c r="C169" s="37"/>
      <c r="D169" s="37"/>
      <c r="E169" s="37"/>
      <c r="F169" s="35"/>
      <c r="G169" s="35"/>
      <c r="H169" s="35"/>
      <c r="I169" s="35"/>
      <c r="J169" s="35"/>
      <c r="K169" s="35"/>
      <c r="L169" s="35"/>
      <c r="M169" s="31"/>
      <c r="N169" s="32"/>
      <c r="O169" s="32"/>
      <c r="P169" s="32"/>
      <c r="Q169" s="32"/>
      <c r="R169" s="32"/>
      <c r="S169" s="32"/>
      <c r="T169" s="32"/>
      <c r="U169" s="29"/>
      <c r="V169" s="29"/>
      <c r="W169" s="24"/>
      <c r="X169" s="18"/>
      <c r="Y169" s="18"/>
      <c r="Z169" s="18"/>
      <c r="AA169" s="18"/>
      <c r="AB169" s="18"/>
      <c r="AC169" s="18"/>
      <c r="AD169" s="18"/>
      <c r="AE169" s="19"/>
      <c r="AF169" s="20"/>
      <c r="AG169" s="21"/>
      <c r="AH169" s="21"/>
      <c r="AI169" s="19"/>
      <c r="AJ169" s="29"/>
      <c r="AK169" s="29"/>
      <c r="AL169" s="29"/>
    </row>
    <row r="170" spans="2:38" s="28" customFormat="1" x14ac:dyDescent="0.3">
      <c r="B170" s="24"/>
      <c r="C170" s="37"/>
      <c r="D170" s="37"/>
      <c r="E170" s="37"/>
      <c r="F170" s="35"/>
      <c r="G170" s="35"/>
      <c r="H170" s="35"/>
      <c r="I170" s="35"/>
      <c r="J170" s="35"/>
      <c r="K170" s="35"/>
      <c r="L170" s="35"/>
      <c r="M170" s="31"/>
      <c r="N170" s="32"/>
      <c r="O170" s="32"/>
      <c r="P170" s="32"/>
      <c r="Q170" s="32"/>
      <c r="R170" s="32"/>
      <c r="S170" s="32"/>
      <c r="T170" s="32"/>
      <c r="U170" s="29"/>
      <c r="V170" s="29"/>
      <c r="W170" s="24"/>
      <c r="X170" s="18"/>
      <c r="Y170" s="18"/>
      <c r="Z170" s="18"/>
      <c r="AA170" s="18"/>
      <c r="AB170" s="18"/>
      <c r="AC170" s="18"/>
      <c r="AD170" s="18"/>
      <c r="AE170" s="19"/>
      <c r="AF170" s="20"/>
      <c r="AG170" s="21"/>
      <c r="AH170" s="21"/>
      <c r="AI170" s="19"/>
      <c r="AJ170" s="29"/>
      <c r="AK170" s="29"/>
      <c r="AL170" s="29"/>
    </row>
    <row r="171" spans="2:38" s="28" customFormat="1" x14ac:dyDescent="0.3">
      <c r="B171" s="24"/>
      <c r="C171" s="37"/>
      <c r="D171" s="37"/>
      <c r="E171" s="37"/>
      <c r="F171" s="35"/>
      <c r="G171" s="35"/>
      <c r="H171" s="35"/>
      <c r="I171" s="35"/>
      <c r="J171" s="35"/>
      <c r="K171" s="35"/>
      <c r="L171" s="35"/>
      <c r="M171" s="31"/>
      <c r="N171" s="32"/>
      <c r="O171" s="32"/>
      <c r="P171" s="32"/>
      <c r="Q171" s="32"/>
      <c r="R171" s="32"/>
      <c r="S171" s="32"/>
      <c r="T171" s="32"/>
      <c r="U171" s="29"/>
      <c r="V171" s="29"/>
      <c r="W171" s="24"/>
      <c r="X171" s="18"/>
      <c r="Y171" s="18"/>
      <c r="Z171" s="18"/>
      <c r="AA171" s="18"/>
      <c r="AB171" s="18"/>
      <c r="AC171" s="18"/>
      <c r="AD171" s="18"/>
      <c r="AE171" s="19"/>
      <c r="AF171" s="20"/>
      <c r="AG171" s="21"/>
      <c r="AH171" s="21"/>
      <c r="AI171" s="19"/>
      <c r="AJ171" s="29"/>
      <c r="AK171" s="29"/>
      <c r="AL171" s="29"/>
    </row>
    <row r="172" spans="2:38" s="28" customFormat="1" x14ac:dyDescent="0.3">
      <c r="B172" s="24"/>
      <c r="C172" s="37"/>
      <c r="D172" s="37"/>
      <c r="E172" s="37"/>
      <c r="F172" s="35"/>
      <c r="G172" s="35"/>
      <c r="H172" s="35"/>
      <c r="I172" s="35"/>
      <c r="J172" s="35"/>
      <c r="K172" s="35"/>
      <c r="L172" s="35"/>
      <c r="M172" s="31"/>
      <c r="N172" s="32"/>
      <c r="O172" s="32"/>
      <c r="P172" s="32"/>
      <c r="Q172" s="32"/>
      <c r="R172" s="32"/>
      <c r="S172" s="32"/>
      <c r="T172" s="32"/>
      <c r="U172" s="29"/>
      <c r="V172" s="29"/>
      <c r="W172" s="24"/>
      <c r="X172" s="18"/>
      <c r="Y172" s="18"/>
      <c r="Z172" s="18"/>
      <c r="AA172" s="18"/>
      <c r="AB172" s="18"/>
      <c r="AC172" s="18"/>
      <c r="AD172" s="18"/>
      <c r="AE172" s="19"/>
      <c r="AF172" s="20"/>
      <c r="AG172" s="21"/>
      <c r="AH172" s="21"/>
      <c r="AI172" s="19"/>
      <c r="AJ172" s="29"/>
      <c r="AK172" s="29"/>
      <c r="AL172" s="29"/>
    </row>
    <row r="173" spans="2:38" s="28" customFormat="1" x14ac:dyDescent="0.3">
      <c r="B173" s="24"/>
      <c r="C173" s="37"/>
      <c r="D173" s="37"/>
      <c r="E173" s="37"/>
      <c r="F173" s="35"/>
      <c r="G173" s="35"/>
      <c r="H173" s="35"/>
      <c r="I173" s="35"/>
      <c r="J173" s="35"/>
      <c r="K173" s="35"/>
      <c r="L173" s="35"/>
      <c r="M173" s="31"/>
      <c r="N173" s="32"/>
      <c r="O173" s="32"/>
      <c r="P173" s="32"/>
      <c r="Q173" s="32"/>
      <c r="R173" s="32"/>
      <c r="S173" s="32"/>
      <c r="T173" s="32"/>
      <c r="U173" s="29"/>
      <c r="V173" s="29"/>
      <c r="W173" s="24"/>
      <c r="X173" s="18"/>
      <c r="Y173" s="18"/>
      <c r="Z173" s="18"/>
      <c r="AA173" s="18"/>
      <c r="AB173" s="18"/>
      <c r="AC173" s="18"/>
      <c r="AD173" s="18"/>
      <c r="AE173" s="19"/>
      <c r="AF173" s="20"/>
      <c r="AG173" s="21"/>
      <c r="AH173" s="21"/>
      <c r="AI173" s="19"/>
      <c r="AJ173" s="29"/>
      <c r="AK173" s="29"/>
      <c r="AL173" s="29"/>
    </row>
    <row r="174" spans="2:38" s="28" customFormat="1" x14ac:dyDescent="0.3">
      <c r="B174" s="24"/>
      <c r="C174" s="37"/>
      <c r="D174" s="37"/>
      <c r="E174" s="37"/>
      <c r="F174" s="35"/>
      <c r="G174" s="35"/>
      <c r="H174" s="35"/>
      <c r="I174" s="35"/>
      <c r="J174" s="35"/>
      <c r="K174" s="35"/>
      <c r="L174" s="35"/>
      <c r="M174" s="31"/>
      <c r="N174" s="32"/>
      <c r="O174" s="32"/>
      <c r="P174" s="32"/>
      <c r="Q174" s="32"/>
      <c r="R174" s="32"/>
      <c r="S174" s="32"/>
      <c r="T174" s="32"/>
      <c r="U174" s="29"/>
      <c r="V174" s="29"/>
      <c r="W174" s="24"/>
      <c r="X174" s="18"/>
      <c r="Y174" s="18"/>
      <c r="Z174" s="18"/>
      <c r="AA174" s="18"/>
      <c r="AB174" s="18"/>
      <c r="AC174" s="18"/>
      <c r="AD174" s="18"/>
      <c r="AE174" s="19"/>
      <c r="AF174" s="20"/>
      <c r="AG174" s="21"/>
      <c r="AH174" s="21"/>
      <c r="AI174" s="19"/>
      <c r="AJ174" s="29"/>
      <c r="AK174" s="29"/>
      <c r="AL174" s="29"/>
    </row>
    <row r="175" spans="2:38" s="28" customFormat="1" x14ac:dyDescent="0.3">
      <c r="B175" s="24"/>
      <c r="C175" s="37"/>
      <c r="D175" s="37"/>
      <c r="E175" s="37"/>
      <c r="F175" s="35"/>
      <c r="G175" s="35"/>
      <c r="H175" s="35"/>
      <c r="I175" s="35"/>
      <c r="J175" s="35"/>
      <c r="K175" s="35"/>
      <c r="L175" s="35"/>
      <c r="M175" s="31"/>
      <c r="N175" s="32"/>
      <c r="O175" s="32"/>
      <c r="P175" s="32"/>
      <c r="Q175" s="32"/>
      <c r="R175" s="32"/>
      <c r="S175" s="32"/>
      <c r="T175" s="32"/>
      <c r="U175" s="29"/>
      <c r="V175" s="29"/>
      <c r="W175" s="24"/>
      <c r="X175" s="18"/>
      <c r="Y175" s="18"/>
      <c r="Z175" s="18"/>
      <c r="AA175" s="18"/>
      <c r="AB175" s="18"/>
      <c r="AC175" s="18"/>
      <c r="AD175" s="18"/>
      <c r="AE175" s="19"/>
      <c r="AF175" s="20"/>
      <c r="AG175" s="21"/>
      <c r="AH175" s="21"/>
      <c r="AI175" s="19"/>
      <c r="AJ175" s="29"/>
      <c r="AK175" s="29"/>
      <c r="AL175" s="29"/>
    </row>
    <row r="176" spans="2:38" s="28" customFormat="1" x14ac:dyDescent="0.3">
      <c r="B176" s="24"/>
      <c r="C176" s="37"/>
      <c r="D176" s="37"/>
      <c r="E176" s="37"/>
      <c r="F176" s="35"/>
      <c r="G176" s="35"/>
      <c r="H176" s="35"/>
      <c r="I176" s="35"/>
      <c r="J176" s="35"/>
      <c r="K176" s="35"/>
      <c r="L176" s="35"/>
      <c r="M176" s="31"/>
      <c r="N176" s="32"/>
      <c r="O176" s="32"/>
      <c r="P176" s="32"/>
      <c r="Q176" s="32"/>
      <c r="R176" s="32"/>
      <c r="S176" s="32"/>
      <c r="T176" s="32"/>
      <c r="U176" s="29"/>
      <c r="V176" s="29"/>
      <c r="W176" s="24"/>
      <c r="X176" s="18"/>
      <c r="Y176" s="18"/>
      <c r="Z176" s="18"/>
      <c r="AA176" s="18"/>
      <c r="AB176" s="18"/>
      <c r="AC176" s="18"/>
      <c r="AD176" s="18"/>
      <c r="AE176" s="19"/>
      <c r="AF176" s="20"/>
      <c r="AG176" s="21"/>
      <c r="AH176" s="21"/>
      <c r="AI176" s="19"/>
      <c r="AJ176" s="29"/>
      <c r="AK176" s="29"/>
      <c r="AL176" s="29"/>
    </row>
    <row r="177" spans="2:38" s="28" customFormat="1" x14ac:dyDescent="0.3">
      <c r="B177" s="24"/>
      <c r="C177" s="37"/>
      <c r="D177" s="37"/>
      <c r="E177" s="37"/>
      <c r="F177" s="35"/>
      <c r="G177" s="35"/>
      <c r="H177" s="35"/>
      <c r="I177" s="35"/>
      <c r="J177" s="35"/>
      <c r="K177" s="35"/>
      <c r="L177" s="35"/>
      <c r="M177" s="31"/>
      <c r="N177" s="32"/>
      <c r="O177" s="32"/>
      <c r="P177" s="32"/>
      <c r="Q177" s="32"/>
      <c r="R177" s="32"/>
      <c r="S177" s="32"/>
      <c r="T177" s="32"/>
      <c r="U177" s="29"/>
      <c r="V177" s="29"/>
      <c r="W177" s="24"/>
      <c r="X177" s="18"/>
      <c r="Y177" s="18"/>
      <c r="Z177" s="18"/>
      <c r="AA177" s="18"/>
      <c r="AB177" s="18"/>
      <c r="AC177" s="18"/>
      <c r="AD177" s="18"/>
      <c r="AE177" s="19"/>
      <c r="AF177" s="20"/>
      <c r="AG177" s="21"/>
      <c r="AH177" s="21"/>
      <c r="AI177" s="19"/>
      <c r="AJ177" s="29"/>
      <c r="AK177" s="29"/>
      <c r="AL177" s="29"/>
    </row>
    <row r="178" spans="2:38" s="28" customFormat="1" x14ac:dyDescent="0.3">
      <c r="B178" s="24"/>
      <c r="C178" s="37"/>
      <c r="D178" s="37"/>
      <c r="E178" s="37"/>
      <c r="F178" s="35"/>
      <c r="G178" s="35"/>
      <c r="H178" s="35"/>
      <c r="I178" s="35"/>
      <c r="J178" s="35"/>
      <c r="K178" s="35"/>
      <c r="L178" s="35"/>
      <c r="M178" s="31"/>
      <c r="N178" s="32"/>
      <c r="O178" s="32"/>
      <c r="P178" s="32"/>
      <c r="Q178" s="32"/>
      <c r="R178" s="32"/>
      <c r="S178" s="32"/>
      <c r="T178" s="32"/>
      <c r="U178" s="29"/>
      <c r="V178" s="29"/>
      <c r="W178" s="24"/>
      <c r="X178" s="18"/>
      <c r="Y178" s="18"/>
      <c r="Z178" s="18"/>
      <c r="AA178" s="18"/>
      <c r="AB178" s="18"/>
      <c r="AC178" s="18"/>
      <c r="AD178" s="18"/>
      <c r="AE178" s="19"/>
      <c r="AF178" s="20"/>
      <c r="AG178" s="21"/>
      <c r="AH178" s="21"/>
      <c r="AI178" s="19"/>
      <c r="AJ178" s="29"/>
      <c r="AK178" s="29"/>
      <c r="AL178" s="29"/>
    </row>
    <row r="179" spans="2:38" s="28" customFormat="1" x14ac:dyDescent="0.3">
      <c r="B179" s="24"/>
      <c r="C179" s="37"/>
      <c r="D179" s="37"/>
      <c r="E179" s="37"/>
      <c r="F179" s="35"/>
      <c r="G179" s="35"/>
      <c r="H179" s="35"/>
      <c r="I179" s="35"/>
      <c r="J179" s="35"/>
      <c r="K179" s="35"/>
      <c r="L179" s="35"/>
      <c r="M179" s="31"/>
      <c r="N179" s="32"/>
      <c r="O179" s="32"/>
      <c r="P179" s="32"/>
      <c r="Q179" s="32"/>
      <c r="R179" s="32"/>
      <c r="S179" s="32"/>
      <c r="T179" s="32"/>
      <c r="U179" s="29"/>
      <c r="V179" s="29"/>
      <c r="W179" s="24"/>
      <c r="X179" s="18"/>
      <c r="Y179" s="18"/>
      <c r="Z179" s="18"/>
      <c r="AA179" s="18"/>
      <c r="AB179" s="18"/>
      <c r="AC179" s="18"/>
      <c r="AD179" s="18"/>
      <c r="AE179" s="19"/>
      <c r="AF179" s="20"/>
      <c r="AG179" s="21"/>
      <c r="AH179" s="21"/>
      <c r="AI179" s="19"/>
      <c r="AJ179" s="29"/>
      <c r="AK179" s="29"/>
      <c r="AL179" s="29"/>
    </row>
    <row r="180" spans="2:38" s="28" customFormat="1" x14ac:dyDescent="0.3">
      <c r="B180" s="24"/>
      <c r="C180" s="37"/>
      <c r="D180" s="37"/>
      <c r="E180" s="37"/>
      <c r="F180" s="35"/>
      <c r="G180" s="35"/>
      <c r="H180" s="35"/>
      <c r="I180" s="35"/>
      <c r="J180" s="35"/>
      <c r="K180" s="35"/>
      <c r="L180" s="35"/>
      <c r="M180" s="31"/>
      <c r="N180" s="32"/>
      <c r="O180" s="32"/>
      <c r="P180" s="32"/>
      <c r="Q180" s="32"/>
      <c r="R180" s="32"/>
      <c r="S180" s="32"/>
      <c r="T180" s="32"/>
      <c r="U180" s="29"/>
      <c r="V180" s="29"/>
      <c r="W180" s="24"/>
      <c r="X180" s="18"/>
      <c r="Y180" s="18"/>
      <c r="Z180" s="18"/>
      <c r="AA180" s="18"/>
      <c r="AB180" s="18"/>
      <c r="AC180" s="18"/>
      <c r="AD180" s="18"/>
      <c r="AE180" s="19"/>
      <c r="AF180" s="20"/>
      <c r="AG180" s="21"/>
      <c r="AH180" s="21"/>
      <c r="AI180" s="19"/>
      <c r="AJ180" s="29"/>
      <c r="AK180" s="29"/>
      <c r="AL180" s="29"/>
    </row>
    <row r="181" spans="2:38" s="28" customFormat="1" x14ac:dyDescent="0.3">
      <c r="B181" s="24"/>
      <c r="C181" s="37"/>
      <c r="D181" s="37"/>
      <c r="E181" s="37"/>
      <c r="F181" s="35"/>
      <c r="G181" s="35"/>
      <c r="H181" s="35"/>
      <c r="I181" s="35"/>
      <c r="J181" s="35"/>
      <c r="K181" s="35"/>
      <c r="L181" s="35"/>
      <c r="M181" s="31"/>
      <c r="N181" s="32"/>
      <c r="O181" s="32"/>
      <c r="P181" s="32"/>
      <c r="Q181" s="32"/>
      <c r="R181" s="32"/>
      <c r="S181" s="32"/>
      <c r="T181" s="32"/>
      <c r="U181" s="29"/>
      <c r="V181" s="29"/>
      <c r="W181" s="24"/>
      <c r="X181" s="18"/>
      <c r="Y181" s="18"/>
      <c r="Z181" s="18"/>
      <c r="AA181" s="18"/>
      <c r="AB181" s="18"/>
      <c r="AC181" s="18"/>
      <c r="AD181" s="18"/>
      <c r="AE181" s="19"/>
      <c r="AF181" s="20"/>
      <c r="AG181" s="21"/>
      <c r="AH181" s="21"/>
      <c r="AI181" s="19"/>
      <c r="AJ181" s="29"/>
      <c r="AK181" s="29"/>
      <c r="AL181" s="29"/>
    </row>
    <row r="182" spans="2:38" s="28" customFormat="1" x14ac:dyDescent="0.3">
      <c r="B182" s="24"/>
      <c r="C182" s="37"/>
      <c r="D182" s="37"/>
      <c r="E182" s="37"/>
      <c r="F182" s="35"/>
      <c r="G182" s="35"/>
      <c r="H182" s="35"/>
      <c r="I182" s="35"/>
      <c r="J182" s="35"/>
      <c r="K182" s="35"/>
      <c r="L182" s="35"/>
      <c r="M182" s="31"/>
      <c r="N182" s="32"/>
      <c r="O182" s="32"/>
      <c r="P182" s="32"/>
      <c r="Q182" s="32"/>
      <c r="R182" s="32"/>
      <c r="S182" s="32"/>
      <c r="T182" s="32"/>
      <c r="U182" s="29"/>
      <c r="V182" s="29"/>
      <c r="W182" s="24"/>
      <c r="X182" s="18"/>
      <c r="Y182" s="18"/>
      <c r="Z182" s="18"/>
      <c r="AA182" s="18"/>
      <c r="AB182" s="18"/>
      <c r="AC182" s="18"/>
      <c r="AD182" s="18"/>
      <c r="AE182" s="19"/>
      <c r="AF182" s="20"/>
      <c r="AG182" s="21"/>
      <c r="AH182" s="21"/>
      <c r="AI182" s="19"/>
      <c r="AJ182" s="29"/>
      <c r="AK182" s="29"/>
      <c r="AL182" s="29"/>
    </row>
    <row r="183" spans="2:38" s="28" customFormat="1" x14ac:dyDescent="0.3">
      <c r="B183" s="24"/>
      <c r="C183" s="37"/>
      <c r="D183" s="37"/>
      <c r="E183" s="37"/>
      <c r="F183" s="35"/>
      <c r="G183" s="35"/>
      <c r="H183" s="35"/>
      <c r="I183" s="35"/>
      <c r="J183" s="35"/>
      <c r="K183" s="35"/>
      <c r="L183" s="35"/>
      <c r="M183" s="31"/>
      <c r="N183" s="32"/>
      <c r="O183" s="32"/>
      <c r="P183" s="32"/>
      <c r="Q183" s="32"/>
      <c r="R183" s="32"/>
      <c r="S183" s="32"/>
      <c r="T183" s="32"/>
      <c r="U183" s="29"/>
      <c r="V183" s="29"/>
      <c r="W183" s="24"/>
      <c r="X183" s="18"/>
      <c r="Y183" s="18"/>
      <c r="Z183" s="18"/>
      <c r="AA183" s="18"/>
      <c r="AB183" s="18"/>
      <c r="AC183" s="18"/>
      <c r="AD183" s="18"/>
      <c r="AE183" s="19"/>
      <c r="AF183" s="20"/>
      <c r="AG183" s="21"/>
      <c r="AH183" s="21"/>
      <c r="AI183" s="19"/>
      <c r="AJ183" s="29"/>
      <c r="AK183" s="29"/>
      <c r="AL183" s="29"/>
    </row>
    <row r="184" spans="2:38" s="28" customFormat="1" x14ac:dyDescent="0.3">
      <c r="B184" s="24"/>
      <c r="C184" s="37"/>
      <c r="D184" s="37"/>
      <c r="E184" s="37"/>
      <c r="F184" s="35"/>
      <c r="G184" s="35"/>
      <c r="H184" s="35"/>
      <c r="I184" s="35"/>
      <c r="J184" s="35"/>
      <c r="K184" s="35"/>
      <c r="L184" s="35"/>
      <c r="M184" s="31"/>
      <c r="N184" s="32"/>
      <c r="O184" s="32"/>
      <c r="P184" s="32"/>
      <c r="Q184" s="32"/>
      <c r="R184" s="32"/>
      <c r="S184" s="32"/>
      <c r="T184" s="32"/>
      <c r="U184" s="29"/>
      <c r="V184" s="29"/>
      <c r="W184" s="24"/>
      <c r="X184" s="18"/>
      <c r="Y184" s="18"/>
      <c r="Z184" s="18"/>
      <c r="AA184" s="18"/>
      <c r="AB184" s="18"/>
      <c r="AC184" s="18"/>
      <c r="AD184" s="18"/>
      <c r="AE184" s="19"/>
      <c r="AF184" s="20"/>
      <c r="AG184" s="21"/>
      <c r="AH184" s="21"/>
      <c r="AI184" s="19"/>
      <c r="AJ184" s="29"/>
      <c r="AK184" s="29"/>
      <c r="AL184" s="29"/>
    </row>
    <row r="185" spans="2:38" s="28" customFormat="1" x14ac:dyDescent="0.3">
      <c r="B185" s="24"/>
      <c r="C185" s="37"/>
      <c r="D185" s="37"/>
      <c r="E185" s="37"/>
      <c r="F185" s="35"/>
      <c r="G185" s="35"/>
      <c r="H185" s="35"/>
      <c r="I185" s="35"/>
      <c r="J185" s="35"/>
      <c r="K185" s="35"/>
      <c r="L185" s="35"/>
      <c r="M185" s="31"/>
      <c r="N185" s="32"/>
      <c r="O185" s="32"/>
      <c r="P185" s="32"/>
      <c r="Q185" s="32"/>
      <c r="R185" s="32"/>
      <c r="S185" s="32"/>
      <c r="T185" s="32"/>
      <c r="U185" s="29"/>
      <c r="V185" s="29"/>
      <c r="W185" s="24"/>
      <c r="X185" s="18"/>
      <c r="Y185" s="18"/>
      <c r="Z185" s="18"/>
      <c r="AA185" s="18"/>
      <c r="AB185" s="18"/>
      <c r="AC185" s="18"/>
      <c r="AD185" s="18"/>
      <c r="AE185" s="19"/>
      <c r="AF185" s="20"/>
      <c r="AG185" s="21"/>
      <c r="AH185" s="21"/>
      <c r="AI185" s="19"/>
      <c r="AJ185" s="29"/>
      <c r="AK185" s="29"/>
      <c r="AL185" s="29"/>
    </row>
    <row r="186" spans="2:38" s="28" customFormat="1" x14ac:dyDescent="0.3">
      <c r="B186" s="24"/>
      <c r="C186" s="37"/>
      <c r="D186" s="37"/>
      <c r="E186" s="37"/>
      <c r="F186" s="35"/>
      <c r="G186" s="35"/>
      <c r="H186" s="35"/>
      <c r="I186" s="35"/>
      <c r="J186" s="35"/>
      <c r="K186" s="35"/>
      <c r="L186" s="35"/>
      <c r="M186" s="31"/>
      <c r="N186" s="32"/>
      <c r="O186" s="32"/>
      <c r="P186" s="32"/>
      <c r="Q186" s="32"/>
      <c r="R186" s="32"/>
      <c r="S186" s="32"/>
      <c r="T186" s="32"/>
      <c r="U186" s="29"/>
      <c r="V186" s="29"/>
      <c r="W186" s="24"/>
      <c r="X186" s="18"/>
      <c r="Y186" s="18"/>
      <c r="Z186" s="18"/>
      <c r="AA186" s="18"/>
      <c r="AB186" s="18"/>
      <c r="AC186" s="18"/>
      <c r="AD186" s="18"/>
      <c r="AE186" s="19"/>
      <c r="AF186" s="20"/>
      <c r="AG186" s="21"/>
      <c r="AH186" s="21"/>
      <c r="AI186" s="19"/>
      <c r="AJ186" s="29"/>
      <c r="AK186" s="29"/>
      <c r="AL186" s="29"/>
    </row>
    <row r="187" spans="2:38" s="28" customFormat="1" x14ac:dyDescent="0.3">
      <c r="B187" s="24"/>
      <c r="C187" s="37"/>
      <c r="D187" s="37"/>
      <c r="E187" s="37"/>
      <c r="F187" s="35"/>
      <c r="G187" s="35"/>
      <c r="H187" s="35"/>
      <c r="I187" s="35"/>
      <c r="J187" s="35"/>
      <c r="K187" s="35"/>
      <c r="L187" s="35"/>
      <c r="M187" s="31"/>
      <c r="N187" s="32"/>
      <c r="O187" s="32"/>
      <c r="P187" s="32"/>
      <c r="Q187" s="32"/>
      <c r="R187" s="32"/>
      <c r="S187" s="32"/>
      <c r="T187" s="32"/>
      <c r="U187" s="29"/>
      <c r="V187" s="29"/>
      <c r="W187" s="24"/>
      <c r="X187" s="18"/>
      <c r="Y187" s="18"/>
      <c r="Z187" s="18"/>
      <c r="AA187" s="18"/>
      <c r="AB187" s="18"/>
      <c r="AC187" s="18"/>
      <c r="AD187" s="18"/>
      <c r="AE187" s="19"/>
      <c r="AF187" s="20"/>
      <c r="AG187" s="21"/>
      <c r="AH187" s="21"/>
      <c r="AI187" s="19"/>
      <c r="AJ187" s="29"/>
      <c r="AK187" s="29"/>
      <c r="AL187" s="29"/>
    </row>
    <row r="188" spans="2:38" s="28" customFormat="1" x14ac:dyDescent="0.3">
      <c r="B188" s="24"/>
      <c r="C188" s="37"/>
      <c r="D188" s="37"/>
      <c r="E188" s="37"/>
      <c r="F188" s="35"/>
      <c r="G188" s="35"/>
      <c r="H188" s="35"/>
      <c r="I188" s="35"/>
      <c r="J188" s="35"/>
      <c r="K188" s="35"/>
      <c r="L188" s="35"/>
      <c r="M188" s="31"/>
      <c r="N188" s="32"/>
      <c r="O188" s="32"/>
      <c r="P188" s="32"/>
      <c r="Q188" s="32"/>
      <c r="R188" s="32"/>
      <c r="S188" s="32"/>
      <c r="T188" s="32"/>
      <c r="U188" s="29"/>
      <c r="V188" s="29"/>
      <c r="W188" s="24"/>
      <c r="X188" s="18"/>
      <c r="Y188" s="18"/>
      <c r="Z188" s="18"/>
      <c r="AA188" s="18"/>
      <c r="AB188" s="18"/>
      <c r="AC188" s="18"/>
      <c r="AD188" s="18"/>
      <c r="AE188" s="19"/>
      <c r="AF188" s="20"/>
      <c r="AG188" s="21"/>
      <c r="AH188" s="21"/>
      <c r="AI188" s="19"/>
      <c r="AJ188" s="29"/>
      <c r="AK188" s="29"/>
      <c r="AL188" s="29"/>
    </row>
    <row r="189" spans="2:38" s="28" customFormat="1" x14ac:dyDescent="0.3">
      <c r="B189" s="24"/>
      <c r="C189" s="37"/>
      <c r="D189" s="37"/>
      <c r="E189" s="37"/>
      <c r="F189" s="35"/>
      <c r="G189" s="35"/>
      <c r="H189" s="35"/>
      <c r="I189" s="35"/>
      <c r="J189" s="35"/>
      <c r="K189" s="35"/>
      <c r="L189" s="35"/>
      <c r="M189" s="31"/>
      <c r="N189" s="32"/>
      <c r="O189" s="32"/>
      <c r="P189" s="32"/>
      <c r="Q189" s="32"/>
      <c r="R189" s="32"/>
      <c r="S189" s="32"/>
      <c r="T189" s="32"/>
      <c r="U189" s="29"/>
      <c r="V189" s="29"/>
      <c r="W189" s="24"/>
      <c r="X189" s="18"/>
      <c r="Y189" s="18"/>
      <c r="Z189" s="18"/>
      <c r="AA189" s="18"/>
      <c r="AB189" s="18"/>
      <c r="AC189" s="18"/>
      <c r="AD189" s="18"/>
      <c r="AE189" s="19"/>
      <c r="AF189" s="20"/>
      <c r="AG189" s="21"/>
      <c r="AH189" s="21"/>
      <c r="AI189" s="19"/>
      <c r="AJ189" s="29"/>
      <c r="AK189" s="29"/>
      <c r="AL189" s="29"/>
    </row>
    <row r="190" spans="2:38" s="28" customFormat="1" x14ac:dyDescent="0.3">
      <c r="B190" s="24"/>
      <c r="C190" s="37"/>
      <c r="D190" s="37"/>
      <c r="E190" s="37"/>
      <c r="F190" s="35"/>
      <c r="G190" s="35"/>
      <c r="H190" s="35"/>
      <c r="I190" s="35"/>
      <c r="J190" s="35"/>
      <c r="K190" s="35"/>
      <c r="L190" s="35"/>
      <c r="M190" s="31"/>
      <c r="N190" s="32"/>
      <c r="O190" s="32"/>
      <c r="P190" s="32"/>
      <c r="Q190" s="32"/>
      <c r="R190" s="32"/>
      <c r="S190" s="32"/>
      <c r="T190" s="32"/>
      <c r="U190" s="29"/>
      <c r="V190" s="29"/>
      <c r="W190" s="24"/>
      <c r="X190" s="18"/>
      <c r="Y190" s="18"/>
      <c r="Z190" s="18"/>
      <c r="AA190" s="18"/>
      <c r="AB190" s="18"/>
      <c r="AC190" s="18"/>
      <c r="AD190" s="18"/>
      <c r="AE190" s="19"/>
      <c r="AF190" s="20"/>
      <c r="AG190" s="21"/>
      <c r="AH190" s="21"/>
      <c r="AI190" s="19"/>
      <c r="AJ190" s="29"/>
      <c r="AK190" s="29"/>
      <c r="AL190" s="29"/>
    </row>
    <row r="191" spans="2:38" s="28" customFormat="1" x14ac:dyDescent="0.3">
      <c r="B191" s="24"/>
      <c r="C191" s="37"/>
      <c r="D191" s="37"/>
      <c r="E191" s="37"/>
      <c r="F191" s="35"/>
      <c r="G191" s="35"/>
      <c r="H191" s="35"/>
      <c r="I191" s="35"/>
      <c r="J191" s="35"/>
      <c r="K191" s="35"/>
      <c r="L191" s="35"/>
      <c r="M191" s="31"/>
      <c r="N191" s="32"/>
      <c r="O191" s="32"/>
      <c r="P191" s="32"/>
      <c r="Q191" s="32"/>
      <c r="R191" s="32"/>
      <c r="S191" s="32"/>
      <c r="T191" s="32"/>
      <c r="U191" s="29"/>
      <c r="V191" s="29"/>
      <c r="W191" s="24"/>
      <c r="X191" s="18"/>
      <c r="Y191" s="18"/>
      <c r="Z191" s="18"/>
      <c r="AA191" s="18"/>
      <c r="AB191" s="18"/>
      <c r="AC191" s="18"/>
      <c r="AD191" s="18"/>
      <c r="AE191" s="19"/>
      <c r="AF191" s="20"/>
      <c r="AG191" s="21"/>
      <c r="AH191" s="21"/>
      <c r="AI191" s="19"/>
      <c r="AJ191" s="29"/>
      <c r="AK191" s="29"/>
      <c r="AL191" s="29"/>
    </row>
    <row r="192" spans="2:38" s="28" customFormat="1" x14ac:dyDescent="0.3">
      <c r="B192" s="24"/>
      <c r="C192" s="37"/>
      <c r="D192" s="37"/>
      <c r="E192" s="37"/>
      <c r="F192" s="35"/>
      <c r="G192" s="35"/>
      <c r="H192" s="35"/>
      <c r="I192" s="35"/>
      <c r="J192" s="35"/>
      <c r="K192" s="35"/>
      <c r="L192" s="35"/>
      <c r="M192" s="31"/>
      <c r="N192" s="32"/>
      <c r="O192" s="32"/>
      <c r="P192" s="32"/>
      <c r="Q192" s="32"/>
      <c r="R192" s="32"/>
      <c r="S192" s="32"/>
      <c r="T192" s="32"/>
      <c r="U192" s="29"/>
      <c r="V192" s="29"/>
      <c r="W192" s="24"/>
      <c r="X192" s="18"/>
      <c r="Y192" s="18"/>
      <c r="Z192" s="18"/>
      <c r="AA192" s="18"/>
      <c r="AB192" s="18"/>
      <c r="AC192" s="18"/>
      <c r="AD192" s="18"/>
      <c r="AE192" s="19"/>
      <c r="AF192" s="20"/>
      <c r="AG192" s="21"/>
      <c r="AH192" s="21"/>
      <c r="AI192" s="19"/>
      <c r="AJ192" s="29"/>
      <c r="AK192" s="29"/>
      <c r="AL192" s="29"/>
    </row>
    <row r="193" spans="2:38" s="28" customFormat="1" x14ac:dyDescent="0.3">
      <c r="B193" s="24"/>
      <c r="C193" s="37"/>
      <c r="D193" s="37"/>
      <c r="E193" s="37"/>
      <c r="F193" s="35"/>
      <c r="G193" s="35"/>
      <c r="H193" s="35"/>
      <c r="I193" s="35"/>
      <c r="J193" s="35"/>
      <c r="K193" s="35"/>
      <c r="L193" s="35"/>
      <c r="M193" s="31"/>
      <c r="N193" s="32"/>
      <c r="O193" s="32"/>
      <c r="P193" s="32"/>
      <c r="Q193" s="32"/>
      <c r="R193" s="32"/>
      <c r="S193" s="32"/>
      <c r="T193" s="32"/>
      <c r="U193" s="29"/>
      <c r="V193" s="29"/>
      <c r="W193" s="24"/>
      <c r="X193" s="18"/>
      <c r="Y193" s="18"/>
      <c r="Z193" s="18"/>
      <c r="AA193" s="18"/>
      <c r="AB193" s="18"/>
      <c r="AC193" s="18"/>
      <c r="AD193" s="18"/>
      <c r="AE193" s="19"/>
      <c r="AF193" s="20"/>
      <c r="AG193" s="21"/>
      <c r="AH193" s="21"/>
      <c r="AI193" s="19"/>
      <c r="AJ193" s="29"/>
      <c r="AK193" s="29"/>
      <c r="AL193" s="29"/>
    </row>
    <row r="194" spans="2:38" s="28" customFormat="1" x14ac:dyDescent="0.3">
      <c r="B194" s="24"/>
      <c r="C194" s="37"/>
      <c r="D194" s="37"/>
      <c r="E194" s="37"/>
      <c r="F194" s="35"/>
      <c r="G194" s="35"/>
      <c r="H194" s="35"/>
      <c r="I194" s="35"/>
      <c r="J194" s="35"/>
      <c r="K194" s="35"/>
      <c r="L194" s="35"/>
      <c r="M194" s="31"/>
      <c r="N194" s="32"/>
      <c r="O194" s="32"/>
      <c r="P194" s="32"/>
      <c r="Q194" s="32"/>
      <c r="R194" s="32"/>
      <c r="S194" s="32"/>
      <c r="T194" s="32"/>
      <c r="U194" s="29"/>
      <c r="V194" s="29"/>
      <c r="W194" s="24"/>
      <c r="X194" s="18"/>
      <c r="Y194" s="18"/>
      <c r="Z194" s="18"/>
      <c r="AA194" s="18"/>
      <c r="AB194" s="18"/>
      <c r="AC194" s="18"/>
      <c r="AD194" s="18"/>
      <c r="AE194" s="19"/>
      <c r="AF194" s="20"/>
      <c r="AG194" s="21"/>
      <c r="AH194" s="21"/>
      <c r="AI194" s="19"/>
      <c r="AJ194" s="29"/>
      <c r="AK194" s="29"/>
      <c r="AL194" s="29"/>
    </row>
    <row r="195" spans="2:38" s="28" customFormat="1" x14ac:dyDescent="0.3">
      <c r="B195" s="24"/>
      <c r="C195" s="37"/>
      <c r="D195" s="37"/>
      <c r="E195" s="37"/>
      <c r="F195" s="35"/>
      <c r="G195" s="35"/>
      <c r="H195" s="35"/>
      <c r="I195" s="35"/>
      <c r="J195" s="35"/>
      <c r="K195" s="35"/>
      <c r="L195" s="35"/>
      <c r="M195" s="31"/>
      <c r="N195" s="32"/>
      <c r="O195" s="32"/>
      <c r="P195" s="32"/>
      <c r="Q195" s="32"/>
      <c r="R195" s="32"/>
      <c r="S195" s="32"/>
      <c r="T195" s="32"/>
      <c r="U195" s="29"/>
      <c r="V195" s="29"/>
      <c r="W195" s="24"/>
      <c r="X195" s="18"/>
      <c r="Y195" s="18"/>
      <c r="Z195" s="18"/>
      <c r="AA195" s="18"/>
      <c r="AB195" s="18"/>
      <c r="AC195" s="18"/>
      <c r="AD195" s="18"/>
      <c r="AE195" s="19"/>
      <c r="AF195" s="20"/>
      <c r="AG195" s="21"/>
      <c r="AH195" s="21"/>
      <c r="AI195" s="19"/>
      <c r="AJ195" s="29"/>
      <c r="AK195" s="29"/>
      <c r="AL195" s="29"/>
    </row>
    <row r="196" spans="2:38" s="28" customFormat="1" x14ac:dyDescent="0.3">
      <c r="B196" s="24"/>
      <c r="C196" s="37"/>
      <c r="D196" s="37"/>
      <c r="E196" s="37"/>
      <c r="F196" s="35"/>
      <c r="G196" s="35"/>
      <c r="H196" s="35"/>
      <c r="I196" s="35"/>
      <c r="J196" s="35"/>
      <c r="K196" s="35"/>
      <c r="L196" s="35"/>
      <c r="M196" s="31"/>
      <c r="N196" s="32"/>
      <c r="O196" s="32"/>
      <c r="P196" s="32"/>
      <c r="Q196" s="32"/>
      <c r="R196" s="32"/>
      <c r="S196" s="32"/>
      <c r="T196" s="32"/>
      <c r="U196" s="29"/>
      <c r="V196" s="29"/>
      <c r="W196" s="24"/>
      <c r="X196" s="18"/>
      <c r="Y196" s="18"/>
      <c r="Z196" s="18"/>
      <c r="AA196" s="18"/>
      <c r="AB196" s="18"/>
      <c r="AC196" s="18"/>
      <c r="AD196" s="18"/>
      <c r="AE196" s="19"/>
      <c r="AF196" s="20"/>
      <c r="AG196" s="21"/>
      <c r="AH196" s="21"/>
      <c r="AI196" s="19"/>
      <c r="AJ196" s="29"/>
      <c r="AK196" s="29"/>
      <c r="AL196" s="29"/>
    </row>
    <row r="197" spans="2:38" s="28" customFormat="1" x14ac:dyDescent="0.3">
      <c r="B197" s="24"/>
      <c r="C197" s="37"/>
      <c r="D197" s="37"/>
      <c r="E197" s="37"/>
      <c r="F197" s="35"/>
      <c r="G197" s="35"/>
      <c r="H197" s="35"/>
      <c r="I197" s="35"/>
      <c r="J197" s="35"/>
      <c r="K197" s="35"/>
      <c r="L197" s="35"/>
      <c r="M197" s="31"/>
      <c r="N197" s="32"/>
      <c r="O197" s="32"/>
      <c r="P197" s="32"/>
      <c r="Q197" s="32"/>
      <c r="R197" s="32"/>
      <c r="S197" s="32"/>
      <c r="T197" s="32"/>
      <c r="U197" s="29"/>
      <c r="V197" s="29"/>
      <c r="W197" s="24"/>
      <c r="X197" s="18"/>
      <c r="Y197" s="18"/>
      <c r="Z197" s="18"/>
      <c r="AA197" s="18"/>
      <c r="AB197" s="18"/>
      <c r="AC197" s="18"/>
      <c r="AD197" s="18"/>
      <c r="AE197" s="19"/>
      <c r="AF197" s="20"/>
      <c r="AG197" s="21"/>
      <c r="AH197" s="21"/>
      <c r="AI197" s="19"/>
      <c r="AJ197" s="29"/>
      <c r="AK197" s="29"/>
      <c r="AL197" s="29"/>
    </row>
    <row r="198" spans="2:38" s="28" customFormat="1" x14ac:dyDescent="0.3">
      <c r="B198" s="24"/>
      <c r="C198" s="37"/>
      <c r="D198" s="37"/>
      <c r="E198" s="37"/>
      <c r="F198" s="35"/>
      <c r="G198" s="35"/>
      <c r="H198" s="35"/>
      <c r="I198" s="35"/>
      <c r="J198" s="35"/>
      <c r="K198" s="35"/>
      <c r="L198" s="35"/>
      <c r="M198" s="31"/>
      <c r="N198" s="32"/>
      <c r="O198" s="32"/>
      <c r="P198" s="32"/>
      <c r="Q198" s="32"/>
      <c r="R198" s="32"/>
      <c r="S198" s="32"/>
      <c r="T198" s="32"/>
      <c r="U198" s="29"/>
      <c r="V198" s="29"/>
      <c r="W198" s="24"/>
      <c r="X198" s="18"/>
      <c r="Y198" s="18"/>
      <c r="Z198" s="18"/>
      <c r="AA198" s="18"/>
      <c r="AB198" s="18"/>
      <c r="AC198" s="18"/>
      <c r="AD198" s="18"/>
      <c r="AE198" s="19"/>
      <c r="AF198" s="20"/>
      <c r="AG198" s="21"/>
      <c r="AH198" s="21"/>
      <c r="AI198" s="19"/>
      <c r="AJ198" s="29"/>
      <c r="AK198" s="29"/>
      <c r="AL198" s="29"/>
    </row>
    <row r="199" spans="2:38" s="28" customFormat="1" x14ac:dyDescent="0.3">
      <c r="B199" s="24"/>
      <c r="C199" s="37"/>
      <c r="D199" s="37"/>
      <c r="E199" s="37"/>
      <c r="F199" s="35"/>
      <c r="G199" s="35"/>
      <c r="H199" s="35"/>
      <c r="I199" s="35"/>
      <c r="J199" s="35"/>
      <c r="K199" s="35"/>
      <c r="L199" s="35"/>
      <c r="M199" s="31"/>
      <c r="N199" s="32"/>
      <c r="O199" s="32"/>
      <c r="P199" s="32"/>
      <c r="Q199" s="32"/>
      <c r="R199" s="32"/>
      <c r="S199" s="32"/>
      <c r="T199" s="32"/>
      <c r="U199" s="29"/>
      <c r="V199" s="29"/>
      <c r="W199" s="24"/>
      <c r="X199" s="18"/>
      <c r="Y199" s="18"/>
      <c r="Z199" s="18"/>
      <c r="AA199" s="18"/>
      <c r="AB199" s="18"/>
      <c r="AC199" s="18"/>
      <c r="AD199" s="18"/>
      <c r="AE199" s="19"/>
      <c r="AF199" s="20"/>
      <c r="AG199" s="21"/>
      <c r="AH199" s="21"/>
      <c r="AI199" s="19"/>
      <c r="AJ199" s="29"/>
      <c r="AK199" s="29"/>
      <c r="AL199" s="29"/>
    </row>
    <row r="200" spans="2:38" s="28" customFormat="1" x14ac:dyDescent="0.3">
      <c r="B200" s="24"/>
      <c r="C200" s="37"/>
      <c r="D200" s="37"/>
      <c r="E200" s="37"/>
      <c r="F200" s="35"/>
      <c r="G200" s="35"/>
      <c r="H200" s="35"/>
      <c r="I200" s="35"/>
      <c r="J200" s="35"/>
      <c r="K200" s="35"/>
      <c r="L200" s="35"/>
      <c r="M200" s="31"/>
      <c r="N200" s="32"/>
      <c r="O200" s="32"/>
      <c r="P200" s="32"/>
      <c r="Q200" s="32"/>
      <c r="R200" s="32"/>
      <c r="S200" s="32"/>
      <c r="T200" s="32"/>
      <c r="U200" s="29"/>
      <c r="V200" s="29"/>
      <c r="W200" s="24"/>
      <c r="X200" s="18"/>
      <c r="Y200" s="18"/>
      <c r="Z200" s="18"/>
      <c r="AA200" s="18"/>
      <c r="AB200" s="18"/>
      <c r="AC200" s="18"/>
      <c r="AD200" s="18"/>
      <c r="AE200" s="19"/>
      <c r="AF200" s="20"/>
      <c r="AG200" s="21"/>
      <c r="AH200" s="21"/>
      <c r="AI200" s="19"/>
      <c r="AJ200" s="29"/>
      <c r="AK200" s="29"/>
      <c r="AL200" s="29"/>
    </row>
    <row r="201" spans="2:38" s="28" customFormat="1" x14ac:dyDescent="0.3">
      <c r="B201" s="24"/>
      <c r="C201" s="37"/>
      <c r="D201" s="37"/>
      <c r="E201" s="37"/>
      <c r="F201" s="35"/>
      <c r="G201" s="35"/>
      <c r="H201" s="35"/>
      <c r="I201" s="35"/>
      <c r="J201" s="35"/>
      <c r="K201" s="35"/>
      <c r="L201" s="35"/>
      <c r="M201" s="31"/>
      <c r="N201" s="32"/>
      <c r="O201" s="32"/>
      <c r="P201" s="32"/>
      <c r="Q201" s="32"/>
      <c r="R201" s="32"/>
      <c r="S201" s="32"/>
      <c r="T201" s="32"/>
      <c r="U201" s="29"/>
      <c r="V201" s="29"/>
      <c r="W201" s="24"/>
      <c r="X201" s="18"/>
      <c r="Y201" s="18"/>
      <c r="Z201" s="18"/>
      <c r="AA201" s="18"/>
      <c r="AB201" s="18"/>
      <c r="AC201" s="18"/>
      <c r="AD201" s="18"/>
      <c r="AE201" s="19"/>
      <c r="AF201" s="20"/>
      <c r="AG201" s="21"/>
      <c r="AH201" s="21"/>
      <c r="AI201" s="19"/>
      <c r="AJ201" s="29"/>
      <c r="AK201" s="29"/>
      <c r="AL201" s="29"/>
    </row>
    <row r="202" spans="2:38" s="28" customFormat="1" x14ac:dyDescent="0.3">
      <c r="B202" s="24"/>
      <c r="C202" s="37"/>
      <c r="D202" s="37"/>
      <c r="E202" s="37"/>
      <c r="F202" s="35"/>
      <c r="G202" s="35"/>
      <c r="H202" s="35"/>
      <c r="I202" s="35"/>
      <c r="J202" s="35"/>
      <c r="K202" s="35"/>
      <c r="L202" s="35"/>
      <c r="M202" s="31"/>
      <c r="N202" s="32"/>
      <c r="O202" s="32"/>
      <c r="P202" s="32"/>
      <c r="Q202" s="32"/>
      <c r="R202" s="32"/>
      <c r="S202" s="32"/>
      <c r="T202" s="32"/>
      <c r="U202" s="29"/>
      <c r="V202" s="29"/>
      <c r="W202" s="24"/>
      <c r="X202" s="18"/>
      <c r="Y202" s="18"/>
      <c r="Z202" s="18"/>
      <c r="AA202" s="18"/>
      <c r="AB202" s="18"/>
      <c r="AC202" s="18"/>
      <c r="AD202" s="18"/>
      <c r="AE202" s="19"/>
      <c r="AF202" s="20"/>
      <c r="AG202" s="21"/>
      <c r="AH202" s="21"/>
      <c r="AI202" s="19"/>
      <c r="AJ202" s="29"/>
      <c r="AK202" s="29"/>
      <c r="AL202" s="29"/>
    </row>
    <row r="203" spans="2:38" s="28" customFormat="1" x14ac:dyDescent="0.3">
      <c r="B203" s="24"/>
      <c r="C203" s="37"/>
      <c r="D203" s="37"/>
      <c r="E203" s="37"/>
      <c r="F203" s="35"/>
      <c r="G203" s="35"/>
      <c r="H203" s="35"/>
      <c r="I203" s="35"/>
      <c r="J203" s="35"/>
      <c r="K203" s="35"/>
      <c r="L203" s="35"/>
      <c r="M203" s="31"/>
      <c r="N203" s="32"/>
      <c r="O203" s="32"/>
      <c r="P203" s="32"/>
      <c r="Q203" s="32"/>
      <c r="R203" s="32"/>
      <c r="S203" s="32"/>
      <c r="T203" s="32"/>
      <c r="U203" s="29"/>
      <c r="V203" s="29"/>
      <c r="W203" s="24"/>
      <c r="X203" s="18"/>
      <c r="Y203" s="18"/>
      <c r="Z203" s="18"/>
      <c r="AA203" s="18"/>
      <c r="AB203" s="18"/>
      <c r="AC203" s="18"/>
      <c r="AD203" s="18"/>
      <c r="AE203" s="19"/>
      <c r="AF203" s="20"/>
      <c r="AG203" s="21"/>
      <c r="AH203" s="21"/>
      <c r="AI203" s="19"/>
      <c r="AJ203" s="29"/>
      <c r="AK203" s="29"/>
      <c r="AL203" s="29"/>
    </row>
    <row r="204" spans="2:38" s="28" customFormat="1" x14ac:dyDescent="0.3">
      <c r="B204" s="24"/>
      <c r="C204" s="37"/>
      <c r="D204" s="37"/>
      <c r="E204" s="37"/>
      <c r="F204" s="35"/>
      <c r="G204" s="35"/>
      <c r="H204" s="35"/>
      <c r="I204" s="35"/>
      <c r="J204" s="35"/>
      <c r="K204" s="35"/>
      <c r="L204" s="35"/>
      <c r="M204" s="31"/>
      <c r="N204" s="32"/>
      <c r="O204" s="32"/>
      <c r="P204" s="32"/>
      <c r="Q204" s="32"/>
      <c r="R204" s="32"/>
      <c r="S204" s="32"/>
      <c r="T204" s="32"/>
      <c r="U204" s="29"/>
      <c r="V204" s="29"/>
      <c r="W204" s="24"/>
      <c r="X204" s="18"/>
      <c r="Y204" s="18"/>
      <c r="Z204" s="18"/>
      <c r="AA204" s="18"/>
      <c r="AB204" s="18"/>
      <c r="AC204" s="18"/>
      <c r="AD204" s="18"/>
      <c r="AE204" s="19"/>
      <c r="AF204" s="20"/>
      <c r="AG204" s="21"/>
      <c r="AH204" s="21"/>
      <c r="AI204" s="19"/>
      <c r="AJ204" s="29"/>
      <c r="AK204" s="29"/>
      <c r="AL204" s="29"/>
    </row>
    <row r="205" spans="2:38" s="28" customFormat="1" x14ac:dyDescent="0.3">
      <c r="B205" s="24"/>
      <c r="C205" s="37"/>
      <c r="D205" s="37"/>
      <c r="E205" s="37"/>
      <c r="F205" s="35"/>
      <c r="G205" s="35"/>
      <c r="H205" s="35"/>
      <c r="I205" s="35"/>
      <c r="J205" s="35"/>
      <c r="K205" s="35"/>
      <c r="L205" s="35"/>
      <c r="M205" s="31"/>
      <c r="N205" s="32"/>
      <c r="O205" s="32"/>
      <c r="P205" s="32"/>
      <c r="Q205" s="32"/>
      <c r="R205" s="32"/>
      <c r="S205" s="32"/>
      <c r="T205" s="32"/>
      <c r="U205" s="29"/>
      <c r="V205" s="29"/>
      <c r="W205" s="24"/>
      <c r="X205" s="18"/>
      <c r="Y205" s="18"/>
      <c r="Z205" s="18"/>
      <c r="AA205" s="18"/>
      <c r="AB205" s="18"/>
      <c r="AC205" s="18"/>
      <c r="AD205" s="18"/>
      <c r="AE205" s="19"/>
      <c r="AF205" s="20"/>
      <c r="AG205" s="21"/>
      <c r="AH205" s="21"/>
      <c r="AI205" s="19"/>
      <c r="AJ205" s="29"/>
      <c r="AK205" s="29"/>
      <c r="AL205" s="29"/>
    </row>
    <row r="206" spans="2:38" s="28" customFormat="1" x14ac:dyDescent="0.3">
      <c r="B206" s="24"/>
      <c r="C206" s="37"/>
      <c r="D206" s="37"/>
      <c r="E206" s="37"/>
      <c r="F206" s="35"/>
      <c r="G206" s="35"/>
      <c r="H206" s="35"/>
      <c r="I206" s="35"/>
      <c r="J206" s="35"/>
      <c r="K206" s="35"/>
      <c r="L206" s="35"/>
      <c r="M206" s="31"/>
      <c r="N206" s="32"/>
      <c r="O206" s="32"/>
      <c r="P206" s="32"/>
      <c r="Q206" s="32"/>
      <c r="R206" s="32"/>
      <c r="S206" s="32"/>
      <c r="T206" s="32"/>
      <c r="U206" s="29"/>
      <c r="V206" s="29"/>
      <c r="W206" s="24"/>
      <c r="X206" s="18"/>
      <c r="Y206" s="18"/>
      <c r="Z206" s="18"/>
      <c r="AA206" s="18"/>
      <c r="AB206" s="18"/>
      <c r="AC206" s="18"/>
      <c r="AD206" s="18"/>
      <c r="AE206" s="19"/>
      <c r="AF206" s="20"/>
      <c r="AG206" s="21"/>
      <c r="AH206" s="21"/>
      <c r="AI206" s="19"/>
      <c r="AJ206" s="29"/>
      <c r="AK206" s="29"/>
      <c r="AL206" s="29"/>
    </row>
    <row r="207" spans="2:38" s="28" customFormat="1" x14ac:dyDescent="0.3">
      <c r="B207" s="24"/>
      <c r="C207" s="37"/>
      <c r="D207" s="37"/>
      <c r="E207" s="37"/>
      <c r="F207" s="35"/>
      <c r="G207" s="35"/>
      <c r="H207" s="35"/>
      <c r="I207" s="35"/>
      <c r="J207" s="35"/>
      <c r="K207" s="35"/>
      <c r="L207" s="35"/>
      <c r="M207" s="31"/>
      <c r="N207" s="32"/>
      <c r="O207" s="32"/>
      <c r="P207" s="32"/>
      <c r="Q207" s="32"/>
      <c r="R207" s="32"/>
      <c r="S207" s="32"/>
      <c r="T207" s="32"/>
      <c r="U207" s="29"/>
      <c r="V207" s="29"/>
      <c r="W207" s="24"/>
      <c r="X207" s="18"/>
      <c r="Y207" s="18"/>
      <c r="Z207" s="18"/>
      <c r="AA207" s="18"/>
      <c r="AB207" s="18"/>
      <c r="AC207" s="18"/>
      <c r="AD207" s="18"/>
      <c r="AE207" s="19"/>
      <c r="AF207" s="20"/>
      <c r="AG207" s="21"/>
      <c r="AH207" s="21"/>
      <c r="AI207" s="19"/>
      <c r="AJ207" s="29"/>
      <c r="AK207" s="29"/>
      <c r="AL207" s="29"/>
    </row>
    <row r="208" spans="2:38" s="28" customFormat="1" x14ac:dyDescent="0.3">
      <c r="B208" s="24"/>
      <c r="C208" s="37"/>
      <c r="D208" s="37"/>
      <c r="E208" s="37"/>
      <c r="F208" s="35"/>
      <c r="G208" s="35"/>
      <c r="H208" s="35"/>
      <c r="I208" s="35"/>
      <c r="J208" s="35"/>
      <c r="K208" s="35"/>
      <c r="L208" s="35"/>
      <c r="M208" s="31"/>
      <c r="N208" s="32"/>
      <c r="O208" s="32"/>
      <c r="P208" s="32"/>
      <c r="Q208" s="32"/>
      <c r="R208" s="32"/>
      <c r="S208" s="32"/>
      <c r="T208" s="32"/>
      <c r="U208" s="29"/>
      <c r="V208" s="29"/>
      <c r="W208" s="24"/>
      <c r="X208" s="18"/>
      <c r="Y208" s="18"/>
      <c r="Z208" s="18"/>
      <c r="AA208" s="18"/>
      <c r="AB208" s="18"/>
      <c r="AC208" s="18"/>
      <c r="AD208" s="18"/>
      <c r="AE208" s="19"/>
      <c r="AF208" s="20"/>
      <c r="AG208" s="21"/>
      <c r="AH208" s="21"/>
      <c r="AI208" s="19"/>
      <c r="AJ208" s="29"/>
      <c r="AK208" s="29"/>
      <c r="AL208" s="29"/>
    </row>
    <row r="209" spans="2:38" s="28" customFormat="1" x14ac:dyDescent="0.3">
      <c r="B209" s="24"/>
      <c r="C209" s="37"/>
      <c r="D209" s="37"/>
      <c r="E209" s="37"/>
      <c r="F209" s="35"/>
      <c r="G209" s="35"/>
      <c r="H209" s="35"/>
      <c r="I209" s="35"/>
      <c r="J209" s="35"/>
      <c r="K209" s="35"/>
      <c r="L209" s="35"/>
      <c r="M209" s="31"/>
      <c r="N209" s="32"/>
      <c r="O209" s="32"/>
      <c r="P209" s="32"/>
      <c r="Q209" s="32"/>
      <c r="R209" s="32"/>
      <c r="S209" s="32"/>
      <c r="T209" s="32"/>
      <c r="U209" s="29"/>
      <c r="V209" s="29"/>
      <c r="W209" s="24"/>
      <c r="X209" s="18"/>
      <c r="Y209" s="18"/>
      <c r="Z209" s="18"/>
      <c r="AA209" s="18"/>
      <c r="AB209" s="18"/>
      <c r="AC209" s="18"/>
      <c r="AD209" s="18"/>
      <c r="AE209" s="19"/>
      <c r="AF209" s="20"/>
      <c r="AG209" s="21"/>
      <c r="AH209" s="21"/>
      <c r="AI209" s="19"/>
      <c r="AJ209" s="29"/>
      <c r="AK209" s="29"/>
      <c r="AL209" s="29"/>
    </row>
    <row r="210" spans="2:38" s="28" customFormat="1" x14ac:dyDescent="0.3">
      <c r="B210" s="24"/>
      <c r="C210" s="37"/>
      <c r="D210" s="37"/>
      <c r="E210" s="37"/>
      <c r="F210" s="35"/>
      <c r="G210" s="35"/>
      <c r="H210" s="35"/>
      <c r="I210" s="35"/>
      <c r="J210" s="35"/>
      <c r="K210" s="35"/>
      <c r="L210" s="35"/>
      <c r="M210" s="31"/>
      <c r="N210" s="32"/>
      <c r="O210" s="32"/>
      <c r="P210" s="32"/>
      <c r="Q210" s="32"/>
      <c r="R210" s="32"/>
      <c r="S210" s="32"/>
      <c r="T210" s="32"/>
      <c r="U210" s="29"/>
      <c r="V210" s="29"/>
      <c r="W210" s="24"/>
      <c r="X210" s="18"/>
      <c r="Y210" s="18"/>
      <c r="Z210" s="18"/>
      <c r="AA210" s="18"/>
      <c r="AB210" s="18"/>
      <c r="AC210" s="18"/>
      <c r="AD210" s="18"/>
      <c r="AE210" s="19"/>
      <c r="AF210" s="20"/>
      <c r="AG210" s="21"/>
      <c r="AH210" s="21"/>
      <c r="AI210" s="19"/>
      <c r="AJ210" s="29"/>
      <c r="AK210" s="29"/>
      <c r="AL210" s="29"/>
    </row>
    <row r="211" spans="2:38" s="28" customFormat="1" x14ac:dyDescent="0.3">
      <c r="B211" s="24"/>
      <c r="C211" s="37"/>
      <c r="D211" s="37"/>
      <c r="E211" s="37"/>
      <c r="F211" s="35"/>
      <c r="G211" s="35"/>
      <c r="H211" s="35"/>
      <c r="I211" s="35"/>
      <c r="J211" s="35"/>
      <c r="K211" s="35"/>
      <c r="L211" s="35"/>
      <c r="M211" s="31"/>
      <c r="N211" s="32"/>
      <c r="O211" s="32"/>
      <c r="P211" s="32"/>
      <c r="Q211" s="32"/>
      <c r="R211" s="32"/>
      <c r="S211" s="32"/>
      <c r="T211" s="32"/>
      <c r="U211" s="29"/>
      <c r="V211" s="29"/>
      <c r="W211" s="24"/>
      <c r="X211" s="18"/>
      <c r="Y211" s="18"/>
      <c r="Z211" s="18"/>
      <c r="AA211" s="18"/>
      <c r="AB211" s="18"/>
      <c r="AC211" s="18"/>
      <c r="AD211" s="18"/>
      <c r="AE211" s="19"/>
      <c r="AF211" s="20"/>
      <c r="AG211" s="21"/>
      <c r="AH211" s="21"/>
      <c r="AI211" s="19"/>
      <c r="AJ211" s="29"/>
      <c r="AK211" s="29"/>
      <c r="AL211" s="29"/>
    </row>
    <row r="212" spans="2:38" s="28" customFormat="1" x14ac:dyDescent="0.3">
      <c r="B212" s="24"/>
      <c r="C212" s="37"/>
      <c r="D212" s="37"/>
      <c r="E212" s="37"/>
      <c r="F212" s="35"/>
      <c r="G212" s="35"/>
      <c r="H212" s="35"/>
      <c r="I212" s="35"/>
      <c r="J212" s="35"/>
      <c r="K212" s="35"/>
      <c r="L212" s="35"/>
      <c r="M212" s="31"/>
      <c r="N212" s="32"/>
      <c r="O212" s="32"/>
      <c r="P212" s="32"/>
      <c r="Q212" s="32"/>
      <c r="R212" s="32"/>
      <c r="S212" s="32"/>
      <c r="T212" s="32"/>
      <c r="U212" s="29"/>
      <c r="V212" s="29"/>
      <c r="W212" s="24"/>
      <c r="X212" s="18"/>
      <c r="Y212" s="18"/>
      <c r="Z212" s="18"/>
      <c r="AA212" s="18"/>
      <c r="AB212" s="18"/>
      <c r="AC212" s="18"/>
      <c r="AD212" s="18"/>
      <c r="AE212" s="19"/>
      <c r="AF212" s="20"/>
      <c r="AG212" s="21"/>
      <c r="AH212" s="21"/>
      <c r="AI212" s="19"/>
      <c r="AJ212" s="29"/>
      <c r="AK212" s="29"/>
      <c r="AL212" s="29"/>
    </row>
    <row r="213" spans="2:38" s="28" customFormat="1" x14ac:dyDescent="0.3">
      <c r="B213" s="24"/>
      <c r="C213" s="37"/>
      <c r="D213" s="37"/>
      <c r="E213" s="37"/>
      <c r="F213" s="35"/>
      <c r="G213" s="35"/>
      <c r="H213" s="35"/>
      <c r="I213" s="35"/>
      <c r="J213" s="35"/>
      <c r="K213" s="35"/>
      <c r="L213" s="35"/>
      <c r="M213" s="31"/>
      <c r="N213" s="32"/>
      <c r="O213" s="32"/>
      <c r="P213" s="32"/>
      <c r="Q213" s="32"/>
      <c r="R213" s="32"/>
      <c r="S213" s="32"/>
      <c r="T213" s="32"/>
      <c r="U213" s="29"/>
      <c r="V213" s="29"/>
      <c r="W213" s="24"/>
      <c r="X213" s="18"/>
      <c r="Y213" s="18"/>
      <c r="Z213" s="18"/>
      <c r="AA213" s="18"/>
      <c r="AB213" s="18"/>
      <c r="AC213" s="18"/>
      <c r="AD213" s="18"/>
      <c r="AE213" s="19"/>
      <c r="AF213" s="20"/>
      <c r="AG213" s="21"/>
      <c r="AH213" s="21"/>
      <c r="AI213" s="19"/>
      <c r="AJ213" s="29"/>
      <c r="AK213" s="29"/>
      <c r="AL213" s="29"/>
    </row>
    <row r="214" spans="2:38" s="28" customFormat="1" x14ac:dyDescent="0.3">
      <c r="B214" s="24"/>
      <c r="C214" s="37"/>
      <c r="D214" s="37"/>
      <c r="E214" s="37"/>
      <c r="F214" s="35"/>
      <c r="G214" s="35"/>
      <c r="H214" s="35"/>
      <c r="I214" s="35"/>
      <c r="J214" s="35"/>
      <c r="K214" s="35"/>
      <c r="L214" s="35"/>
      <c r="M214" s="31"/>
      <c r="N214" s="32"/>
      <c r="O214" s="32"/>
      <c r="P214" s="32"/>
      <c r="Q214" s="32"/>
      <c r="R214" s="32"/>
      <c r="S214" s="32"/>
      <c r="T214" s="32"/>
      <c r="U214" s="29"/>
      <c r="V214" s="29"/>
      <c r="W214" s="24"/>
      <c r="X214" s="18"/>
      <c r="Y214" s="18"/>
      <c r="Z214" s="18"/>
      <c r="AA214" s="18"/>
      <c r="AB214" s="18"/>
      <c r="AC214" s="18"/>
      <c r="AD214" s="18"/>
      <c r="AE214" s="19"/>
      <c r="AF214" s="20"/>
      <c r="AG214" s="21"/>
      <c r="AH214" s="21"/>
      <c r="AI214" s="19"/>
      <c r="AJ214" s="29"/>
      <c r="AK214" s="29"/>
      <c r="AL214" s="29"/>
    </row>
    <row r="215" spans="2:38" s="28" customFormat="1" x14ac:dyDescent="0.3">
      <c r="B215" s="24"/>
      <c r="C215" s="37"/>
      <c r="D215" s="37"/>
      <c r="E215" s="37"/>
      <c r="F215" s="35"/>
      <c r="G215" s="35"/>
      <c r="H215" s="35"/>
      <c r="I215" s="35"/>
      <c r="J215" s="35"/>
      <c r="K215" s="35"/>
      <c r="L215" s="35"/>
      <c r="M215" s="31"/>
      <c r="N215" s="32"/>
      <c r="O215" s="32"/>
      <c r="P215" s="32"/>
      <c r="Q215" s="32"/>
      <c r="R215" s="32"/>
      <c r="S215" s="32"/>
      <c r="T215" s="32"/>
      <c r="U215" s="29"/>
      <c r="V215" s="29"/>
      <c r="W215" s="24"/>
      <c r="X215" s="18"/>
      <c r="Y215" s="18"/>
      <c r="Z215" s="18"/>
      <c r="AA215" s="18"/>
      <c r="AB215" s="18"/>
      <c r="AC215" s="18"/>
      <c r="AD215" s="18"/>
      <c r="AE215" s="19"/>
      <c r="AF215" s="20"/>
      <c r="AG215" s="21"/>
      <c r="AH215" s="21"/>
      <c r="AI215" s="19"/>
      <c r="AJ215" s="29"/>
      <c r="AK215" s="29"/>
      <c r="AL215" s="29"/>
    </row>
    <row r="216" spans="2:38" s="28" customFormat="1" x14ac:dyDescent="0.3">
      <c r="B216" s="24"/>
      <c r="C216" s="37"/>
      <c r="D216" s="37"/>
      <c r="E216" s="37"/>
      <c r="F216" s="35"/>
      <c r="G216" s="35"/>
      <c r="H216" s="35"/>
      <c r="I216" s="35"/>
      <c r="J216" s="35"/>
      <c r="K216" s="35"/>
      <c r="L216" s="35"/>
      <c r="M216" s="31"/>
      <c r="N216" s="32"/>
      <c r="O216" s="32"/>
      <c r="P216" s="32"/>
      <c r="Q216" s="32"/>
      <c r="R216" s="32"/>
      <c r="S216" s="32"/>
      <c r="T216" s="32"/>
      <c r="U216" s="29"/>
      <c r="V216" s="29"/>
      <c r="W216" s="24"/>
      <c r="X216" s="18"/>
      <c r="Y216" s="18"/>
      <c r="Z216" s="18"/>
      <c r="AA216" s="18"/>
      <c r="AB216" s="18"/>
      <c r="AC216" s="18"/>
      <c r="AD216" s="18"/>
      <c r="AE216" s="19"/>
      <c r="AF216" s="20"/>
      <c r="AG216" s="21"/>
      <c r="AH216" s="21"/>
      <c r="AI216" s="19"/>
      <c r="AJ216" s="29"/>
      <c r="AK216" s="29"/>
      <c r="AL216" s="29"/>
    </row>
    <row r="217" spans="2:38" s="28" customFormat="1" x14ac:dyDescent="0.3">
      <c r="B217" s="24"/>
      <c r="C217" s="37"/>
      <c r="D217" s="37"/>
      <c r="E217" s="37"/>
      <c r="F217" s="35"/>
      <c r="G217" s="35"/>
      <c r="H217" s="35"/>
      <c r="I217" s="35"/>
      <c r="J217" s="35"/>
      <c r="K217" s="35"/>
      <c r="L217" s="35"/>
      <c r="M217" s="31"/>
      <c r="N217" s="32"/>
      <c r="O217" s="32"/>
      <c r="P217" s="32"/>
      <c r="Q217" s="32"/>
      <c r="R217" s="32"/>
      <c r="S217" s="32"/>
      <c r="T217" s="32"/>
      <c r="U217" s="29"/>
      <c r="V217" s="29"/>
      <c r="W217" s="24"/>
      <c r="X217" s="18"/>
      <c r="Y217" s="18"/>
      <c r="Z217" s="18"/>
      <c r="AA217" s="18"/>
      <c r="AB217" s="18"/>
      <c r="AC217" s="18"/>
      <c r="AD217" s="18"/>
      <c r="AE217" s="19"/>
      <c r="AF217" s="20"/>
      <c r="AG217" s="21"/>
      <c r="AH217" s="21"/>
      <c r="AI217" s="19"/>
      <c r="AJ217" s="29"/>
      <c r="AK217" s="29"/>
      <c r="AL217" s="29"/>
    </row>
    <row r="218" spans="2:38" s="28" customFormat="1" x14ac:dyDescent="0.3">
      <c r="B218" s="24"/>
      <c r="C218" s="37"/>
      <c r="D218" s="37"/>
      <c r="E218" s="37"/>
      <c r="F218" s="35"/>
      <c r="G218" s="35"/>
      <c r="H218" s="35"/>
      <c r="I218" s="35"/>
      <c r="J218" s="35"/>
      <c r="K218" s="35"/>
      <c r="L218" s="35"/>
      <c r="M218" s="31"/>
      <c r="N218" s="32"/>
      <c r="O218" s="32"/>
      <c r="P218" s="32"/>
      <c r="Q218" s="32"/>
      <c r="R218" s="32"/>
      <c r="S218" s="32"/>
      <c r="T218" s="32"/>
      <c r="U218" s="29"/>
      <c r="V218" s="29"/>
      <c r="W218" s="24"/>
      <c r="X218" s="18"/>
      <c r="Y218" s="18"/>
      <c r="Z218" s="18"/>
      <c r="AA218" s="18"/>
      <c r="AB218" s="18"/>
      <c r="AC218" s="18"/>
      <c r="AD218" s="18"/>
      <c r="AE218" s="19"/>
      <c r="AF218" s="20"/>
      <c r="AG218" s="21"/>
      <c r="AH218" s="21"/>
      <c r="AI218" s="19"/>
      <c r="AJ218" s="29"/>
      <c r="AK218" s="29"/>
      <c r="AL218" s="29"/>
    </row>
    <row r="219" spans="2:38" s="28" customFormat="1" x14ac:dyDescent="0.3">
      <c r="B219" s="24"/>
      <c r="C219" s="37"/>
      <c r="D219" s="37"/>
      <c r="E219" s="37"/>
      <c r="F219" s="35"/>
      <c r="G219" s="35"/>
      <c r="H219" s="35"/>
      <c r="I219" s="35"/>
      <c r="J219" s="35"/>
      <c r="K219" s="35"/>
      <c r="L219" s="35"/>
      <c r="M219" s="31"/>
      <c r="N219" s="32"/>
      <c r="O219" s="32"/>
      <c r="P219" s="32"/>
      <c r="Q219" s="32"/>
      <c r="R219" s="32"/>
      <c r="S219" s="32"/>
      <c r="T219" s="32"/>
      <c r="U219" s="29"/>
      <c r="V219" s="29"/>
      <c r="W219" s="24"/>
      <c r="X219" s="18"/>
      <c r="Y219" s="18"/>
      <c r="Z219" s="18"/>
      <c r="AA219" s="18"/>
      <c r="AB219" s="18"/>
      <c r="AC219" s="18"/>
      <c r="AD219" s="18"/>
      <c r="AE219" s="19"/>
      <c r="AF219" s="20"/>
      <c r="AG219" s="21"/>
      <c r="AH219" s="21"/>
      <c r="AI219" s="19"/>
      <c r="AJ219" s="29"/>
      <c r="AK219" s="29"/>
      <c r="AL219" s="29"/>
    </row>
    <row r="220" spans="2:38" s="28" customFormat="1" x14ac:dyDescent="0.3">
      <c r="B220" s="24"/>
      <c r="C220" s="37"/>
      <c r="D220" s="37"/>
      <c r="E220" s="37"/>
      <c r="F220" s="35"/>
      <c r="G220" s="35"/>
      <c r="H220" s="35"/>
      <c r="I220" s="35"/>
      <c r="J220" s="35"/>
      <c r="K220" s="35"/>
      <c r="L220" s="35"/>
      <c r="M220" s="31"/>
      <c r="N220" s="32"/>
      <c r="O220" s="32"/>
      <c r="P220" s="32"/>
      <c r="Q220" s="32"/>
      <c r="R220" s="32"/>
      <c r="S220" s="32"/>
      <c r="T220" s="32"/>
      <c r="U220" s="29"/>
      <c r="V220" s="29"/>
      <c r="W220" s="24"/>
      <c r="X220" s="18"/>
      <c r="Y220" s="18"/>
      <c r="Z220" s="18"/>
      <c r="AA220" s="18"/>
      <c r="AB220" s="18"/>
      <c r="AC220" s="18"/>
      <c r="AD220" s="18"/>
      <c r="AE220" s="19"/>
      <c r="AF220" s="20"/>
      <c r="AG220" s="21"/>
      <c r="AH220" s="21"/>
      <c r="AI220" s="19"/>
      <c r="AJ220" s="29"/>
      <c r="AK220" s="29"/>
      <c r="AL220" s="29"/>
    </row>
    <row r="221" spans="2:38" s="28" customFormat="1" x14ac:dyDescent="0.3">
      <c r="B221" s="24"/>
      <c r="C221" s="37"/>
      <c r="D221" s="37"/>
      <c r="E221" s="37"/>
      <c r="F221" s="35"/>
      <c r="G221" s="35"/>
      <c r="H221" s="35"/>
      <c r="I221" s="35"/>
      <c r="J221" s="35"/>
      <c r="K221" s="35"/>
      <c r="L221" s="35"/>
      <c r="M221" s="31"/>
      <c r="N221" s="32"/>
      <c r="O221" s="32"/>
      <c r="P221" s="32"/>
      <c r="Q221" s="32"/>
      <c r="R221" s="32"/>
      <c r="S221" s="32"/>
      <c r="T221" s="32"/>
      <c r="U221" s="29"/>
      <c r="V221" s="29"/>
      <c r="W221" s="24"/>
      <c r="X221" s="18"/>
      <c r="Y221" s="18"/>
      <c r="Z221" s="18"/>
      <c r="AA221" s="18"/>
      <c r="AB221" s="18"/>
      <c r="AC221" s="18"/>
      <c r="AD221" s="18"/>
      <c r="AE221" s="19"/>
      <c r="AF221" s="20"/>
      <c r="AG221" s="21"/>
      <c r="AH221" s="21"/>
      <c r="AI221" s="19"/>
      <c r="AJ221" s="29"/>
      <c r="AK221" s="29"/>
      <c r="AL221" s="29"/>
    </row>
    <row r="222" spans="2:38" s="28" customFormat="1" x14ac:dyDescent="0.3">
      <c r="B222" s="24"/>
      <c r="C222" s="37"/>
      <c r="D222" s="37"/>
      <c r="E222" s="37"/>
      <c r="F222" s="35"/>
      <c r="G222" s="35"/>
      <c r="H222" s="35"/>
      <c r="I222" s="35"/>
      <c r="J222" s="35"/>
      <c r="K222" s="35"/>
      <c r="L222" s="35"/>
      <c r="M222" s="31"/>
      <c r="N222" s="32"/>
      <c r="O222" s="32"/>
      <c r="P222" s="32"/>
      <c r="Q222" s="32"/>
      <c r="R222" s="32"/>
      <c r="S222" s="32"/>
      <c r="T222" s="32"/>
      <c r="U222" s="29"/>
      <c r="V222" s="29"/>
      <c r="W222" s="24"/>
      <c r="X222" s="18"/>
      <c r="Y222" s="18"/>
      <c r="Z222" s="18"/>
      <c r="AA222" s="18"/>
      <c r="AB222" s="18"/>
      <c r="AC222" s="18"/>
      <c r="AD222" s="18"/>
      <c r="AE222" s="19"/>
      <c r="AF222" s="20"/>
      <c r="AG222" s="21"/>
      <c r="AH222" s="21"/>
      <c r="AI222" s="19"/>
      <c r="AJ222" s="29"/>
      <c r="AK222" s="29"/>
      <c r="AL222" s="29"/>
    </row>
    <row r="223" spans="2:38" s="28" customFormat="1" x14ac:dyDescent="0.3">
      <c r="B223" s="24"/>
      <c r="C223" s="37"/>
      <c r="D223" s="37"/>
      <c r="E223" s="37"/>
      <c r="F223" s="35"/>
      <c r="G223" s="35"/>
      <c r="H223" s="35"/>
      <c r="I223" s="35"/>
      <c r="J223" s="35"/>
      <c r="K223" s="35"/>
      <c r="L223" s="35"/>
      <c r="M223" s="31"/>
      <c r="N223" s="32"/>
      <c r="O223" s="32"/>
      <c r="P223" s="32"/>
      <c r="Q223" s="32"/>
      <c r="R223" s="32"/>
      <c r="S223" s="32"/>
      <c r="T223" s="32"/>
      <c r="U223" s="29"/>
      <c r="V223" s="29"/>
      <c r="W223" s="24"/>
      <c r="X223" s="18"/>
      <c r="Y223" s="18"/>
      <c r="Z223" s="18"/>
      <c r="AA223" s="18"/>
      <c r="AB223" s="18"/>
      <c r="AC223" s="18"/>
      <c r="AD223" s="18"/>
      <c r="AE223" s="19"/>
      <c r="AF223" s="20"/>
      <c r="AG223" s="21"/>
      <c r="AH223" s="21"/>
      <c r="AI223" s="19"/>
      <c r="AJ223" s="29"/>
      <c r="AK223" s="29"/>
      <c r="AL223" s="29"/>
    </row>
    <row r="224" spans="2:38" s="28" customFormat="1" x14ac:dyDescent="0.3">
      <c r="B224" s="24"/>
      <c r="C224" s="37"/>
      <c r="D224" s="37"/>
      <c r="E224" s="37"/>
      <c r="F224" s="35"/>
      <c r="G224" s="35"/>
      <c r="H224" s="35"/>
      <c r="I224" s="35"/>
      <c r="J224" s="35"/>
      <c r="K224" s="35"/>
      <c r="L224" s="35"/>
      <c r="M224" s="31"/>
      <c r="N224" s="32"/>
      <c r="O224" s="32"/>
      <c r="P224" s="32"/>
      <c r="Q224" s="32"/>
      <c r="R224" s="32"/>
      <c r="S224" s="32"/>
      <c r="T224" s="32"/>
      <c r="U224" s="29"/>
      <c r="V224" s="29"/>
      <c r="W224" s="24"/>
      <c r="X224" s="18"/>
      <c r="Y224" s="18"/>
      <c r="Z224" s="18"/>
      <c r="AA224" s="18"/>
      <c r="AB224" s="18"/>
      <c r="AC224" s="18"/>
      <c r="AD224" s="18"/>
      <c r="AE224" s="19"/>
      <c r="AF224" s="20"/>
      <c r="AG224" s="21"/>
      <c r="AH224" s="21"/>
      <c r="AI224" s="19"/>
      <c r="AJ224" s="29"/>
      <c r="AK224" s="29"/>
      <c r="AL224" s="29"/>
    </row>
    <row r="225" spans="2:38" s="28" customFormat="1" x14ac:dyDescent="0.3">
      <c r="B225" s="24"/>
      <c r="C225" s="37"/>
      <c r="D225" s="37"/>
      <c r="E225" s="37"/>
      <c r="F225" s="35"/>
      <c r="G225" s="35"/>
      <c r="H225" s="35"/>
      <c r="I225" s="35"/>
      <c r="J225" s="35"/>
      <c r="K225" s="35"/>
      <c r="L225" s="35"/>
      <c r="M225" s="31"/>
      <c r="N225" s="32"/>
      <c r="O225" s="32"/>
      <c r="P225" s="32"/>
      <c r="Q225" s="32"/>
      <c r="R225" s="32"/>
      <c r="S225" s="32"/>
      <c r="T225" s="32"/>
      <c r="U225" s="29"/>
      <c r="V225" s="29"/>
      <c r="W225" s="24"/>
      <c r="X225" s="18"/>
      <c r="Y225" s="18"/>
      <c r="Z225" s="18"/>
      <c r="AA225" s="18"/>
      <c r="AB225" s="18"/>
      <c r="AC225" s="18"/>
      <c r="AD225" s="18"/>
      <c r="AE225" s="19"/>
      <c r="AF225" s="20"/>
      <c r="AG225" s="21"/>
      <c r="AH225" s="21"/>
      <c r="AI225" s="19"/>
      <c r="AJ225" s="29"/>
      <c r="AK225" s="29"/>
      <c r="AL225" s="29"/>
    </row>
    <row r="226" spans="2:38" s="28" customFormat="1" x14ac:dyDescent="0.3">
      <c r="B226" s="24"/>
      <c r="C226" s="37"/>
      <c r="D226" s="37"/>
      <c r="E226" s="37"/>
      <c r="F226" s="35"/>
      <c r="G226" s="35"/>
      <c r="H226" s="35"/>
      <c r="I226" s="35"/>
      <c r="J226" s="35"/>
      <c r="K226" s="35"/>
      <c r="L226" s="35"/>
      <c r="M226" s="31"/>
      <c r="N226" s="32"/>
      <c r="O226" s="32"/>
      <c r="P226" s="32"/>
      <c r="Q226" s="32"/>
      <c r="R226" s="32"/>
      <c r="S226" s="32"/>
      <c r="T226" s="32"/>
      <c r="U226" s="29"/>
      <c r="V226" s="29"/>
      <c r="W226" s="24"/>
      <c r="X226" s="18"/>
      <c r="Y226" s="18"/>
      <c r="Z226" s="18"/>
      <c r="AA226" s="18"/>
      <c r="AB226" s="18"/>
      <c r="AC226" s="18"/>
      <c r="AD226" s="18"/>
      <c r="AE226" s="19"/>
      <c r="AF226" s="20"/>
      <c r="AG226" s="21"/>
      <c r="AH226" s="21"/>
      <c r="AI226" s="19"/>
      <c r="AJ226" s="29"/>
      <c r="AK226" s="29"/>
      <c r="AL226" s="29"/>
    </row>
    <row r="227" spans="2:38" s="28" customFormat="1" x14ac:dyDescent="0.3">
      <c r="B227" s="24"/>
      <c r="C227" s="37"/>
      <c r="D227" s="37"/>
      <c r="E227" s="37"/>
      <c r="F227" s="35"/>
      <c r="G227" s="35"/>
      <c r="H227" s="35"/>
      <c r="I227" s="35"/>
      <c r="J227" s="35"/>
      <c r="K227" s="35"/>
      <c r="L227" s="35"/>
      <c r="M227" s="31"/>
      <c r="N227" s="32"/>
      <c r="O227" s="32"/>
      <c r="P227" s="32"/>
      <c r="Q227" s="32"/>
      <c r="R227" s="32"/>
      <c r="S227" s="32"/>
      <c r="T227" s="32"/>
      <c r="U227" s="29"/>
      <c r="V227" s="29"/>
      <c r="W227" s="24"/>
      <c r="X227" s="18"/>
      <c r="Y227" s="18"/>
      <c r="Z227" s="18"/>
      <c r="AA227" s="18"/>
      <c r="AB227" s="18"/>
      <c r="AC227" s="18"/>
      <c r="AD227" s="18"/>
      <c r="AE227" s="19"/>
      <c r="AF227" s="20"/>
      <c r="AG227" s="21"/>
      <c r="AH227" s="21"/>
      <c r="AI227" s="19"/>
      <c r="AJ227" s="29"/>
      <c r="AK227" s="29"/>
      <c r="AL227" s="29"/>
    </row>
    <row r="228" spans="2:38" s="28" customFormat="1" x14ac:dyDescent="0.3">
      <c r="B228" s="24"/>
      <c r="C228" s="37"/>
      <c r="D228" s="37"/>
      <c r="E228" s="37"/>
      <c r="F228" s="35"/>
      <c r="G228" s="35"/>
      <c r="H228" s="35"/>
      <c r="I228" s="35"/>
      <c r="J228" s="35"/>
      <c r="K228" s="35"/>
      <c r="L228" s="35"/>
      <c r="M228" s="31"/>
      <c r="N228" s="32"/>
      <c r="O228" s="32"/>
      <c r="P228" s="32"/>
      <c r="Q228" s="32"/>
      <c r="R228" s="32"/>
      <c r="S228" s="32"/>
      <c r="T228" s="32"/>
      <c r="U228" s="29"/>
      <c r="V228" s="29"/>
      <c r="W228" s="24"/>
      <c r="X228" s="18"/>
      <c r="Y228" s="18"/>
      <c r="Z228" s="18"/>
      <c r="AA228" s="18"/>
      <c r="AB228" s="18"/>
      <c r="AC228" s="18"/>
      <c r="AD228" s="18"/>
      <c r="AE228" s="19"/>
      <c r="AF228" s="20"/>
      <c r="AG228" s="21"/>
      <c r="AH228" s="21"/>
      <c r="AI228" s="19"/>
      <c r="AJ228" s="29"/>
      <c r="AK228" s="29"/>
      <c r="AL228" s="29"/>
    </row>
    <row r="229" spans="2:38" s="28" customFormat="1" x14ac:dyDescent="0.3">
      <c r="B229" s="24"/>
      <c r="C229" s="37"/>
      <c r="D229" s="37"/>
      <c r="E229" s="37"/>
      <c r="F229" s="35"/>
      <c r="G229" s="35"/>
      <c r="H229" s="35"/>
      <c r="I229" s="35"/>
      <c r="J229" s="35"/>
      <c r="K229" s="35"/>
      <c r="L229" s="35"/>
      <c r="M229" s="31"/>
      <c r="N229" s="32"/>
      <c r="O229" s="32"/>
      <c r="P229" s="32"/>
      <c r="Q229" s="32"/>
      <c r="R229" s="32"/>
      <c r="S229" s="32"/>
      <c r="T229" s="32"/>
      <c r="U229" s="29"/>
      <c r="V229" s="29"/>
      <c r="W229" s="24"/>
      <c r="X229" s="18"/>
      <c r="Y229" s="18"/>
      <c r="Z229" s="18"/>
      <c r="AA229" s="18"/>
      <c r="AB229" s="18"/>
      <c r="AC229" s="18"/>
      <c r="AD229" s="18"/>
      <c r="AE229" s="19"/>
      <c r="AF229" s="20"/>
      <c r="AG229" s="21"/>
      <c r="AH229" s="21"/>
      <c r="AI229" s="19"/>
      <c r="AJ229" s="29"/>
      <c r="AK229" s="29"/>
      <c r="AL229" s="29"/>
    </row>
    <row r="230" spans="2:38" s="28" customFormat="1" x14ac:dyDescent="0.3">
      <c r="B230" s="24"/>
      <c r="C230" s="37"/>
      <c r="D230" s="37"/>
      <c r="E230" s="37"/>
      <c r="F230" s="35"/>
      <c r="G230" s="35"/>
      <c r="H230" s="35"/>
      <c r="I230" s="35"/>
      <c r="J230" s="35"/>
      <c r="K230" s="35"/>
      <c r="L230" s="35"/>
      <c r="M230" s="31"/>
      <c r="N230" s="32"/>
      <c r="O230" s="32"/>
      <c r="P230" s="32"/>
      <c r="Q230" s="32"/>
      <c r="R230" s="32"/>
      <c r="S230" s="32"/>
      <c r="T230" s="32"/>
      <c r="U230" s="29"/>
      <c r="V230" s="29"/>
      <c r="W230" s="24"/>
      <c r="X230" s="18"/>
      <c r="Y230" s="18"/>
      <c r="Z230" s="18"/>
      <c r="AA230" s="18"/>
      <c r="AB230" s="18"/>
      <c r="AC230" s="18"/>
      <c r="AD230" s="18"/>
      <c r="AE230" s="19"/>
      <c r="AF230" s="20"/>
      <c r="AG230" s="21"/>
      <c r="AH230" s="21"/>
      <c r="AI230" s="19"/>
      <c r="AJ230" s="29"/>
      <c r="AK230" s="29"/>
      <c r="AL230" s="29"/>
    </row>
    <row r="231" spans="2:38" s="28" customFormat="1" x14ac:dyDescent="0.3">
      <c r="B231" s="24"/>
      <c r="C231" s="37"/>
      <c r="D231" s="37"/>
      <c r="E231" s="37"/>
      <c r="F231" s="35"/>
      <c r="G231" s="35"/>
      <c r="H231" s="35"/>
      <c r="I231" s="35"/>
      <c r="J231" s="35"/>
      <c r="K231" s="35"/>
      <c r="L231" s="35"/>
      <c r="M231" s="31"/>
      <c r="N231" s="32"/>
      <c r="O231" s="32"/>
      <c r="P231" s="32"/>
      <c r="Q231" s="32"/>
      <c r="R231" s="32"/>
      <c r="S231" s="32"/>
      <c r="T231" s="32"/>
      <c r="U231" s="29"/>
      <c r="V231" s="29"/>
      <c r="W231" s="24"/>
      <c r="X231" s="18"/>
      <c r="Y231" s="18"/>
      <c r="Z231" s="18"/>
      <c r="AA231" s="18"/>
      <c r="AB231" s="18"/>
      <c r="AC231" s="18"/>
      <c r="AD231" s="18"/>
      <c r="AE231" s="19"/>
      <c r="AF231" s="20"/>
      <c r="AG231" s="21"/>
      <c r="AH231" s="21"/>
      <c r="AI231" s="19"/>
      <c r="AJ231" s="29"/>
      <c r="AK231" s="29"/>
      <c r="AL231" s="29"/>
    </row>
    <row r="232" spans="2:38" s="28" customFormat="1" x14ac:dyDescent="0.3">
      <c r="B232" s="24"/>
      <c r="C232" s="37"/>
      <c r="D232" s="37"/>
      <c r="E232" s="37"/>
      <c r="F232" s="35"/>
      <c r="G232" s="35"/>
      <c r="H232" s="35"/>
      <c r="I232" s="35"/>
      <c r="J232" s="35"/>
      <c r="K232" s="35"/>
      <c r="L232" s="35"/>
      <c r="M232" s="31"/>
      <c r="N232" s="32"/>
      <c r="O232" s="32"/>
      <c r="P232" s="32"/>
      <c r="Q232" s="32"/>
      <c r="R232" s="32"/>
      <c r="S232" s="32"/>
      <c r="T232" s="32"/>
      <c r="U232" s="29"/>
      <c r="V232" s="29"/>
      <c r="W232" s="24"/>
      <c r="X232" s="18"/>
      <c r="Y232" s="18"/>
      <c r="Z232" s="18"/>
      <c r="AA232" s="18"/>
      <c r="AB232" s="18"/>
      <c r="AC232" s="18"/>
      <c r="AD232" s="18"/>
      <c r="AE232" s="19"/>
      <c r="AF232" s="20"/>
      <c r="AG232" s="21"/>
      <c r="AH232" s="21"/>
      <c r="AI232" s="19"/>
      <c r="AJ232" s="29"/>
      <c r="AK232" s="29"/>
      <c r="AL232" s="29"/>
    </row>
    <row r="233" spans="2:38" s="28" customFormat="1" x14ac:dyDescent="0.3">
      <c r="B233" s="24"/>
      <c r="C233" s="37"/>
      <c r="D233" s="37"/>
      <c r="E233" s="37"/>
      <c r="F233" s="35"/>
      <c r="G233" s="35"/>
      <c r="H233" s="35"/>
      <c r="I233" s="35"/>
      <c r="J233" s="35"/>
      <c r="K233" s="35"/>
      <c r="L233" s="35"/>
      <c r="M233" s="31"/>
      <c r="N233" s="32"/>
      <c r="O233" s="32"/>
      <c r="P233" s="32"/>
      <c r="Q233" s="32"/>
      <c r="R233" s="32"/>
      <c r="S233" s="32"/>
      <c r="T233" s="32"/>
      <c r="U233" s="29"/>
      <c r="V233" s="29"/>
      <c r="W233" s="24"/>
      <c r="X233" s="18"/>
      <c r="Y233" s="18"/>
      <c r="Z233" s="18"/>
      <c r="AA233" s="18"/>
      <c r="AB233" s="18"/>
      <c r="AC233" s="18"/>
      <c r="AD233" s="18"/>
      <c r="AE233" s="19"/>
      <c r="AF233" s="20"/>
      <c r="AG233" s="21"/>
      <c r="AH233" s="21"/>
      <c r="AI233" s="19"/>
      <c r="AJ233" s="29"/>
      <c r="AK233" s="29"/>
      <c r="AL233" s="29"/>
    </row>
    <row r="234" spans="2:38" s="28" customFormat="1" x14ac:dyDescent="0.3">
      <c r="B234" s="24"/>
      <c r="C234" s="37"/>
      <c r="D234" s="37"/>
      <c r="E234" s="37"/>
      <c r="F234" s="35"/>
      <c r="G234" s="35"/>
      <c r="H234" s="35"/>
      <c r="I234" s="35"/>
      <c r="J234" s="35"/>
      <c r="K234" s="35"/>
      <c r="L234" s="35"/>
      <c r="M234" s="31"/>
      <c r="N234" s="32"/>
      <c r="O234" s="32"/>
      <c r="P234" s="32"/>
      <c r="Q234" s="32"/>
      <c r="R234" s="32"/>
      <c r="S234" s="32"/>
      <c r="T234" s="32"/>
      <c r="U234" s="29"/>
      <c r="V234" s="29"/>
      <c r="W234" s="24"/>
      <c r="X234" s="18"/>
      <c r="Y234" s="18"/>
      <c r="Z234" s="18"/>
      <c r="AA234" s="18"/>
      <c r="AB234" s="18"/>
      <c r="AC234" s="18"/>
      <c r="AD234" s="18"/>
      <c r="AE234" s="19"/>
      <c r="AF234" s="20"/>
      <c r="AG234" s="21"/>
      <c r="AH234" s="21"/>
      <c r="AI234" s="19"/>
      <c r="AJ234" s="29"/>
      <c r="AK234" s="29"/>
      <c r="AL234" s="29"/>
    </row>
    <row r="235" spans="2:38" s="28" customFormat="1" x14ac:dyDescent="0.3">
      <c r="B235" s="24"/>
      <c r="C235" s="37"/>
      <c r="D235" s="37"/>
      <c r="E235" s="37"/>
      <c r="F235" s="35"/>
      <c r="G235" s="35"/>
      <c r="H235" s="35"/>
      <c r="I235" s="35"/>
      <c r="J235" s="35"/>
      <c r="K235" s="35"/>
      <c r="L235" s="35"/>
      <c r="M235" s="31"/>
      <c r="N235" s="32"/>
      <c r="O235" s="32"/>
      <c r="P235" s="32"/>
      <c r="Q235" s="32"/>
      <c r="R235" s="32"/>
      <c r="S235" s="32"/>
      <c r="T235" s="32"/>
      <c r="U235" s="29"/>
      <c r="V235" s="29"/>
      <c r="W235" s="24"/>
      <c r="X235" s="18"/>
      <c r="Y235" s="18"/>
      <c r="Z235" s="18"/>
      <c r="AA235" s="18"/>
      <c r="AB235" s="18"/>
      <c r="AC235" s="18"/>
      <c r="AD235" s="18"/>
      <c r="AE235" s="19"/>
      <c r="AF235" s="20"/>
      <c r="AG235" s="21"/>
      <c r="AH235" s="21"/>
      <c r="AI235" s="19"/>
      <c r="AJ235" s="29"/>
      <c r="AK235" s="29"/>
      <c r="AL235" s="29"/>
    </row>
    <row r="236" spans="2:38" s="28" customFormat="1" x14ac:dyDescent="0.3">
      <c r="B236" s="24"/>
      <c r="C236" s="37"/>
      <c r="D236" s="37"/>
      <c r="E236" s="37"/>
      <c r="F236" s="35"/>
      <c r="G236" s="35"/>
      <c r="H236" s="35"/>
      <c r="I236" s="35"/>
      <c r="J236" s="35"/>
      <c r="K236" s="35"/>
      <c r="L236" s="35"/>
      <c r="M236" s="31"/>
      <c r="N236" s="32"/>
      <c r="O236" s="32"/>
      <c r="P236" s="32"/>
      <c r="Q236" s="32"/>
      <c r="R236" s="32"/>
      <c r="S236" s="32"/>
      <c r="T236" s="32"/>
      <c r="U236" s="29"/>
      <c r="V236" s="29"/>
      <c r="W236" s="24"/>
      <c r="X236" s="18"/>
      <c r="Y236" s="18"/>
      <c r="Z236" s="18"/>
      <c r="AA236" s="18"/>
      <c r="AB236" s="18"/>
      <c r="AC236" s="18"/>
      <c r="AD236" s="18"/>
      <c r="AE236" s="19"/>
      <c r="AF236" s="20"/>
      <c r="AG236" s="21"/>
      <c r="AH236" s="21"/>
      <c r="AI236" s="19"/>
      <c r="AJ236" s="29"/>
      <c r="AK236" s="29"/>
      <c r="AL236" s="29"/>
    </row>
    <row r="237" spans="2:38" s="28" customFormat="1" x14ac:dyDescent="0.3">
      <c r="B237" s="24"/>
      <c r="C237" s="37"/>
      <c r="D237" s="37"/>
      <c r="E237" s="37"/>
      <c r="F237" s="35"/>
      <c r="G237" s="35"/>
      <c r="H237" s="35"/>
      <c r="I237" s="35"/>
      <c r="J237" s="35"/>
      <c r="K237" s="35"/>
      <c r="L237" s="35"/>
      <c r="M237" s="31"/>
      <c r="N237" s="32"/>
      <c r="O237" s="32"/>
      <c r="P237" s="32"/>
      <c r="Q237" s="32"/>
      <c r="R237" s="32"/>
      <c r="S237" s="32"/>
      <c r="T237" s="32"/>
      <c r="U237" s="29"/>
      <c r="V237" s="29"/>
      <c r="W237" s="24"/>
      <c r="X237" s="18"/>
      <c r="Y237" s="18"/>
      <c r="Z237" s="18"/>
      <c r="AA237" s="18"/>
      <c r="AB237" s="18"/>
      <c r="AC237" s="18"/>
      <c r="AD237" s="18"/>
      <c r="AE237" s="19"/>
      <c r="AF237" s="20"/>
      <c r="AG237" s="21"/>
      <c r="AH237" s="21"/>
      <c r="AI237" s="19"/>
      <c r="AJ237" s="29"/>
      <c r="AK237" s="29"/>
      <c r="AL237" s="29"/>
    </row>
    <row r="238" spans="2:38" s="28" customFormat="1" x14ac:dyDescent="0.3">
      <c r="B238" s="24"/>
      <c r="C238" s="37"/>
      <c r="D238" s="37"/>
      <c r="E238" s="37"/>
      <c r="F238" s="35"/>
      <c r="G238" s="35"/>
      <c r="H238" s="35"/>
      <c r="I238" s="35"/>
      <c r="J238" s="35"/>
      <c r="K238" s="35"/>
      <c r="L238" s="35"/>
      <c r="M238" s="31"/>
      <c r="N238" s="32"/>
      <c r="O238" s="32"/>
      <c r="P238" s="32"/>
      <c r="Q238" s="32"/>
      <c r="R238" s="32"/>
      <c r="S238" s="32"/>
      <c r="T238" s="32"/>
      <c r="U238" s="29"/>
      <c r="V238" s="29"/>
      <c r="W238" s="24"/>
      <c r="X238" s="18"/>
      <c r="Y238" s="18"/>
      <c r="Z238" s="18"/>
      <c r="AA238" s="18"/>
      <c r="AB238" s="18"/>
      <c r="AC238" s="18"/>
      <c r="AD238" s="18"/>
      <c r="AE238" s="19"/>
      <c r="AF238" s="20"/>
      <c r="AG238" s="21"/>
      <c r="AH238" s="21"/>
      <c r="AI238" s="19"/>
      <c r="AJ238" s="29"/>
      <c r="AK238" s="29"/>
      <c r="AL238" s="29"/>
    </row>
    <row r="239" spans="2:38" s="28" customFormat="1" x14ac:dyDescent="0.3">
      <c r="B239" s="24"/>
      <c r="C239" s="37"/>
      <c r="D239" s="37"/>
      <c r="E239" s="37"/>
      <c r="F239" s="35"/>
      <c r="G239" s="35"/>
      <c r="H239" s="35"/>
      <c r="I239" s="35"/>
      <c r="J239" s="35"/>
      <c r="K239" s="35"/>
      <c r="L239" s="35"/>
      <c r="M239" s="31"/>
      <c r="N239" s="32"/>
      <c r="O239" s="32"/>
      <c r="P239" s="32"/>
      <c r="Q239" s="32"/>
      <c r="R239" s="32"/>
      <c r="S239" s="32"/>
      <c r="T239" s="32"/>
      <c r="U239" s="29"/>
      <c r="V239" s="29"/>
      <c r="W239" s="24"/>
      <c r="X239" s="18"/>
      <c r="Y239" s="18"/>
      <c r="Z239" s="18"/>
      <c r="AA239" s="18"/>
      <c r="AB239" s="18"/>
      <c r="AC239" s="18"/>
      <c r="AD239" s="18"/>
      <c r="AE239" s="19"/>
      <c r="AF239" s="20"/>
      <c r="AG239" s="21"/>
      <c r="AH239" s="21"/>
      <c r="AI239" s="19"/>
      <c r="AJ239" s="29"/>
      <c r="AK239" s="29"/>
      <c r="AL239" s="29"/>
    </row>
    <row r="240" spans="2:38" s="28" customFormat="1" x14ac:dyDescent="0.3">
      <c r="B240" s="24"/>
      <c r="C240" s="37"/>
      <c r="D240" s="37"/>
      <c r="E240" s="37"/>
      <c r="F240" s="35"/>
      <c r="G240" s="35"/>
      <c r="H240" s="35"/>
      <c r="I240" s="35"/>
      <c r="J240" s="35"/>
      <c r="K240" s="35"/>
      <c r="L240" s="35"/>
      <c r="M240" s="31"/>
      <c r="N240" s="32"/>
      <c r="O240" s="32"/>
      <c r="P240" s="32"/>
      <c r="Q240" s="32"/>
      <c r="R240" s="32"/>
      <c r="S240" s="32"/>
      <c r="T240" s="32"/>
      <c r="U240" s="29"/>
      <c r="V240" s="29"/>
      <c r="W240" s="24"/>
      <c r="X240" s="18"/>
      <c r="Y240" s="18"/>
      <c r="Z240" s="18"/>
      <c r="AA240" s="18"/>
      <c r="AB240" s="18"/>
      <c r="AC240" s="18"/>
      <c r="AD240" s="18"/>
      <c r="AE240" s="19"/>
      <c r="AF240" s="20"/>
      <c r="AG240" s="21"/>
      <c r="AH240" s="21"/>
      <c r="AI240" s="19"/>
      <c r="AJ240" s="29"/>
      <c r="AK240" s="29"/>
      <c r="AL240" s="29"/>
    </row>
    <row r="241" spans="2:38" s="28" customFormat="1" x14ac:dyDescent="0.3">
      <c r="B241" s="24"/>
      <c r="C241" s="37"/>
      <c r="D241" s="37"/>
      <c r="E241" s="37"/>
      <c r="F241" s="35"/>
      <c r="G241" s="35"/>
      <c r="H241" s="35"/>
      <c r="I241" s="35"/>
      <c r="J241" s="35"/>
      <c r="K241" s="35"/>
      <c r="L241" s="35"/>
      <c r="M241" s="31"/>
      <c r="N241" s="32"/>
      <c r="O241" s="32"/>
      <c r="P241" s="32"/>
      <c r="Q241" s="32"/>
      <c r="R241" s="32"/>
      <c r="S241" s="32"/>
      <c r="T241" s="32"/>
      <c r="U241" s="29"/>
      <c r="V241" s="29"/>
      <c r="W241" s="24"/>
      <c r="X241" s="18"/>
      <c r="Y241" s="18"/>
      <c r="Z241" s="18"/>
      <c r="AA241" s="18"/>
      <c r="AB241" s="18"/>
      <c r="AC241" s="18"/>
      <c r="AD241" s="18"/>
      <c r="AE241" s="19"/>
      <c r="AF241" s="20"/>
      <c r="AG241" s="21"/>
      <c r="AH241" s="21"/>
      <c r="AI241" s="19"/>
      <c r="AJ241" s="29"/>
      <c r="AK241" s="29"/>
      <c r="AL241" s="29"/>
    </row>
    <row r="242" spans="2:38" s="28" customFormat="1" x14ac:dyDescent="0.3">
      <c r="B242" s="24"/>
      <c r="C242" s="37"/>
      <c r="D242" s="37"/>
      <c r="E242" s="37"/>
      <c r="F242" s="35"/>
      <c r="G242" s="35"/>
      <c r="H242" s="35"/>
      <c r="I242" s="35"/>
      <c r="J242" s="35"/>
      <c r="K242" s="35"/>
      <c r="L242" s="35"/>
      <c r="M242" s="31"/>
      <c r="N242" s="32"/>
      <c r="O242" s="32"/>
      <c r="P242" s="32"/>
      <c r="Q242" s="32"/>
      <c r="R242" s="32"/>
      <c r="S242" s="32"/>
      <c r="T242" s="32"/>
      <c r="U242" s="29"/>
      <c r="V242" s="29"/>
      <c r="W242" s="24"/>
      <c r="X242" s="18"/>
      <c r="Y242" s="18"/>
      <c r="Z242" s="18"/>
      <c r="AA242" s="18"/>
      <c r="AB242" s="18"/>
      <c r="AC242" s="18"/>
      <c r="AD242" s="18"/>
      <c r="AE242" s="19"/>
      <c r="AF242" s="20"/>
      <c r="AG242" s="21"/>
      <c r="AH242" s="21"/>
      <c r="AI242" s="19"/>
      <c r="AJ242" s="29"/>
      <c r="AK242" s="29"/>
      <c r="AL242" s="29"/>
    </row>
    <row r="243" spans="2:38" s="28" customFormat="1" x14ac:dyDescent="0.3">
      <c r="B243" s="24"/>
      <c r="C243" s="37"/>
      <c r="D243" s="37"/>
      <c r="E243" s="37"/>
      <c r="F243" s="35"/>
      <c r="G243" s="35"/>
      <c r="H243" s="35"/>
      <c r="I243" s="35"/>
      <c r="J243" s="35"/>
      <c r="K243" s="35"/>
      <c r="L243" s="35"/>
      <c r="M243" s="31"/>
      <c r="N243" s="32"/>
      <c r="O243" s="32"/>
      <c r="P243" s="32"/>
      <c r="Q243" s="32"/>
      <c r="R243" s="32"/>
      <c r="S243" s="32"/>
      <c r="T243" s="32"/>
      <c r="U243" s="29"/>
      <c r="V243" s="29"/>
      <c r="W243" s="24"/>
      <c r="X243" s="18"/>
      <c r="Y243" s="18"/>
      <c r="Z243" s="18"/>
      <c r="AA243" s="18"/>
      <c r="AB243" s="18"/>
      <c r="AC243" s="18"/>
      <c r="AD243" s="18"/>
      <c r="AE243" s="19"/>
      <c r="AF243" s="20"/>
      <c r="AG243" s="21"/>
      <c r="AH243" s="21"/>
      <c r="AI243" s="19"/>
      <c r="AJ243" s="29"/>
      <c r="AK243" s="29"/>
      <c r="AL243" s="29"/>
    </row>
    <row r="244" spans="2:38" s="28" customFormat="1" x14ac:dyDescent="0.3">
      <c r="B244" s="24"/>
      <c r="C244" s="37"/>
      <c r="D244" s="37"/>
      <c r="E244" s="37"/>
      <c r="F244" s="35"/>
      <c r="G244" s="35"/>
      <c r="H244" s="35"/>
      <c r="I244" s="35"/>
      <c r="J244" s="35"/>
      <c r="K244" s="35"/>
      <c r="L244" s="35"/>
      <c r="M244" s="31"/>
      <c r="N244" s="32"/>
      <c r="O244" s="32"/>
      <c r="P244" s="32"/>
      <c r="Q244" s="32"/>
      <c r="R244" s="32"/>
      <c r="S244" s="32"/>
      <c r="T244" s="32"/>
      <c r="U244" s="29"/>
      <c r="V244" s="29"/>
      <c r="W244" s="24"/>
      <c r="X244" s="18"/>
      <c r="Y244" s="18"/>
      <c r="Z244" s="18"/>
      <c r="AA244" s="18"/>
      <c r="AB244" s="18"/>
      <c r="AC244" s="18"/>
      <c r="AD244" s="18"/>
      <c r="AE244" s="19"/>
      <c r="AF244" s="20"/>
      <c r="AG244" s="21"/>
      <c r="AH244" s="21"/>
      <c r="AI244" s="19"/>
      <c r="AJ244" s="29"/>
      <c r="AK244" s="29"/>
      <c r="AL244" s="29"/>
    </row>
    <row r="245" spans="2:38" s="28" customFormat="1" x14ac:dyDescent="0.3">
      <c r="B245" s="24"/>
      <c r="C245" s="37"/>
      <c r="D245" s="37"/>
      <c r="E245" s="37"/>
      <c r="F245" s="35"/>
      <c r="G245" s="35"/>
      <c r="H245" s="35"/>
      <c r="I245" s="35"/>
      <c r="J245" s="35"/>
      <c r="K245" s="35"/>
      <c r="L245" s="35"/>
      <c r="M245" s="31"/>
      <c r="N245" s="32"/>
      <c r="O245" s="32"/>
      <c r="P245" s="32"/>
      <c r="Q245" s="32"/>
      <c r="R245" s="32"/>
      <c r="S245" s="32"/>
      <c r="T245" s="32"/>
      <c r="U245" s="29"/>
      <c r="V245" s="29"/>
      <c r="W245" s="24"/>
      <c r="X245" s="18"/>
      <c r="Y245" s="18"/>
      <c r="Z245" s="18"/>
      <c r="AA245" s="18"/>
      <c r="AB245" s="18"/>
      <c r="AC245" s="18"/>
      <c r="AD245" s="18"/>
      <c r="AE245" s="19"/>
      <c r="AF245" s="20"/>
      <c r="AG245" s="21"/>
      <c r="AH245" s="21"/>
      <c r="AI245" s="19"/>
      <c r="AJ245" s="29"/>
      <c r="AK245" s="29"/>
      <c r="AL245" s="29"/>
    </row>
    <row r="246" spans="2:38" s="28" customFormat="1" x14ac:dyDescent="0.3">
      <c r="B246" s="24"/>
      <c r="C246" s="37"/>
      <c r="D246" s="37"/>
      <c r="E246" s="37"/>
      <c r="F246" s="35"/>
      <c r="G246" s="35"/>
      <c r="H246" s="35"/>
      <c r="I246" s="35"/>
      <c r="J246" s="35"/>
      <c r="K246" s="35"/>
      <c r="L246" s="35"/>
      <c r="M246" s="31"/>
      <c r="N246" s="32"/>
      <c r="O246" s="32"/>
      <c r="P246" s="32"/>
      <c r="Q246" s="32"/>
      <c r="R246" s="32"/>
      <c r="S246" s="32"/>
      <c r="T246" s="32"/>
      <c r="U246" s="29"/>
      <c r="V246" s="29"/>
      <c r="W246" s="24"/>
      <c r="X246" s="18"/>
      <c r="Y246" s="18"/>
      <c r="Z246" s="18"/>
      <c r="AA246" s="18"/>
      <c r="AB246" s="18"/>
      <c r="AC246" s="18"/>
      <c r="AD246" s="18"/>
      <c r="AE246" s="19"/>
      <c r="AF246" s="20"/>
      <c r="AG246" s="21"/>
      <c r="AH246" s="21"/>
      <c r="AI246" s="19"/>
      <c r="AJ246" s="29"/>
      <c r="AK246" s="29"/>
      <c r="AL246" s="29"/>
    </row>
    <row r="247" spans="2:38" s="28" customFormat="1" x14ac:dyDescent="0.3">
      <c r="B247" s="24"/>
      <c r="C247" s="37"/>
      <c r="D247" s="37"/>
      <c r="E247" s="37"/>
      <c r="F247" s="35"/>
      <c r="G247" s="35"/>
      <c r="H247" s="35"/>
      <c r="I247" s="35"/>
      <c r="J247" s="35"/>
      <c r="K247" s="35"/>
      <c r="L247" s="35"/>
      <c r="M247" s="31"/>
      <c r="N247" s="32"/>
      <c r="O247" s="32"/>
      <c r="P247" s="32"/>
      <c r="Q247" s="32"/>
      <c r="R247" s="32"/>
      <c r="S247" s="32"/>
      <c r="T247" s="32"/>
      <c r="U247" s="29"/>
      <c r="V247" s="29"/>
      <c r="W247" s="24"/>
      <c r="X247" s="18"/>
      <c r="Y247" s="18"/>
      <c r="Z247" s="18"/>
      <c r="AA247" s="18"/>
      <c r="AB247" s="18"/>
      <c r="AC247" s="18"/>
      <c r="AD247" s="18"/>
      <c r="AE247" s="19"/>
      <c r="AF247" s="20"/>
      <c r="AG247" s="21"/>
      <c r="AH247" s="21"/>
      <c r="AI247" s="19"/>
      <c r="AJ247" s="29"/>
      <c r="AK247" s="29"/>
      <c r="AL247" s="29"/>
    </row>
    <row r="248" spans="2:38" s="28" customFormat="1" x14ac:dyDescent="0.3">
      <c r="B248" s="24"/>
      <c r="C248" s="37"/>
      <c r="D248" s="37"/>
      <c r="E248" s="37"/>
      <c r="F248" s="35"/>
      <c r="G248" s="35"/>
      <c r="H248" s="35"/>
      <c r="I248" s="35"/>
      <c r="J248" s="35"/>
      <c r="K248" s="35"/>
      <c r="L248" s="35"/>
      <c r="M248" s="31"/>
      <c r="N248" s="32"/>
      <c r="O248" s="32"/>
      <c r="P248" s="32"/>
      <c r="Q248" s="32"/>
      <c r="R248" s="32"/>
      <c r="S248" s="32"/>
      <c r="T248" s="32"/>
      <c r="U248" s="29"/>
      <c r="V248" s="29"/>
      <c r="W248" s="24"/>
      <c r="X248" s="18"/>
      <c r="Y248" s="18"/>
      <c r="Z248" s="18"/>
      <c r="AA248" s="18"/>
      <c r="AB248" s="18"/>
      <c r="AC248" s="18"/>
      <c r="AD248" s="18"/>
      <c r="AE248" s="19"/>
      <c r="AF248" s="20"/>
      <c r="AG248" s="21"/>
      <c r="AH248" s="21"/>
      <c r="AI248" s="19"/>
      <c r="AJ248" s="29"/>
      <c r="AK248" s="29"/>
      <c r="AL248" s="29"/>
    </row>
    <row r="249" spans="2:38" s="28" customFormat="1" x14ac:dyDescent="0.3">
      <c r="B249" s="24"/>
      <c r="C249" s="37"/>
      <c r="D249" s="37"/>
      <c r="E249" s="37"/>
      <c r="F249" s="35"/>
      <c r="G249" s="35"/>
      <c r="H249" s="35"/>
      <c r="I249" s="35"/>
      <c r="J249" s="35"/>
      <c r="K249" s="35"/>
      <c r="L249" s="35"/>
      <c r="M249" s="31"/>
      <c r="N249" s="32"/>
      <c r="O249" s="32"/>
      <c r="P249" s="32"/>
      <c r="Q249" s="32"/>
      <c r="R249" s="32"/>
      <c r="S249" s="32"/>
      <c r="T249" s="32"/>
      <c r="U249" s="29"/>
      <c r="V249" s="29"/>
      <c r="W249" s="24"/>
      <c r="X249" s="18"/>
      <c r="Y249" s="18"/>
      <c r="Z249" s="18"/>
      <c r="AA249" s="18"/>
      <c r="AB249" s="18"/>
      <c r="AC249" s="18"/>
      <c r="AD249" s="18"/>
      <c r="AE249" s="19"/>
      <c r="AF249" s="20"/>
      <c r="AG249" s="21"/>
      <c r="AH249" s="21"/>
      <c r="AI249" s="19"/>
      <c r="AJ249" s="29"/>
      <c r="AK249" s="29"/>
      <c r="AL249" s="29"/>
    </row>
    <row r="250" spans="2:38" s="28" customFormat="1" x14ac:dyDescent="0.3">
      <c r="B250" s="24"/>
      <c r="C250" s="37"/>
      <c r="D250" s="37"/>
      <c r="E250" s="37"/>
      <c r="F250" s="35"/>
      <c r="G250" s="35"/>
      <c r="H250" s="35"/>
      <c r="I250" s="35"/>
      <c r="J250" s="35"/>
      <c r="K250" s="35"/>
      <c r="L250" s="35"/>
      <c r="M250" s="31"/>
      <c r="N250" s="32"/>
      <c r="O250" s="32"/>
      <c r="P250" s="32"/>
      <c r="Q250" s="32"/>
      <c r="R250" s="32"/>
      <c r="S250" s="32"/>
      <c r="T250" s="32"/>
      <c r="U250" s="29"/>
      <c r="V250" s="29"/>
      <c r="W250" s="24"/>
      <c r="X250" s="18"/>
      <c r="Y250" s="18"/>
      <c r="Z250" s="18"/>
      <c r="AA250" s="18"/>
      <c r="AB250" s="18"/>
      <c r="AC250" s="18"/>
      <c r="AD250" s="18"/>
      <c r="AE250" s="19"/>
      <c r="AF250" s="20"/>
      <c r="AG250" s="21"/>
      <c r="AH250" s="21"/>
      <c r="AI250" s="19"/>
      <c r="AJ250" s="29"/>
      <c r="AK250" s="29"/>
      <c r="AL250" s="29"/>
    </row>
    <row r="251" spans="2:38" s="28" customFormat="1" x14ac:dyDescent="0.3">
      <c r="B251" s="24"/>
      <c r="C251" s="37"/>
      <c r="D251" s="37"/>
      <c r="E251" s="37"/>
      <c r="F251" s="35"/>
      <c r="G251" s="35"/>
      <c r="H251" s="35"/>
      <c r="I251" s="35"/>
      <c r="J251" s="35"/>
      <c r="K251" s="35"/>
      <c r="L251" s="35"/>
      <c r="M251" s="31"/>
      <c r="N251" s="32"/>
      <c r="O251" s="32"/>
      <c r="P251" s="32"/>
      <c r="Q251" s="32"/>
      <c r="R251" s="32"/>
      <c r="S251" s="32"/>
      <c r="T251" s="32"/>
      <c r="U251" s="29"/>
      <c r="V251" s="29"/>
      <c r="W251" s="24"/>
      <c r="X251" s="18"/>
      <c r="Y251" s="18"/>
      <c r="Z251" s="18"/>
      <c r="AA251" s="18"/>
      <c r="AB251" s="18"/>
      <c r="AC251" s="18"/>
      <c r="AD251" s="18"/>
      <c r="AE251" s="19"/>
      <c r="AF251" s="20"/>
      <c r="AG251" s="21"/>
      <c r="AH251" s="21"/>
      <c r="AI251" s="19"/>
      <c r="AJ251" s="29"/>
      <c r="AK251" s="29"/>
      <c r="AL251" s="29"/>
    </row>
    <row r="252" spans="2:38" s="28" customFormat="1" x14ac:dyDescent="0.3">
      <c r="B252" s="24"/>
      <c r="C252" s="37"/>
      <c r="D252" s="37"/>
      <c r="E252" s="37"/>
      <c r="F252" s="35"/>
      <c r="G252" s="35"/>
      <c r="H252" s="35"/>
      <c r="I252" s="35"/>
      <c r="J252" s="35"/>
      <c r="K252" s="35"/>
      <c r="L252" s="35"/>
      <c r="M252" s="31"/>
      <c r="N252" s="32"/>
      <c r="O252" s="32"/>
      <c r="P252" s="32"/>
      <c r="Q252" s="32"/>
      <c r="R252" s="32"/>
      <c r="S252" s="32"/>
      <c r="T252" s="32"/>
      <c r="U252" s="29"/>
      <c r="V252" s="29"/>
      <c r="W252" s="24"/>
      <c r="X252" s="18"/>
      <c r="Y252" s="18"/>
      <c r="Z252" s="18"/>
      <c r="AA252" s="18"/>
      <c r="AB252" s="18"/>
      <c r="AC252" s="18"/>
      <c r="AD252" s="18"/>
      <c r="AE252" s="19"/>
      <c r="AF252" s="20"/>
      <c r="AG252" s="21"/>
      <c r="AH252" s="21"/>
      <c r="AI252" s="19"/>
      <c r="AJ252" s="29"/>
      <c r="AK252" s="29"/>
      <c r="AL252" s="29"/>
    </row>
    <row r="253" spans="2:38" s="28" customFormat="1" x14ac:dyDescent="0.3">
      <c r="B253" s="24"/>
      <c r="C253" s="37"/>
      <c r="D253" s="37"/>
      <c r="E253" s="37"/>
      <c r="F253" s="35"/>
      <c r="G253" s="35"/>
      <c r="H253" s="35"/>
      <c r="I253" s="35"/>
      <c r="J253" s="35"/>
      <c r="K253" s="35"/>
      <c r="L253" s="35"/>
      <c r="M253" s="31"/>
      <c r="N253" s="32"/>
      <c r="O253" s="32"/>
      <c r="P253" s="32"/>
      <c r="Q253" s="32"/>
      <c r="R253" s="32"/>
      <c r="S253" s="32"/>
      <c r="T253" s="32"/>
      <c r="U253" s="29"/>
      <c r="V253" s="29"/>
      <c r="W253" s="24"/>
      <c r="X253" s="18"/>
      <c r="Y253" s="18"/>
      <c r="Z253" s="18"/>
      <c r="AA253" s="18"/>
      <c r="AB253" s="18"/>
      <c r="AC253" s="18"/>
      <c r="AD253" s="18"/>
      <c r="AE253" s="19"/>
      <c r="AF253" s="20"/>
      <c r="AG253" s="21"/>
      <c r="AH253" s="21"/>
      <c r="AI253" s="19"/>
      <c r="AJ253" s="29"/>
      <c r="AK253" s="29"/>
      <c r="AL253" s="29"/>
    </row>
    <row r="254" spans="2:38" s="28" customFormat="1" x14ac:dyDescent="0.3">
      <c r="B254" s="24"/>
      <c r="C254" s="37"/>
      <c r="D254" s="37"/>
      <c r="E254" s="37"/>
      <c r="F254" s="35"/>
      <c r="G254" s="35"/>
      <c r="H254" s="35"/>
      <c r="I254" s="35"/>
      <c r="J254" s="35"/>
      <c r="K254" s="35"/>
      <c r="L254" s="35"/>
      <c r="M254" s="31"/>
      <c r="N254" s="32"/>
      <c r="O254" s="32"/>
      <c r="P254" s="32"/>
      <c r="Q254" s="32"/>
      <c r="R254" s="32"/>
      <c r="S254" s="32"/>
      <c r="T254" s="32"/>
      <c r="U254" s="29"/>
      <c r="V254" s="29"/>
      <c r="W254" s="24"/>
      <c r="X254" s="18"/>
      <c r="Y254" s="18"/>
      <c r="Z254" s="18"/>
      <c r="AA254" s="18"/>
      <c r="AB254" s="18"/>
      <c r="AC254" s="18"/>
      <c r="AD254" s="18"/>
      <c r="AE254" s="19"/>
      <c r="AF254" s="20"/>
      <c r="AG254" s="21"/>
      <c r="AH254" s="21"/>
      <c r="AI254" s="19"/>
      <c r="AJ254" s="29"/>
      <c r="AK254" s="29"/>
      <c r="AL254" s="29"/>
    </row>
    <row r="255" spans="2:38" s="28" customFormat="1" x14ac:dyDescent="0.3">
      <c r="B255" s="24"/>
      <c r="C255" s="37"/>
      <c r="D255" s="37"/>
      <c r="E255" s="37"/>
      <c r="F255" s="35"/>
      <c r="G255" s="35"/>
      <c r="H255" s="35"/>
      <c r="I255" s="35"/>
      <c r="J255" s="35"/>
      <c r="K255" s="35"/>
      <c r="L255" s="35"/>
      <c r="M255" s="31"/>
      <c r="N255" s="32"/>
      <c r="O255" s="32"/>
      <c r="P255" s="32"/>
      <c r="Q255" s="32"/>
      <c r="R255" s="32"/>
      <c r="S255" s="32"/>
      <c r="T255" s="32"/>
      <c r="U255" s="29"/>
      <c r="V255" s="29"/>
      <c r="W255" s="24"/>
      <c r="X255" s="18"/>
      <c r="Y255" s="18"/>
      <c r="Z255" s="18"/>
      <c r="AA255" s="18"/>
      <c r="AB255" s="18"/>
      <c r="AC255" s="18"/>
      <c r="AD255" s="18"/>
      <c r="AE255" s="19"/>
      <c r="AF255" s="20"/>
      <c r="AG255" s="21"/>
      <c r="AH255" s="21"/>
      <c r="AI255" s="19"/>
      <c r="AJ255" s="29"/>
      <c r="AK255" s="29"/>
      <c r="AL255" s="29"/>
    </row>
    <row r="256" spans="2:38" s="28" customFormat="1" x14ac:dyDescent="0.3">
      <c r="B256" s="24"/>
      <c r="C256" s="37"/>
      <c r="D256" s="37"/>
      <c r="E256" s="37"/>
      <c r="F256" s="35"/>
      <c r="G256" s="35"/>
      <c r="H256" s="35"/>
      <c r="I256" s="35"/>
      <c r="J256" s="35"/>
      <c r="K256" s="35"/>
      <c r="L256" s="35"/>
      <c r="M256" s="31"/>
      <c r="N256" s="32"/>
      <c r="O256" s="32"/>
      <c r="P256" s="32"/>
      <c r="Q256" s="32"/>
      <c r="R256" s="32"/>
      <c r="S256" s="32"/>
      <c r="T256" s="32"/>
      <c r="U256" s="29"/>
      <c r="V256" s="29"/>
      <c r="W256" s="24"/>
      <c r="X256" s="18"/>
      <c r="Y256" s="18"/>
      <c r="Z256" s="18"/>
      <c r="AA256" s="18"/>
      <c r="AB256" s="18"/>
      <c r="AC256" s="18"/>
      <c r="AD256" s="18"/>
      <c r="AE256" s="19"/>
      <c r="AF256" s="20"/>
      <c r="AG256" s="21"/>
      <c r="AH256" s="21"/>
      <c r="AI256" s="19"/>
      <c r="AJ256" s="29"/>
      <c r="AK256" s="29"/>
      <c r="AL256" s="29"/>
    </row>
    <row r="257" spans="2:38" s="28" customFormat="1" x14ac:dyDescent="0.3">
      <c r="B257" s="24"/>
      <c r="C257" s="37"/>
      <c r="D257" s="37"/>
      <c r="E257" s="37"/>
      <c r="F257" s="35"/>
      <c r="G257" s="35"/>
      <c r="H257" s="35"/>
      <c r="I257" s="35"/>
      <c r="J257" s="35"/>
      <c r="K257" s="35"/>
      <c r="L257" s="35"/>
      <c r="M257" s="31"/>
      <c r="N257" s="32"/>
      <c r="O257" s="32"/>
      <c r="P257" s="32"/>
      <c r="Q257" s="32"/>
      <c r="R257" s="32"/>
      <c r="S257" s="32"/>
      <c r="T257" s="32"/>
      <c r="U257" s="29"/>
      <c r="V257" s="29"/>
      <c r="W257" s="24"/>
      <c r="X257" s="18"/>
      <c r="Y257" s="18"/>
      <c r="Z257" s="18"/>
      <c r="AA257" s="18"/>
      <c r="AB257" s="18"/>
      <c r="AC257" s="18"/>
      <c r="AD257" s="18"/>
      <c r="AE257" s="19"/>
      <c r="AF257" s="20"/>
      <c r="AG257" s="21"/>
      <c r="AH257" s="21"/>
      <c r="AI257" s="19"/>
      <c r="AJ257" s="29"/>
      <c r="AK257" s="29"/>
      <c r="AL257" s="29"/>
    </row>
    <row r="258" spans="2:38" s="28" customFormat="1" x14ac:dyDescent="0.3">
      <c r="B258" s="24"/>
      <c r="C258" s="37"/>
      <c r="D258" s="37"/>
      <c r="E258" s="37"/>
      <c r="F258" s="35"/>
      <c r="G258" s="35"/>
      <c r="H258" s="35"/>
      <c r="I258" s="35"/>
      <c r="J258" s="35"/>
      <c r="K258" s="35"/>
      <c r="L258" s="35"/>
      <c r="M258" s="31"/>
      <c r="N258" s="32"/>
      <c r="O258" s="32"/>
      <c r="P258" s="32"/>
      <c r="Q258" s="32"/>
      <c r="R258" s="32"/>
      <c r="S258" s="32"/>
      <c r="T258" s="32"/>
      <c r="U258" s="29"/>
      <c r="V258" s="29"/>
      <c r="W258" s="24"/>
      <c r="X258" s="18"/>
      <c r="Y258" s="18"/>
      <c r="Z258" s="18"/>
      <c r="AA258" s="18"/>
      <c r="AB258" s="18"/>
      <c r="AC258" s="18"/>
      <c r="AD258" s="18"/>
      <c r="AE258" s="19"/>
      <c r="AF258" s="20"/>
      <c r="AG258" s="21"/>
      <c r="AH258" s="21"/>
      <c r="AI258" s="19"/>
      <c r="AJ258" s="29"/>
      <c r="AK258" s="29"/>
      <c r="AL258" s="29"/>
    </row>
    <row r="259" spans="2:38" s="28" customFormat="1" x14ac:dyDescent="0.3">
      <c r="B259" s="24"/>
      <c r="C259" s="37"/>
      <c r="D259" s="37"/>
      <c r="E259" s="37"/>
      <c r="F259" s="35"/>
      <c r="G259" s="35"/>
      <c r="H259" s="35"/>
      <c r="I259" s="35"/>
      <c r="J259" s="35"/>
      <c r="K259" s="35"/>
      <c r="L259" s="35"/>
      <c r="M259" s="31"/>
      <c r="N259" s="32"/>
      <c r="O259" s="32"/>
      <c r="P259" s="32"/>
      <c r="Q259" s="32"/>
      <c r="R259" s="32"/>
      <c r="S259" s="32"/>
      <c r="T259" s="32"/>
      <c r="U259" s="29"/>
      <c r="V259" s="29"/>
      <c r="W259" s="24"/>
      <c r="X259" s="18"/>
      <c r="Y259" s="18"/>
      <c r="Z259" s="18"/>
      <c r="AA259" s="18"/>
      <c r="AB259" s="18"/>
      <c r="AC259" s="18"/>
      <c r="AD259" s="18"/>
      <c r="AE259" s="19"/>
      <c r="AF259" s="20"/>
      <c r="AG259" s="21"/>
      <c r="AH259" s="21"/>
      <c r="AI259" s="19"/>
      <c r="AJ259" s="29"/>
      <c r="AK259" s="29"/>
      <c r="AL259" s="29"/>
    </row>
    <row r="260" spans="2:38" s="28" customFormat="1" x14ac:dyDescent="0.3">
      <c r="B260" s="24"/>
      <c r="C260" s="37"/>
      <c r="D260" s="37"/>
      <c r="E260" s="37"/>
      <c r="F260" s="35"/>
      <c r="G260" s="35"/>
      <c r="H260" s="35"/>
      <c r="I260" s="35"/>
      <c r="J260" s="35"/>
      <c r="K260" s="35"/>
      <c r="L260" s="35"/>
      <c r="M260" s="31"/>
      <c r="N260" s="32"/>
      <c r="O260" s="32"/>
      <c r="P260" s="32"/>
      <c r="Q260" s="32"/>
      <c r="R260" s="32"/>
      <c r="S260" s="32"/>
      <c r="T260" s="32"/>
      <c r="U260" s="29"/>
      <c r="V260" s="29"/>
      <c r="W260" s="24"/>
      <c r="X260" s="18"/>
      <c r="Y260" s="18"/>
      <c r="Z260" s="18"/>
      <c r="AA260" s="18"/>
      <c r="AB260" s="18"/>
      <c r="AC260" s="18"/>
      <c r="AD260" s="18"/>
      <c r="AE260" s="19"/>
      <c r="AF260" s="20"/>
      <c r="AG260" s="21"/>
      <c r="AH260" s="21"/>
      <c r="AI260" s="19"/>
      <c r="AJ260" s="29"/>
      <c r="AK260" s="29"/>
      <c r="AL260" s="29"/>
    </row>
    <row r="261" spans="2:38" s="28" customFormat="1" x14ac:dyDescent="0.3">
      <c r="B261" s="24"/>
      <c r="C261" s="37"/>
      <c r="D261" s="37"/>
      <c r="E261" s="37"/>
      <c r="F261" s="35"/>
      <c r="G261" s="35"/>
      <c r="H261" s="35"/>
      <c r="I261" s="35"/>
      <c r="J261" s="35"/>
      <c r="K261" s="35"/>
      <c r="L261" s="35"/>
      <c r="M261" s="31"/>
      <c r="N261" s="32"/>
      <c r="O261" s="32"/>
      <c r="P261" s="32"/>
      <c r="Q261" s="32"/>
      <c r="R261" s="32"/>
      <c r="S261" s="32"/>
      <c r="T261" s="32"/>
      <c r="U261" s="29"/>
      <c r="V261" s="29"/>
      <c r="W261" s="24"/>
      <c r="X261" s="18"/>
      <c r="Y261" s="18"/>
      <c r="Z261" s="18"/>
      <c r="AA261" s="18"/>
      <c r="AB261" s="18"/>
      <c r="AC261" s="18"/>
      <c r="AD261" s="18"/>
      <c r="AE261" s="19"/>
      <c r="AF261" s="20"/>
      <c r="AG261" s="21"/>
      <c r="AH261" s="21"/>
      <c r="AI261" s="19"/>
      <c r="AJ261" s="29"/>
      <c r="AK261" s="29"/>
      <c r="AL261" s="29"/>
    </row>
    <row r="262" spans="2:38" s="28" customFormat="1" x14ac:dyDescent="0.3">
      <c r="B262" s="24"/>
      <c r="C262" s="37"/>
      <c r="D262" s="37"/>
      <c r="E262" s="37"/>
      <c r="F262" s="35"/>
      <c r="G262" s="35"/>
      <c r="H262" s="35"/>
      <c r="I262" s="35"/>
      <c r="J262" s="35"/>
      <c r="K262" s="35"/>
      <c r="L262" s="35"/>
      <c r="M262" s="31"/>
      <c r="N262" s="32"/>
      <c r="O262" s="32"/>
      <c r="P262" s="32"/>
      <c r="Q262" s="32"/>
      <c r="R262" s="32"/>
      <c r="S262" s="32"/>
      <c r="T262" s="32"/>
      <c r="U262" s="29"/>
      <c r="V262" s="29"/>
      <c r="W262" s="24"/>
      <c r="X262" s="18"/>
      <c r="Y262" s="18"/>
      <c r="Z262" s="18"/>
      <c r="AA262" s="18"/>
      <c r="AB262" s="18"/>
      <c r="AC262" s="18"/>
      <c r="AD262" s="18"/>
      <c r="AE262" s="19"/>
      <c r="AF262" s="20"/>
      <c r="AG262" s="21"/>
      <c r="AH262" s="21"/>
      <c r="AI262" s="19"/>
      <c r="AJ262" s="29"/>
      <c r="AK262" s="29"/>
      <c r="AL262" s="29"/>
    </row>
    <row r="263" spans="2:38" s="28" customFormat="1" x14ac:dyDescent="0.3">
      <c r="B263" s="24"/>
      <c r="C263" s="37"/>
      <c r="D263" s="37"/>
      <c r="E263" s="37"/>
      <c r="F263" s="35"/>
      <c r="G263" s="35"/>
      <c r="H263" s="35"/>
      <c r="I263" s="35"/>
      <c r="J263" s="35"/>
      <c r="K263" s="35"/>
      <c r="L263" s="35"/>
      <c r="M263" s="31"/>
      <c r="N263" s="32"/>
      <c r="O263" s="32"/>
      <c r="P263" s="32"/>
      <c r="Q263" s="32"/>
      <c r="R263" s="32"/>
      <c r="S263" s="32"/>
      <c r="T263" s="32"/>
      <c r="U263" s="29"/>
      <c r="V263" s="29"/>
      <c r="W263" s="24"/>
      <c r="X263" s="18"/>
      <c r="Y263" s="18"/>
      <c r="Z263" s="18"/>
      <c r="AA263" s="18"/>
      <c r="AB263" s="18"/>
      <c r="AC263" s="18"/>
      <c r="AD263" s="18"/>
      <c r="AE263" s="19"/>
      <c r="AF263" s="20"/>
      <c r="AG263" s="21"/>
      <c r="AH263" s="21"/>
      <c r="AI263" s="19"/>
      <c r="AJ263" s="29"/>
      <c r="AK263" s="29"/>
      <c r="AL263" s="29"/>
    </row>
    <row r="264" spans="2:38" s="28" customFormat="1" x14ac:dyDescent="0.3">
      <c r="B264" s="24"/>
      <c r="C264" s="37"/>
      <c r="D264" s="37"/>
      <c r="E264" s="37"/>
      <c r="F264" s="35"/>
      <c r="G264" s="35"/>
      <c r="H264" s="35"/>
      <c r="I264" s="35"/>
      <c r="J264" s="35"/>
      <c r="K264" s="35"/>
      <c r="L264" s="35"/>
      <c r="M264" s="31"/>
      <c r="N264" s="32"/>
      <c r="O264" s="32"/>
      <c r="P264" s="32"/>
      <c r="Q264" s="32"/>
      <c r="R264" s="32"/>
      <c r="S264" s="32"/>
      <c r="T264" s="32"/>
      <c r="U264" s="29"/>
      <c r="V264" s="29"/>
      <c r="W264" s="24"/>
      <c r="X264" s="18"/>
      <c r="Y264" s="18"/>
      <c r="Z264" s="18"/>
      <c r="AA264" s="18"/>
      <c r="AB264" s="18"/>
      <c r="AC264" s="18"/>
      <c r="AD264" s="18"/>
      <c r="AE264" s="19"/>
      <c r="AF264" s="20"/>
      <c r="AG264" s="21"/>
      <c r="AH264" s="21"/>
      <c r="AI264" s="19"/>
      <c r="AJ264" s="29"/>
      <c r="AK264" s="29"/>
      <c r="AL264" s="29"/>
    </row>
    <row r="265" spans="2:38" s="28" customFormat="1" x14ac:dyDescent="0.3">
      <c r="B265" s="24"/>
      <c r="C265" s="37"/>
      <c r="D265" s="37"/>
      <c r="E265" s="37"/>
      <c r="F265" s="35"/>
      <c r="G265" s="35"/>
      <c r="H265" s="35"/>
      <c r="I265" s="35"/>
      <c r="J265" s="35"/>
      <c r="K265" s="35"/>
      <c r="L265" s="35"/>
      <c r="M265" s="31"/>
      <c r="N265" s="32"/>
      <c r="O265" s="32"/>
      <c r="P265" s="32"/>
      <c r="Q265" s="32"/>
      <c r="R265" s="32"/>
      <c r="S265" s="32"/>
      <c r="T265" s="32"/>
      <c r="U265" s="29"/>
      <c r="V265" s="29"/>
      <c r="W265" s="24"/>
      <c r="X265" s="18"/>
      <c r="Y265" s="18"/>
      <c r="Z265" s="18"/>
      <c r="AA265" s="18"/>
      <c r="AB265" s="18"/>
      <c r="AC265" s="18"/>
      <c r="AD265" s="18"/>
      <c r="AE265" s="19"/>
      <c r="AF265" s="20"/>
      <c r="AG265" s="21"/>
      <c r="AH265" s="21"/>
      <c r="AI265" s="19"/>
      <c r="AJ265" s="29"/>
      <c r="AK265" s="29"/>
      <c r="AL265" s="29"/>
    </row>
    <row r="266" spans="2:38" s="28" customFormat="1" x14ac:dyDescent="0.3">
      <c r="B266" s="24"/>
      <c r="C266" s="37"/>
      <c r="D266" s="37"/>
      <c r="E266" s="37"/>
      <c r="F266" s="35"/>
      <c r="G266" s="35"/>
      <c r="H266" s="35"/>
      <c r="I266" s="35"/>
      <c r="J266" s="35"/>
      <c r="K266" s="35"/>
      <c r="L266" s="35"/>
      <c r="M266" s="31"/>
      <c r="N266" s="32"/>
      <c r="O266" s="32"/>
      <c r="P266" s="32"/>
      <c r="Q266" s="32"/>
      <c r="R266" s="32"/>
      <c r="S266" s="32"/>
      <c r="T266" s="32"/>
      <c r="U266" s="29"/>
      <c r="V266" s="29"/>
      <c r="W266" s="24"/>
      <c r="X266" s="18"/>
      <c r="Y266" s="18"/>
      <c r="Z266" s="18"/>
      <c r="AA266" s="18"/>
      <c r="AB266" s="18"/>
      <c r="AC266" s="18"/>
      <c r="AD266" s="18"/>
      <c r="AE266" s="19"/>
      <c r="AF266" s="20"/>
      <c r="AG266" s="21"/>
      <c r="AH266" s="21"/>
      <c r="AI266" s="19"/>
      <c r="AJ266" s="29"/>
      <c r="AK266" s="29"/>
      <c r="AL266" s="29"/>
    </row>
    <row r="267" spans="2:38" s="28" customFormat="1" x14ac:dyDescent="0.3">
      <c r="B267" s="24"/>
      <c r="C267" s="37"/>
      <c r="D267" s="37"/>
      <c r="E267" s="37"/>
      <c r="F267" s="35"/>
      <c r="G267" s="35"/>
      <c r="H267" s="35"/>
      <c r="I267" s="35"/>
      <c r="J267" s="35"/>
      <c r="K267" s="35"/>
      <c r="L267" s="35"/>
      <c r="M267" s="31"/>
      <c r="N267" s="32"/>
      <c r="O267" s="32"/>
      <c r="P267" s="32"/>
      <c r="Q267" s="32"/>
      <c r="R267" s="32"/>
      <c r="S267" s="32"/>
      <c r="T267" s="32"/>
      <c r="U267" s="29"/>
      <c r="V267" s="29"/>
      <c r="W267" s="24"/>
      <c r="X267" s="18"/>
      <c r="Y267" s="18"/>
      <c r="Z267" s="18"/>
      <c r="AA267" s="18"/>
      <c r="AB267" s="18"/>
      <c r="AC267" s="18"/>
      <c r="AD267" s="18"/>
      <c r="AE267" s="19"/>
      <c r="AF267" s="20"/>
      <c r="AG267" s="21"/>
      <c r="AH267" s="21"/>
      <c r="AI267" s="19"/>
      <c r="AJ267" s="29"/>
      <c r="AK267" s="29"/>
      <c r="AL267" s="29"/>
    </row>
    <row r="268" spans="2:38" s="28" customFormat="1" x14ac:dyDescent="0.3">
      <c r="B268" s="24"/>
      <c r="C268" s="37"/>
      <c r="D268" s="37"/>
      <c r="E268" s="37"/>
      <c r="F268" s="35"/>
      <c r="G268" s="35"/>
      <c r="H268" s="35"/>
      <c r="I268" s="35"/>
      <c r="J268" s="35"/>
      <c r="K268" s="35"/>
      <c r="L268" s="35"/>
      <c r="M268" s="31"/>
      <c r="N268" s="32"/>
      <c r="O268" s="32"/>
      <c r="P268" s="32"/>
      <c r="Q268" s="32"/>
      <c r="R268" s="32"/>
      <c r="S268" s="32"/>
      <c r="T268" s="32"/>
      <c r="U268" s="29"/>
      <c r="V268" s="29"/>
      <c r="W268" s="24"/>
      <c r="X268" s="18"/>
      <c r="Y268" s="18"/>
      <c r="Z268" s="18"/>
      <c r="AA268" s="18"/>
      <c r="AB268" s="18"/>
      <c r="AC268" s="18"/>
      <c r="AD268" s="18"/>
      <c r="AE268" s="19"/>
      <c r="AF268" s="20"/>
      <c r="AG268" s="21"/>
      <c r="AH268" s="21"/>
      <c r="AI268" s="19"/>
      <c r="AJ268" s="29"/>
      <c r="AK268" s="29"/>
      <c r="AL268" s="29"/>
    </row>
    <row r="269" spans="2:38" s="28" customFormat="1" x14ac:dyDescent="0.3">
      <c r="B269" s="24"/>
      <c r="C269" s="37"/>
      <c r="D269" s="37"/>
      <c r="E269" s="37"/>
      <c r="F269" s="35"/>
      <c r="G269" s="35"/>
      <c r="H269" s="35"/>
      <c r="I269" s="35"/>
      <c r="J269" s="35"/>
      <c r="K269" s="35"/>
      <c r="L269" s="35"/>
      <c r="M269" s="31"/>
      <c r="N269" s="32"/>
      <c r="O269" s="32"/>
      <c r="P269" s="32"/>
      <c r="Q269" s="32"/>
      <c r="R269" s="32"/>
      <c r="S269" s="32"/>
      <c r="T269" s="32"/>
      <c r="U269" s="29"/>
      <c r="V269" s="29"/>
      <c r="W269" s="24"/>
      <c r="X269" s="18"/>
      <c r="Y269" s="18"/>
      <c r="Z269" s="18"/>
      <c r="AA269" s="18"/>
      <c r="AB269" s="18"/>
      <c r="AC269" s="18"/>
      <c r="AD269" s="18"/>
      <c r="AE269" s="19"/>
      <c r="AF269" s="20"/>
      <c r="AG269" s="21"/>
      <c r="AH269" s="21"/>
      <c r="AI269" s="19"/>
      <c r="AJ269" s="29"/>
      <c r="AK269" s="29"/>
      <c r="AL269" s="29"/>
    </row>
    <row r="270" spans="2:38" s="28" customFormat="1" x14ac:dyDescent="0.3">
      <c r="B270" s="24"/>
      <c r="C270" s="37"/>
      <c r="D270" s="37"/>
      <c r="E270" s="37"/>
      <c r="F270" s="35"/>
      <c r="G270" s="35"/>
      <c r="H270" s="35"/>
      <c r="I270" s="35"/>
      <c r="J270" s="35"/>
      <c r="K270" s="35"/>
      <c r="L270" s="35"/>
      <c r="M270" s="31"/>
      <c r="N270" s="32"/>
      <c r="O270" s="32"/>
      <c r="P270" s="32"/>
      <c r="Q270" s="32"/>
      <c r="R270" s="32"/>
      <c r="S270" s="32"/>
      <c r="T270" s="32"/>
      <c r="U270" s="29"/>
      <c r="V270" s="29"/>
      <c r="W270" s="24"/>
      <c r="X270" s="18"/>
      <c r="Y270" s="18"/>
      <c r="Z270" s="18"/>
      <c r="AA270" s="18"/>
      <c r="AB270" s="18"/>
      <c r="AC270" s="18"/>
      <c r="AD270" s="18"/>
      <c r="AE270" s="19"/>
      <c r="AF270" s="20"/>
      <c r="AG270" s="21"/>
      <c r="AH270" s="21"/>
      <c r="AI270" s="19"/>
      <c r="AJ270" s="29"/>
      <c r="AK270" s="29"/>
      <c r="AL270" s="29"/>
    </row>
    <row r="271" spans="2:38" s="28" customFormat="1" x14ac:dyDescent="0.3">
      <c r="B271" s="24"/>
      <c r="C271" s="37"/>
      <c r="D271" s="37"/>
      <c r="E271" s="37"/>
      <c r="F271" s="35"/>
      <c r="G271" s="35"/>
      <c r="H271" s="35"/>
      <c r="I271" s="35"/>
      <c r="J271" s="35"/>
      <c r="K271" s="35"/>
      <c r="L271" s="35"/>
      <c r="M271" s="31"/>
      <c r="N271" s="32"/>
      <c r="O271" s="32"/>
      <c r="P271" s="32"/>
      <c r="Q271" s="32"/>
      <c r="R271" s="32"/>
      <c r="S271" s="32"/>
      <c r="T271" s="32"/>
      <c r="U271" s="29"/>
      <c r="V271" s="29"/>
      <c r="W271" s="24"/>
      <c r="X271" s="18"/>
      <c r="Y271" s="18"/>
      <c r="Z271" s="18"/>
      <c r="AA271" s="18"/>
      <c r="AB271" s="18"/>
      <c r="AC271" s="18"/>
      <c r="AD271" s="18"/>
      <c r="AE271" s="19"/>
      <c r="AF271" s="20"/>
      <c r="AG271" s="21"/>
      <c r="AH271" s="21"/>
      <c r="AI271" s="19"/>
      <c r="AJ271" s="29"/>
      <c r="AK271" s="29"/>
      <c r="AL271" s="29"/>
    </row>
    <row r="272" spans="2:38" s="28" customFormat="1" x14ac:dyDescent="0.3">
      <c r="B272" s="24"/>
      <c r="C272" s="37"/>
      <c r="D272" s="37"/>
      <c r="E272" s="37"/>
      <c r="F272" s="35"/>
      <c r="G272" s="35"/>
      <c r="H272" s="35"/>
      <c r="I272" s="35"/>
      <c r="J272" s="35"/>
      <c r="K272" s="35"/>
      <c r="L272" s="35"/>
      <c r="M272" s="31"/>
      <c r="N272" s="32"/>
      <c r="O272" s="32"/>
      <c r="P272" s="32"/>
      <c r="Q272" s="32"/>
      <c r="R272" s="32"/>
      <c r="S272" s="32"/>
      <c r="T272" s="32"/>
      <c r="U272" s="29"/>
      <c r="V272" s="29"/>
      <c r="W272" s="24"/>
      <c r="X272" s="18"/>
      <c r="Y272" s="18"/>
      <c r="Z272" s="18"/>
      <c r="AA272" s="18"/>
      <c r="AB272" s="18"/>
      <c r="AC272" s="18"/>
      <c r="AD272" s="18"/>
      <c r="AE272" s="19"/>
      <c r="AF272" s="20"/>
      <c r="AG272" s="21"/>
      <c r="AH272" s="21"/>
      <c r="AI272" s="19"/>
      <c r="AJ272" s="29"/>
      <c r="AK272" s="29"/>
      <c r="AL272" s="29"/>
    </row>
    <row r="273" spans="2:38" s="28" customFormat="1" x14ac:dyDescent="0.3">
      <c r="B273" s="24"/>
      <c r="C273" s="37"/>
      <c r="D273" s="37"/>
      <c r="E273" s="37"/>
      <c r="F273" s="35"/>
      <c r="G273" s="35"/>
      <c r="H273" s="35"/>
      <c r="I273" s="35"/>
      <c r="J273" s="35"/>
      <c r="K273" s="35"/>
      <c r="L273" s="35"/>
      <c r="M273" s="31"/>
      <c r="N273" s="32"/>
      <c r="O273" s="32"/>
      <c r="P273" s="32"/>
      <c r="Q273" s="32"/>
      <c r="R273" s="32"/>
      <c r="S273" s="32"/>
      <c r="T273" s="32"/>
      <c r="U273" s="29"/>
      <c r="V273" s="29"/>
      <c r="W273" s="24"/>
      <c r="X273" s="18"/>
      <c r="Y273" s="18"/>
      <c r="Z273" s="18"/>
      <c r="AA273" s="18"/>
      <c r="AB273" s="18"/>
      <c r="AC273" s="18"/>
      <c r="AD273" s="18"/>
      <c r="AE273" s="19"/>
      <c r="AF273" s="20"/>
      <c r="AG273" s="21"/>
      <c r="AH273" s="21"/>
      <c r="AI273" s="19"/>
      <c r="AJ273" s="29"/>
      <c r="AK273" s="29"/>
      <c r="AL273" s="29"/>
    </row>
    <row r="274" spans="2:38" s="28" customFormat="1" x14ac:dyDescent="0.3">
      <c r="B274" s="24"/>
      <c r="C274" s="37"/>
      <c r="D274" s="37"/>
      <c r="E274" s="37"/>
      <c r="F274" s="35"/>
      <c r="G274" s="35"/>
      <c r="H274" s="35"/>
      <c r="I274" s="35"/>
      <c r="J274" s="35"/>
      <c r="K274" s="35"/>
      <c r="L274" s="35"/>
      <c r="M274" s="31"/>
      <c r="N274" s="32"/>
      <c r="O274" s="32"/>
      <c r="P274" s="32"/>
      <c r="Q274" s="32"/>
      <c r="R274" s="32"/>
      <c r="S274" s="32"/>
      <c r="T274" s="32"/>
      <c r="U274" s="29"/>
      <c r="V274" s="29"/>
      <c r="W274" s="24"/>
      <c r="X274" s="18"/>
      <c r="Y274" s="18"/>
      <c r="Z274" s="18"/>
      <c r="AA274" s="18"/>
      <c r="AB274" s="18"/>
      <c r="AC274" s="18"/>
      <c r="AD274" s="18"/>
      <c r="AE274" s="19"/>
      <c r="AF274" s="20"/>
      <c r="AG274" s="21"/>
      <c r="AH274" s="21"/>
      <c r="AI274" s="19"/>
      <c r="AJ274" s="29"/>
      <c r="AK274" s="29"/>
      <c r="AL274" s="29"/>
    </row>
    <row r="275" spans="2:38" s="28" customFormat="1" x14ac:dyDescent="0.3">
      <c r="B275" s="24"/>
      <c r="C275" s="37"/>
      <c r="D275" s="37"/>
      <c r="E275" s="37"/>
      <c r="F275" s="35"/>
      <c r="G275" s="35"/>
      <c r="H275" s="35"/>
      <c r="I275" s="35"/>
      <c r="J275" s="35"/>
      <c r="K275" s="35"/>
      <c r="L275" s="35"/>
      <c r="M275" s="31"/>
      <c r="N275" s="32"/>
      <c r="O275" s="32"/>
      <c r="P275" s="32"/>
      <c r="Q275" s="32"/>
      <c r="R275" s="32"/>
      <c r="S275" s="32"/>
      <c r="T275" s="32"/>
      <c r="U275" s="29"/>
      <c r="V275" s="29"/>
      <c r="W275" s="24"/>
      <c r="X275" s="18"/>
      <c r="Y275" s="18"/>
      <c r="Z275" s="18"/>
      <c r="AA275" s="18"/>
      <c r="AB275" s="18"/>
      <c r="AC275" s="18"/>
      <c r="AD275" s="18"/>
      <c r="AE275" s="19"/>
      <c r="AF275" s="20"/>
      <c r="AG275" s="21"/>
      <c r="AH275" s="21"/>
      <c r="AI275" s="19"/>
      <c r="AJ275" s="29"/>
      <c r="AK275" s="29"/>
      <c r="AL275" s="29"/>
    </row>
    <row r="276" spans="2:38" s="28" customFormat="1" x14ac:dyDescent="0.3">
      <c r="B276" s="24"/>
      <c r="C276" s="37"/>
      <c r="D276" s="37"/>
      <c r="E276" s="37"/>
      <c r="F276" s="35"/>
      <c r="G276" s="35"/>
      <c r="H276" s="35"/>
      <c r="I276" s="35"/>
      <c r="J276" s="35"/>
      <c r="K276" s="35"/>
      <c r="L276" s="35"/>
      <c r="M276" s="31"/>
      <c r="N276" s="32"/>
      <c r="O276" s="32"/>
      <c r="P276" s="32"/>
      <c r="Q276" s="32"/>
      <c r="R276" s="32"/>
      <c r="S276" s="32"/>
      <c r="T276" s="32"/>
      <c r="U276" s="29"/>
      <c r="V276" s="29"/>
      <c r="W276" s="24"/>
      <c r="X276" s="18"/>
      <c r="Y276" s="18"/>
      <c r="Z276" s="18"/>
      <c r="AA276" s="18"/>
      <c r="AB276" s="18"/>
      <c r="AC276" s="18"/>
      <c r="AD276" s="18"/>
      <c r="AE276" s="19"/>
      <c r="AF276" s="20"/>
      <c r="AG276" s="21"/>
      <c r="AH276" s="21"/>
      <c r="AI276" s="19"/>
      <c r="AJ276" s="29"/>
      <c r="AK276" s="29"/>
      <c r="AL276" s="29"/>
    </row>
    <row r="277" spans="2:38" s="28" customFormat="1" x14ac:dyDescent="0.3">
      <c r="B277" s="24"/>
      <c r="C277" s="37"/>
      <c r="D277" s="37"/>
      <c r="E277" s="37"/>
      <c r="F277" s="35"/>
      <c r="G277" s="35"/>
      <c r="H277" s="35"/>
      <c r="I277" s="35"/>
      <c r="J277" s="35"/>
      <c r="K277" s="35"/>
      <c r="L277" s="35"/>
      <c r="M277" s="31"/>
      <c r="N277" s="32"/>
      <c r="O277" s="32"/>
      <c r="P277" s="32"/>
      <c r="Q277" s="32"/>
      <c r="R277" s="32"/>
      <c r="S277" s="32"/>
      <c r="T277" s="32"/>
      <c r="U277" s="29"/>
      <c r="V277" s="29"/>
      <c r="W277" s="24"/>
      <c r="X277" s="18"/>
      <c r="Y277" s="18"/>
      <c r="Z277" s="18"/>
      <c r="AA277" s="18"/>
      <c r="AB277" s="18"/>
      <c r="AC277" s="18"/>
      <c r="AD277" s="18"/>
      <c r="AE277" s="19"/>
      <c r="AF277" s="20"/>
      <c r="AG277" s="21"/>
      <c r="AH277" s="21"/>
      <c r="AI277" s="19"/>
      <c r="AJ277" s="29"/>
      <c r="AK277" s="29"/>
      <c r="AL277" s="29"/>
    </row>
    <row r="278" spans="2:38" s="28" customFormat="1" x14ac:dyDescent="0.3">
      <c r="B278" s="24"/>
      <c r="C278" s="37"/>
      <c r="D278" s="37"/>
      <c r="E278" s="37"/>
      <c r="F278" s="35"/>
      <c r="G278" s="35"/>
      <c r="H278" s="35"/>
      <c r="I278" s="35"/>
      <c r="J278" s="35"/>
      <c r="K278" s="35"/>
      <c r="L278" s="35"/>
      <c r="M278" s="31"/>
      <c r="N278" s="32"/>
      <c r="O278" s="32"/>
      <c r="P278" s="32"/>
      <c r="Q278" s="32"/>
      <c r="R278" s="32"/>
      <c r="S278" s="32"/>
      <c r="T278" s="32"/>
      <c r="U278" s="29"/>
      <c r="V278" s="29"/>
      <c r="W278" s="24"/>
      <c r="X278" s="18"/>
      <c r="Y278" s="18"/>
      <c r="Z278" s="18"/>
      <c r="AA278" s="18"/>
      <c r="AB278" s="18"/>
      <c r="AC278" s="18"/>
      <c r="AD278" s="18"/>
      <c r="AE278" s="19"/>
      <c r="AF278" s="20"/>
      <c r="AG278" s="21"/>
      <c r="AH278" s="21"/>
      <c r="AI278" s="19"/>
      <c r="AJ278" s="29"/>
      <c r="AK278" s="29"/>
      <c r="AL278" s="29"/>
    </row>
    <row r="279" spans="2:38" s="28" customFormat="1" x14ac:dyDescent="0.3">
      <c r="B279" s="24"/>
      <c r="C279" s="37"/>
      <c r="D279" s="37"/>
      <c r="E279" s="37"/>
      <c r="F279" s="35"/>
      <c r="G279" s="35"/>
      <c r="H279" s="35"/>
      <c r="I279" s="35"/>
      <c r="J279" s="35"/>
      <c r="K279" s="35"/>
      <c r="L279" s="35"/>
      <c r="M279" s="31"/>
      <c r="N279" s="32"/>
      <c r="O279" s="32"/>
      <c r="P279" s="32"/>
      <c r="Q279" s="32"/>
      <c r="R279" s="32"/>
      <c r="S279" s="32"/>
      <c r="T279" s="32"/>
      <c r="U279" s="29"/>
      <c r="V279" s="29"/>
      <c r="W279" s="24"/>
      <c r="X279" s="18"/>
      <c r="Y279" s="18"/>
      <c r="Z279" s="18"/>
      <c r="AA279" s="18"/>
      <c r="AB279" s="18"/>
      <c r="AC279" s="18"/>
      <c r="AD279" s="18"/>
      <c r="AE279" s="19"/>
      <c r="AF279" s="20"/>
      <c r="AG279" s="21"/>
      <c r="AH279" s="21"/>
      <c r="AI279" s="19"/>
      <c r="AJ279" s="29"/>
      <c r="AK279" s="29"/>
      <c r="AL279" s="29"/>
    </row>
    <row r="280" spans="2:38" s="28" customFormat="1" x14ac:dyDescent="0.3">
      <c r="B280" s="24"/>
      <c r="C280" s="37"/>
      <c r="D280" s="37"/>
      <c r="E280" s="37"/>
      <c r="F280" s="35"/>
      <c r="G280" s="35"/>
      <c r="H280" s="35"/>
      <c r="I280" s="35"/>
      <c r="J280" s="35"/>
      <c r="K280" s="35"/>
      <c r="L280" s="35"/>
      <c r="M280" s="31"/>
      <c r="N280" s="32"/>
      <c r="O280" s="32"/>
      <c r="P280" s="32"/>
      <c r="Q280" s="32"/>
      <c r="R280" s="32"/>
      <c r="S280" s="32"/>
      <c r="T280" s="32"/>
      <c r="U280" s="29"/>
      <c r="V280" s="29"/>
      <c r="W280" s="24"/>
      <c r="X280" s="18"/>
      <c r="Y280" s="18"/>
      <c r="Z280" s="18"/>
      <c r="AA280" s="18"/>
      <c r="AB280" s="18"/>
      <c r="AC280" s="18"/>
      <c r="AD280" s="18"/>
      <c r="AE280" s="19"/>
      <c r="AF280" s="20"/>
      <c r="AG280" s="21"/>
      <c r="AH280" s="21"/>
      <c r="AI280" s="19"/>
      <c r="AJ280" s="29"/>
      <c r="AK280" s="29"/>
      <c r="AL280" s="29"/>
    </row>
    <row r="281" spans="2:38" s="28" customFormat="1" x14ac:dyDescent="0.3">
      <c r="B281" s="24"/>
      <c r="C281" s="37"/>
      <c r="D281" s="37"/>
      <c r="E281" s="37"/>
      <c r="F281" s="35"/>
      <c r="G281" s="35"/>
      <c r="H281" s="35"/>
      <c r="I281" s="35"/>
      <c r="J281" s="35"/>
      <c r="K281" s="35"/>
      <c r="L281" s="35"/>
      <c r="M281" s="31"/>
      <c r="N281" s="32"/>
      <c r="O281" s="32"/>
      <c r="P281" s="32"/>
      <c r="Q281" s="32"/>
      <c r="R281" s="32"/>
      <c r="S281" s="32"/>
      <c r="T281" s="32"/>
      <c r="U281" s="29"/>
      <c r="V281" s="29"/>
      <c r="W281" s="24"/>
      <c r="X281" s="18"/>
      <c r="Y281" s="18"/>
      <c r="Z281" s="18"/>
      <c r="AA281" s="18"/>
      <c r="AB281" s="18"/>
      <c r="AC281" s="18"/>
      <c r="AD281" s="18"/>
      <c r="AE281" s="19"/>
      <c r="AF281" s="20"/>
      <c r="AG281" s="21"/>
      <c r="AH281" s="21"/>
      <c r="AI281" s="19"/>
      <c r="AJ281" s="29"/>
      <c r="AK281" s="29"/>
      <c r="AL281" s="29"/>
    </row>
    <row r="282" spans="2:38" s="28" customFormat="1" x14ac:dyDescent="0.3">
      <c r="B282" s="24"/>
      <c r="C282" s="37"/>
      <c r="D282" s="37"/>
      <c r="E282" s="37"/>
      <c r="F282" s="35"/>
      <c r="G282" s="35"/>
      <c r="H282" s="35"/>
      <c r="I282" s="35"/>
      <c r="J282" s="35"/>
      <c r="K282" s="35"/>
      <c r="L282" s="35"/>
      <c r="M282" s="31"/>
      <c r="N282" s="32"/>
      <c r="O282" s="32"/>
      <c r="P282" s="32"/>
      <c r="Q282" s="32"/>
      <c r="R282" s="32"/>
      <c r="S282" s="32"/>
      <c r="T282" s="32"/>
      <c r="U282" s="29"/>
      <c r="V282" s="29"/>
      <c r="W282" s="24"/>
      <c r="X282" s="18"/>
      <c r="Y282" s="18"/>
      <c r="Z282" s="18"/>
      <c r="AA282" s="18"/>
      <c r="AB282" s="18"/>
      <c r="AC282" s="18"/>
      <c r="AD282" s="18"/>
      <c r="AE282" s="19"/>
      <c r="AF282" s="20"/>
      <c r="AG282" s="21"/>
      <c r="AH282" s="21"/>
      <c r="AI282" s="19"/>
      <c r="AJ282" s="29"/>
      <c r="AK282" s="29"/>
      <c r="AL282" s="29"/>
    </row>
    <row r="283" spans="2:38" s="28" customFormat="1" x14ac:dyDescent="0.3">
      <c r="B283" s="24"/>
      <c r="C283" s="37"/>
      <c r="D283" s="37"/>
      <c r="E283" s="37"/>
      <c r="F283" s="35"/>
      <c r="G283" s="35"/>
      <c r="H283" s="35"/>
      <c r="I283" s="35"/>
      <c r="J283" s="35"/>
      <c r="K283" s="35"/>
      <c r="L283" s="35"/>
      <c r="M283" s="31"/>
      <c r="N283" s="32"/>
      <c r="O283" s="32"/>
      <c r="P283" s="32"/>
      <c r="Q283" s="32"/>
      <c r="R283" s="32"/>
      <c r="S283" s="32"/>
      <c r="T283" s="32"/>
      <c r="U283" s="29"/>
      <c r="V283" s="29"/>
      <c r="W283" s="24"/>
      <c r="X283" s="18"/>
      <c r="Y283" s="18"/>
      <c r="Z283" s="18"/>
      <c r="AA283" s="18"/>
      <c r="AB283" s="18"/>
      <c r="AC283" s="18"/>
      <c r="AD283" s="18"/>
      <c r="AE283" s="19"/>
      <c r="AF283" s="20"/>
      <c r="AG283" s="21"/>
      <c r="AH283" s="21"/>
      <c r="AI283" s="19"/>
      <c r="AJ283" s="29"/>
      <c r="AK283" s="29"/>
      <c r="AL283" s="29"/>
    </row>
    <row r="284" spans="2:38" s="28" customFormat="1" x14ac:dyDescent="0.3">
      <c r="B284" s="24"/>
      <c r="C284" s="37"/>
      <c r="D284" s="37"/>
      <c r="E284" s="37"/>
      <c r="F284" s="35"/>
      <c r="G284" s="35"/>
      <c r="H284" s="35"/>
      <c r="I284" s="35"/>
      <c r="J284" s="35"/>
      <c r="K284" s="35"/>
      <c r="L284" s="35"/>
      <c r="M284" s="31"/>
      <c r="N284" s="32"/>
      <c r="O284" s="32"/>
      <c r="P284" s="32"/>
      <c r="Q284" s="32"/>
      <c r="R284" s="32"/>
      <c r="S284" s="32"/>
      <c r="T284" s="32"/>
      <c r="U284" s="29"/>
      <c r="V284" s="29"/>
      <c r="W284" s="24"/>
      <c r="X284" s="18"/>
      <c r="Y284" s="18"/>
      <c r="Z284" s="18"/>
      <c r="AA284" s="18"/>
      <c r="AB284" s="18"/>
      <c r="AC284" s="18"/>
      <c r="AD284" s="18"/>
      <c r="AE284" s="19"/>
      <c r="AF284" s="20"/>
      <c r="AG284" s="21"/>
      <c r="AH284" s="21"/>
      <c r="AI284" s="19"/>
      <c r="AJ284" s="29"/>
      <c r="AK284" s="29"/>
      <c r="AL284" s="29"/>
    </row>
    <row r="285" spans="2:38" s="28" customFormat="1" x14ac:dyDescent="0.3">
      <c r="B285" s="24"/>
      <c r="C285" s="37"/>
      <c r="D285" s="37"/>
      <c r="E285" s="37"/>
      <c r="F285" s="35"/>
      <c r="G285" s="35"/>
      <c r="H285" s="35"/>
      <c r="I285" s="35"/>
      <c r="J285" s="35"/>
      <c r="K285" s="35"/>
      <c r="L285" s="35"/>
      <c r="M285" s="31"/>
      <c r="N285" s="32"/>
      <c r="O285" s="32"/>
      <c r="P285" s="32"/>
      <c r="Q285" s="32"/>
      <c r="R285" s="32"/>
      <c r="S285" s="32"/>
      <c r="T285" s="32"/>
      <c r="U285" s="29"/>
      <c r="V285" s="29"/>
      <c r="W285" s="24"/>
      <c r="X285" s="18"/>
      <c r="Y285" s="18"/>
      <c r="Z285" s="18"/>
      <c r="AA285" s="18"/>
      <c r="AB285" s="18"/>
      <c r="AC285" s="18"/>
      <c r="AD285" s="18"/>
      <c r="AE285" s="19"/>
      <c r="AF285" s="20"/>
      <c r="AG285" s="21"/>
      <c r="AH285" s="21"/>
      <c r="AI285" s="19"/>
      <c r="AJ285" s="29"/>
      <c r="AK285" s="29"/>
      <c r="AL285" s="29"/>
    </row>
    <row r="286" spans="2:38" s="28" customFormat="1" x14ac:dyDescent="0.3">
      <c r="B286" s="24"/>
      <c r="C286" s="37"/>
      <c r="D286" s="37"/>
      <c r="E286" s="37"/>
      <c r="F286" s="35"/>
      <c r="G286" s="35"/>
      <c r="H286" s="35"/>
      <c r="I286" s="35"/>
      <c r="J286" s="35"/>
      <c r="K286" s="35"/>
      <c r="L286" s="35"/>
      <c r="M286" s="31"/>
      <c r="N286" s="32"/>
      <c r="O286" s="32"/>
      <c r="P286" s="32"/>
      <c r="Q286" s="32"/>
      <c r="R286" s="32"/>
      <c r="S286" s="32"/>
      <c r="T286" s="32"/>
      <c r="U286" s="29"/>
      <c r="V286" s="29"/>
      <c r="W286" s="24"/>
      <c r="X286" s="18"/>
      <c r="Y286" s="18"/>
      <c r="Z286" s="18"/>
      <c r="AA286" s="18"/>
      <c r="AB286" s="18"/>
      <c r="AC286" s="18"/>
      <c r="AD286" s="18"/>
      <c r="AE286" s="19"/>
      <c r="AF286" s="20"/>
      <c r="AG286" s="21"/>
      <c r="AH286" s="21"/>
      <c r="AI286" s="19"/>
      <c r="AJ286" s="29"/>
      <c r="AK286" s="29"/>
      <c r="AL286" s="29"/>
    </row>
    <row r="287" spans="2:38" s="28" customFormat="1" x14ac:dyDescent="0.3">
      <c r="B287" s="24"/>
      <c r="C287" s="37"/>
      <c r="D287" s="37"/>
      <c r="E287" s="37"/>
      <c r="F287" s="35"/>
      <c r="G287" s="35"/>
      <c r="H287" s="35"/>
      <c r="I287" s="35"/>
      <c r="J287" s="35"/>
      <c r="K287" s="35"/>
      <c r="L287" s="35"/>
      <c r="M287" s="31"/>
      <c r="N287" s="32"/>
      <c r="O287" s="32"/>
      <c r="P287" s="32"/>
      <c r="Q287" s="32"/>
      <c r="R287" s="32"/>
      <c r="S287" s="32"/>
      <c r="T287" s="32"/>
      <c r="U287" s="29"/>
      <c r="V287" s="29"/>
      <c r="W287" s="24"/>
      <c r="X287" s="18"/>
      <c r="Y287" s="18"/>
      <c r="Z287" s="18"/>
      <c r="AA287" s="18"/>
      <c r="AB287" s="18"/>
      <c r="AC287" s="18"/>
      <c r="AD287" s="18"/>
      <c r="AE287" s="19"/>
      <c r="AF287" s="20"/>
      <c r="AG287" s="21"/>
      <c r="AH287" s="21"/>
      <c r="AI287" s="19"/>
      <c r="AJ287" s="29"/>
      <c r="AK287" s="29"/>
      <c r="AL287" s="29"/>
    </row>
    <row r="288" spans="2:38" s="28" customFormat="1" x14ac:dyDescent="0.3">
      <c r="B288" s="24"/>
      <c r="C288" s="37"/>
      <c r="D288" s="37"/>
      <c r="E288" s="37"/>
      <c r="F288" s="35"/>
      <c r="G288" s="35"/>
      <c r="H288" s="35"/>
      <c r="I288" s="35"/>
      <c r="J288" s="35"/>
      <c r="K288" s="35"/>
      <c r="L288" s="35"/>
      <c r="M288" s="31"/>
      <c r="N288" s="32"/>
      <c r="O288" s="32"/>
      <c r="P288" s="32"/>
      <c r="Q288" s="32"/>
      <c r="R288" s="32"/>
      <c r="S288" s="32"/>
      <c r="T288" s="32"/>
      <c r="U288" s="29"/>
      <c r="V288" s="29"/>
      <c r="W288" s="24"/>
      <c r="X288" s="18"/>
      <c r="Y288" s="18"/>
      <c r="Z288" s="18"/>
      <c r="AA288" s="18"/>
      <c r="AB288" s="18"/>
      <c r="AC288" s="18"/>
      <c r="AD288" s="18"/>
      <c r="AE288" s="19"/>
      <c r="AF288" s="20"/>
      <c r="AG288" s="21"/>
      <c r="AH288" s="21"/>
      <c r="AI288" s="19"/>
      <c r="AJ288" s="29"/>
      <c r="AK288" s="29"/>
      <c r="AL288" s="29"/>
    </row>
    <row r="289" spans="2:38" s="28" customFormat="1" x14ac:dyDescent="0.3">
      <c r="B289" s="24"/>
      <c r="C289" s="37"/>
      <c r="D289" s="37"/>
      <c r="E289" s="37"/>
      <c r="F289" s="35"/>
      <c r="G289" s="35"/>
      <c r="H289" s="35"/>
      <c r="I289" s="35"/>
      <c r="J289" s="35"/>
      <c r="K289" s="35"/>
      <c r="L289" s="35"/>
      <c r="M289" s="31"/>
      <c r="N289" s="32"/>
      <c r="O289" s="32"/>
      <c r="P289" s="32"/>
      <c r="Q289" s="32"/>
      <c r="R289" s="32"/>
      <c r="S289" s="32"/>
      <c r="T289" s="32"/>
      <c r="U289" s="29"/>
      <c r="V289" s="29"/>
      <c r="W289" s="24"/>
      <c r="X289" s="18"/>
      <c r="Y289" s="18"/>
      <c r="Z289" s="18"/>
      <c r="AA289" s="18"/>
      <c r="AB289" s="18"/>
      <c r="AC289" s="18"/>
      <c r="AD289" s="18"/>
      <c r="AE289" s="19"/>
      <c r="AF289" s="20"/>
      <c r="AG289" s="21"/>
      <c r="AH289" s="21"/>
      <c r="AI289" s="19"/>
      <c r="AJ289" s="29"/>
      <c r="AK289" s="29"/>
      <c r="AL289" s="29"/>
    </row>
    <row r="290" spans="2:38" s="28" customFormat="1" x14ac:dyDescent="0.3">
      <c r="B290" s="24"/>
      <c r="C290" s="37"/>
      <c r="D290" s="37"/>
      <c r="E290" s="37"/>
      <c r="F290" s="35"/>
      <c r="G290" s="35"/>
      <c r="H290" s="35"/>
      <c r="I290" s="35"/>
      <c r="J290" s="35"/>
      <c r="K290" s="35"/>
      <c r="L290" s="35"/>
      <c r="M290" s="31"/>
      <c r="N290" s="32"/>
      <c r="O290" s="32"/>
      <c r="P290" s="32"/>
      <c r="Q290" s="32"/>
      <c r="R290" s="32"/>
      <c r="S290" s="32"/>
      <c r="T290" s="32"/>
      <c r="U290" s="29"/>
      <c r="V290" s="29"/>
      <c r="W290" s="24"/>
      <c r="X290" s="18"/>
      <c r="Y290" s="18"/>
      <c r="Z290" s="18"/>
      <c r="AA290" s="18"/>
      <c r="AB290" s="18"/>
      <c r="AC290" s="18"/>
      <c r="AD290" s="18"/>
      <c r="AE290" s="19"/>
      <c r="AF290" s="20"/>
      <c r="AG290" s="21"/>
      <c r="AH290" s="21"/>
      <c r="AI290" s="19"/>
      <c r="AJ290" s="29"/>
      <c r="AK290" s="29"/>
      <c r="AL290" s="29"/>
    </row>
    <row r="291" spans="2:38" s="28" customFormat="1" x14ac:dyDescent="0.3">
      <c r="B291" s="24"/>
      <c r="C291" s="37"/>
      <c r="D291" s="37"/>
      <c r="E291" s="37"/>
      <c r="F291" s="35"/>
      <c r="G291" s="35"/>
      <c r="H291" s="35"/>
      <c r="I291" s="35"/>
      <c r="J291" s="35"/>
      <c r="K291" s="35"/>
      <c r="L291" s="35"/>
      <c r="M291" s="31"/>
      <c r="N291" s="32"/>
      <c r="O291" s="32"/>
      <c r="P291" s="32"/>
      <c r="Q291" s="32"/>
      <c r="R291" s="32"/>
      <c r="S291" s="32"/>
      <c r="T291" s="32"/>
      <c r="U291" s="29"/>
      <c r="V291" s="29"/>
      <c r="W291" s="24"/>
      <c r="X291" s="18"/>
      <c r="Y291" s="18"/>
      <c r="Z291" s="18"/>
      <c r="AA291" s="18"/>
      <c r="AB291" s="18"/>
      <c r="AC291" s="18"/>
      <c r="AD291" s="18"/>
      <c r="AE291" s="19"/>
      <c r="AF291" s="20"/>
      <c r="AG291" s="21"/>
      <c r="AH291" s="21"/>
      <c r="AI291" s="19"/>
      <c r="AJ291" s="29"/>
      <c r="AK291" s="29"/>
      <c r="AL291" s="29"/>
    </row>
    <row r="292" spans="2:38" s="28" customFormat="1" x14ac:dyDescent="0.3">
      <c r="B292" s="24"/>
      <c r="C292" s="37"/>
      <c r="D292" s="37"/>
      <c r="E292" s="37"/>
      <c r="F292" s="35"/>
      <c r="G292" s="35"/>
      <c r="H292" s="35"/>
      <c r="I292" s="35"/>
      <c r="J292" s="35"/>
      <c r="K292" s="35"/>
      <c r="L292" s="35"/>
      <c r="M292" s="31"/>
      <c r="N292" s="32"/>
      <c r="O292" s="32"/>
      <c r="P292" s="32"/>
      <c r="Q292" s="32"/>
      <c r="R292" s="32"/>
      <c r="S292" s="32"/>
      <c r="T292" s="32"/>
      <c r="U292" s="29"/>
      <c r="V292" s="29"/>
      <c r="W292" s="24"/>
      <c r="X292" s="18"/>
      <c r="Y292" s="18"/>
      <c r="Z292" s="18"/>
      <c r="AA292" s="18"/>
      <c r="AB292" s="18"/>
      <c r="AC292" s="18"/>
      <c r="AD292" s="18"/>
      <c r="AE292" s="19"/>
      <c r="AF292" s="20"/>
      <c r="AG292" s="21"/>
      <c r="AH292" s="21"/>
      <c r="AI292" s="19"/>
      <c r="AJ292" s="29"/>
      <c r="AK292" s="29"/>
      <c r="AL292" s="29"/>
    </row>
    <row r="293" spans="2:38" s="28" customFormat="1" x14ac:dyDescent="0.3">
      <c r="B293" s="24"/>
      <c r="C293" s="37"/>
      <c r="D293" s="37"/>
      <c r="E293" s="37"/>
      <c r="F293" s="35"/>
      <c r="G293" s="35"/>
      <c r="H293" s="35"/>
      <c r="I293" s="35"/>
      <c r="J293" s="35"/>
      <c r="K293" s="35"/>
      <c r="L293" s="35"/>
      <c r="M293" s="31"/>
      <c r="N293" s="32"/>
      <c r="O293" s="32"/>
      <c r="P293" s="32"/>
      <c r="Q293" s="32"/>
      <c r="R293" s="32"/>
      <c r="S293" s="32"/>
      <c r="T293" s="32"/>
      <c r="U293" s="29"/>
      <c r="V293" s="29"/>
      <c r="W293" s="24"/>
      <c r="X293" s="18"/>
      <c r="Y293" s="18"/>
      <c r="Z293" s="18"/>
      <c r="AA293" s="18"/>
      <c r="AB293" s="18"/>
      <c r="AC293" s="18"/>
      <c r="AD293" s="18"/>
      <c r="AE293" s="19"/>
      <c r="AF293" s="20"/>
      <c r="AG293" s="21"/>
      <c r="AH293" s="21"/>
      <c r="AI293" s="19"/>
      <c r="AJ293" s="29"/>
      <c r="AK293" s="29"/>
      <c r="AL293" s="29"/>
    </row>
    <row r="294" spans="2:38" s="28" customFormat="1" x14ac:dyDescent="0.3">
      <c r="B294" s="24"/>
      <c r="C294" s="37"/>
      <c r="D294" s="37"/>
      <c r="E294" s="37"/>
      <c r="F294" s="35"/>
      <c r="G294" s="35"/>
      <c r="H294" s="35"/>
      <c r="I294" s="35"/>
      <c r="J294" s="35"/>
      <c r="K294" s="35"/>
      <c r="L294" s="35"/>
      <c r="M294" s="31"/>
      <c r="N294" s="32"/>
      <c r="O294" s="32"/>
      <c r="P294" s="32"/>
      <c r="Q294" s="32"/>
      <c r="R294" s="32"/>
      <c r="S294" s="32"/>
      <c r="T294" s="32"/>
      <c r="U294" s="29"/>
      <c r="V294" s="29"/>
      <c r="W294" s="24"/>
      <c r="X294" s="18"/>
      <c r="Y294" s="18"/>
      <c r="Z294" s="18"/>
      <c r="AA294" s="18"/>
      <c r="AB294" s="18"/>
      <c r="AC294" s="18"/>
      <c r="AD294" s="18"/>
      <c r="AE294" s="19"/>
      <c r="AF294" s="20"/>
      <c r="AG294" s="21"/>
      <c r="AH294" s="21"/>
      <c r="AI294" s="19"/>
      <c r="AJ294" s="29"/>
      <c r="AK294" s="29"/>
      <c r="AL294" s="29"/>
    </row>
    <row r="295" spans="2:38" s="28" customFormat="1" x14ac:dyDescent="0.3">
      <c r="B295" s="24"/>
      <c r="C295" s="37"/>
      <c r="D295" s="37"/>
      <c r="E295" s="37"/>
      <c r="F295" s="35"/>
      <c r="G295" s="35"/>
      <c r="H295" s="35"/>
      <c r="I295" s="35"/>
      <c r="J295" s="35"/>
      <c r="K295" s="35"/>
      <c r="L295" s="35"/>
      <c r="M295" s="31"/>
      <c r="N295" s="32"/>
      <c r="O295" s="32"/>
      <c r="P295" s="32"/>
      <c r="Q295" s="32"/>
      <c r="R295" s="32"/>
      <c r="S295" s="32"/>
      <c r="T295" s="32"/>
      <c r="U295" s="29"/>
      <c r="V295" s="29"/>
      <c r="W295" s="24"/>
      <c r="X295" s="18"/>
      <c r="Y295" s="18"/>
      <c r="Z295" s="18"/>
      <c r="AA295" s="18"/>
      <c r="AB295" s="18"/>
      <c r="AC295" s="18"/>
      <c r="AD295" s="18"/>
      <c r="AE295" s="19"/>
      <c r="AF295" s="20"/>
      <c r="AG295" s="21"/>
      <c r="AH295" s="21"/>
      <c r="AI295" s="19"/>
      <c r="AJ295" s="29"/>
      <c r="AK295" s="29"/>
      <c r="AL295" s="29"/>
    </row>
    <row r="296" spans="2:38" s="28" customFormat="1" x14ac:dyDescent="0.3">
      <c r="B296" s="24"/>
      <c r="C296" s="37"/>
      <c r="D296" s="37"/>
      <c r="E296" s="37"/>
      <c r="F296" s="35"/>
      <c r="G296" s="35"/>
      <c r="H296" s="35"/>
      <c r="I296" s="35"/>
      <c r="J296" s="35"/>
      <c r="K296" s="35"/>
      <c r="L296" s="35"/>
      <c r="M296" s="31"/>
      <c r="N296" s="32"/>
      <c r="O296" s="32"/>
      <c r="P296" s="32"/>
      <c r="Q296" s="32"/>
      <c r="R296" s="32"/>
      <c r="S296" s="32"/>
      <c r="T296" s="32"/>
      <c r="U296" s="29"/>
      <c r="V296" s="29"/>
      <c r="W296" s="24"/>
      <c r="X296" s="18"/>
      <c r="Y296" s="18"/>
      <c r="Z296" s="18"/>
      <c r="AA296" s="18"/>
      <c r="AB296" s="18"/>
      <c r="AC296" s="18"/>
      <c r="AD296" s="18"/>
      <c r="AE296" s="19"/>
      <c r="AF296" s="20"/>
      <c r="AG296" s="21"/>
      <c r="AH296" s="21"/>
      <c r="AI296" s="19"/>
      <c r="AJ296" s="29"/>
      <c r="AK296" s="29"/>
      <c r="AL296" s="29"/>
    </row>
    <row r="297" spans="2:38" s="28" customFormat="1" x14ac:dyDescent="0.3">
      <c r="B297" s="24"/>
      <c r="C297" s="37"/>
      <c r="D297" s="37"/>
      <c r="E297" s="37"/>
      <c r="F297" s="35"/>
      <c r="G297" s="35"/>
      <c r="H297" s="35"/>
      <c r="I297" s="35"/>
      <c r="J297" s="35"/>
      <c r="K297" s="35"/>
      <c r="L297" s="35"/>
      <c r="M297" s="31"/>
      <c r="N297" s="32"/>
      <c r="O297" s="32"/>
      <c r="P297" s="32"/>
      <c r="Q297" s="32"/>
      <c r="R297" s="32"/>
      <c r="S297" s="32"/>
      <c r="T297" s="32"/>
      <c r="U297" s="29"/>
      <c r="V297" s="29"/>
      <c r="W297" s="24"/>
      <c r="X297" s="18"/>
      <c r="Y297" s="18"/>
      <c r="Z297" s="18"/>
      <c r="AA297" s="18"/>
      <c r="AB297" s="18"/>
      <c r="AC297" s="18"/>
      <c r="AD297" s="18"/>
      <c r="AE297" s="19"/>
      <c r="AF297" s="20"/>
      <c r="AG297" s="21"/>
      <c r="AH297" s="21"/>
      <c r="AI297" s="19"/>
      <c r="AJ297" s="29"/>
      <c r="AK297" s="29"/>
      <c r="AL297" s="29"/>
    </row>
    <row r="298" spans="2:38" s="28" customFormat="1" x14ac:dyDescent="0.3">
      <c r="B298" s="24"/>
      <c r="C298" s="37"/>
      <c r="D298" s="37"/>
      <c r="E298" s="37"/>
      <c r="F298" s="35"/>
      <c r="G298" s="35"/>
      <c r="H298" s="35"/>
      <c r="I298" s="35"/>
      <c r="J298" s="35"/>
      <c r="K298" s="35"/>
      <c r="L298" s="35"/>
      <c r="M298" s="31"/>
      <c r="N298" s="32"/>
      <c r="O298" s="32"/>
      <c r="P298" s="32"/>
      <c r="Q298" s="32"/>
      <c r="R298" s="32"/>
      <c r="S298" s="32"/>
      <c r="T298" s="32"/>
      <c r="U298" s="29"/>
      <c r="V298" s="29"/>
      <c r="W298" s="24"/>
      <c r="X298" s="18"/>
      <c r="Y298" s="18"/>
      <c r="Z298" s="18"/>
      <c r="AA298" s="18"/>
      <c r="AB298" s="18"/>
      <c r="AC298" s="18"/>
      <c r="AD298" s="18"/>
      <c r="AE298" s="19"/>
      <c r="AF298" s="20"/>
      <c r="AG298" s="21"/>
      <c r="AH298" s="21"/>
      <c r="AI298" s="19"/>
      <c r="AJ298" s="29"/>
      <c r="AK298" s="29"/>
      <c r="AL298" s="29"/>
    </row>
    <row r="299" spans="2:38" s="28" customFormat="1" x14ac:dyDescent="0.3">
      <c r="B299" s="24"/>
      <c r="C299" s="37"/>
      <c r="D299" s="37"/>
      <c r="E299" s="37"/>
      <c r="F299" s="35"/>
      <c r="G299" s="35"/>
      <c r="H299" s="35"/>
      <c r="I299" s="35"/>
      <c r="J299" s="35"/>
      <c r="K299" s="35"/>
      <c r="L299" s="35"/>
      <c r="M299" s="31"/>
      <c r="N299" s="32"/>
      <c r="O299" s="32"/>
      <c r="P299" s="32"/>
      <c r="Q299" s="32"/>
      <c r="R299" s="32"/>
      <c r="S299" s="32"/>
      <c r="T299" s="32"/>
      <c r="U299" s="29"/>
      <c r="V299" s="29"/>
      <c r="W299" s="24"/>
      <c r="X299" s="18"/>
      <c r="Y299" s="18"/>
      <c r="Z299" s="18"/>
      <c r="AA299" s="18"/>
      <c r="AB299" s="18"/>
      <c r="AC299" s="18"/>
      <c r="AD299" s="18"/>
      <c r="AE299" s="19"/>
      <c r="AF299" s="20"/>
      <c r="AG299" s="21"/>
      <c r="AH299" s="21"/>
      <c r="AI299" s="19"/>
      <c r="AJ299" s="29"/>
      <c r="AK299" s="29"/>
      <c r="AL299" s="29"/>
    </row>
    <row r="300" spans="2:38" s="28" customFormat="1" x14ac:dyDescent="0.3">
      <c r="B300" s="24"/>
      <c r="C300" s="37"/>
      <c r="D300" s="37"/>
      <c r="E300" s="37"/>
      <c r="F300" s="35"/>
      <c r="G300" s="35"/>
      <c r="H300" s="35"/>
      <c r="I300" s="35"/>
      <c r="J300" s="35"/>
      <c r="K300" s="35"/>
      <c r="L300" s="35"/>
      <c r="M300" s="31"/>
      <c r="N300" s="32"/>
      <c r="O300" s="32"/>
      <c r="P300" s="32"/>
      <c r="Q300" s="32"/>
      <c r="R300" s="32"/>
      <c r="S300" s="32"/>
      <c r="T300" s="32"/>
      <c r="U300" s="29"/>
      <c r="V300" s="29"/>
      <c r="W300" s="24"/>
      <c r="X300" s="18"/>
      <c r="Y300" s="18"/>
      <c r="Z300" s="18"/>
      <c r="AA300" s="18"/>
      <c r="AB300" s="18"/>
      <c r="AC300" s="18"/>
      <c r="AD300" s="18"/>
      <c r="AE300" s="19"/>
      <c r="AF300" s="20"/>
      <c r="AG300" s="21"/>
      <c r="AH300" s="21"/>
      <c r="AI300" s="19"/>
      <c r="AJ300" s="29"/>
      <c r="AK300" s="29"/>
      <c r="AL300" s="29"/>
    </row>
    <row r="301" spans="2:38" s="28" customFormat="1" x14ac:dyDescent="0.3">
      <c r="B301" s="24"/>
      <c r="C301" s="37"/>
      <c r="D301" s="37"/>
      <c r="E301" s="37"/>
      <c r="F301" s="35"/>
      <c r="G301" s="35"/>
      <c r="H301" s="35"/>
      <c r="I301" s="35"/>
      <c r="J301" s="35"/>
      <c r="K301" s="35"/>
      <c r="L301" s="35"/>
      <c r="M301" s="31"/>
      <c r="N301" s="32"/>
      <c r="O301" s="32"/>
      <c r="P301" s="32"/>
      <c r="Q301" s="32"/>
      <c r="R301" s="32"/>
      <c r="S301" s="32"/>
      <c r="T301" s="32"/>
      <c r="U301" s="29"/>
      <c r="V301" s="29"/>
      <c r="W301" s="24"/>
      <c r="X301" s="18"/>
      <c r="Y301" s="18"/>
      <c r="Z301" s="18"/>
      <c r="AA301" s="18"/>
      <c r="AB301" s="18"/>
      <c r="AC301" s="18"/>
      <c r="AD301" s="18"/>
      <c r="AE301" s="19"/>
      <c r="AF301" s="20"/>
      <c r="AG301" s="21"/>
      <c r="AH301" s="21"/>
      <c r="AI301" s="19"/>
      <c r="AJ301" s="29"/>
      <c r="AK301" s="29"/>
      <c r="AL301" s="29"/>
    </row>
    <row r="302" spans="2:38" s="28" customFormat="1" x14ac:dyDescent="0.3">
      <c r="B302" s="24"/>
      <c r="C302" s="37"/>
      <c r="D302" s="37"/>
      <c r="E302" s="37"/>
      <c r="F302" s="35"/>
      <c r="G302" s="35"/>
      <c r="H302" s="35"/>
      <c r="I302" s="35"/>
      <c r="J302" s="35"/>
      <c r="K302" s="35"/>
      <c r="L302" s="35"/>
      <c r="M302" s="31"/>
      <c r="N302" s="32"/>
      <c r="O302" s="32"/>
      <c r="P302" s="32"/>
      <c r="Q302" s="32"/>
      <c r="R302" s="32"/>
      <c r="S302" s="32"/>
      <c r="T302" s="32"/>
      <c r="U302" s="29"/>
      <c r="V302" s="29"/>
      <c r="W302" s="24"/>
      <c r="X302" s="18"/>
      <c r="Y302" s="18"/>
      <c r="Z302" s="18"/>
      <c r="AA302" s="18"/>
      <c r="AB302" s="18"/>
      <c r="AC302" s="18"/>
      <c r="AD302" s="18"/>
      <c r="AE302" s="19"/>
      <c r="AF302" s="20"/>
      <c r="AG302" s="21"/>
      <c r="AH302" s="21"/>
      <c r="AI302" s="19"/>
      <c r="AJ302" s="29"/>
      <c r="AK302" s="29"/>
      <c r="AL302" s="29"/>
    </row>
    <row r="303" spans="2:38" s="28" customFormat="1" x14ac:dyDescent="0.3">
      <c r="B303" s="24"/>
      <c r="C303" s="37"/>
      <c r="D303" s="37"/>
      <c r="E303" s="37"/>
      <c r="F303" s="35"/>
      <c r="G303" s="35"/>
      <c r="H303" s="35"/>
      <c r="I303" s="35"/>
      <c r="J303" s="35"/>
      <c r="K303" s="35"/>
      <c r="L303" s="35"/>
      <c r="M303" s="31"/>
      <c r="N303" s="32"/>
      <c r="O303" s="32"/>
      <c r="P303" s="32"/>
      <c r="Q303" s="32"/>
      <c r="R303" s="32"/>
      <c r="S303" s="32"/>
      <c r="T303" s="32"/>
      <c r="U303" s="29"/>
      <c r="V303" s="29"/>
      <c r="W303" s="24"/>
      <c r="X303" s="18"/>
      <c r="Y303" s="18"/>
      <c r="Z303" s="18"/>
      <c r="AA303" s="18"/>
      <c r="AB303" s="18"/>
      <c r="AC303" s="18"/>
      <c r="AD303" s="18"/>
      <c r="AE303" s="19"/>
      <c r="AF303" s="20"/>
      <c r="AG303" s="21"/>
      <c r="AH303" s="21"/>
      <c r="AI303" s="19"/>
      <c r="AJ303" s="29"/>
      <c r="AK303" s="29"/>
      <c r="AL303" s="29"/>
    </row>
    <row r="304" spans="2:38" s="28" customFormat="1" x14ac:dyDescent="0.3">
      <c r="B304" s="24"/>
      <c r="C304" s="37"/>
      <c r="D304" s="37"/>
      <c r="E304" s="37"/>
      <c r="F304" s="35"/>
      <c r="G304" s="35"/>
      <c r="H304" s="35"/>
      <c r="I304" s="35"/>
      <c r="J304" s="35"/>
      <c r="K304" s="35"/>
      <c r="L304" s="35"/>
      <c r="M304" s="31"/>
      <c r="N304" s="32"/>
      <c r="O304" s="32"/>
      <c r="P304" s="32"/>
      <c r="Q304" s="32"/>
      <c r="R304" s="32"/>
      <c r="S304" s="32"/>
      <c r="T304" s="32"/>
      <c r="U304" s="29"/>
      <c r="V304" s="29"/>
      <c r="W304" s="24"/>
      <c r="X304" s="18"/>
      <c r="Y304" s="18"/>
      <c r="Z304" s="18"/>
      <c r="AA304" s="18"/>
      <c r="AB304" s="18"/>
      <c r="AC304" s="18"/>
      <c r="AD304" s="18"/>
      <c r="AE304" s="19"/>
      <c r="AF304" s="20"/>
      <c r="AG304" s="21"/>
      <c r="AH304" s="21"/>
      <c r="AI304" s="19"/>
      <c r="AJ304" s="29"/>
      <c r="AK304" s="29"/>
      <c r="AL304" s="29"/>
    </row>
    <row r="305" spans="2:38" s="28" customFormat="1" x14ac:dyDescent="0.3">
      <c r="B305" s="24"/>
      <c r="C305" s="37"/>
      <c r="D305" s="37"/>
      <c r="E305" s="37"/>
      <c r="F305" s="35"/>
      <c r="G305" s="35"/>
      <c r="H305" s="35"/>
      <c r="I305" s="35"/>
      <c r="J305" s="35"/>
      <c r="K305" s="35"/>
      <c r="L305" s="35"/>
      <c r="M305" s="31"/>
      <c r="N305" s="32"/>
      <c r="O305" s="32"/>
      <c r="P305" s="32"/>
      <c r="Q305" s="32"/>
      <c r="R305" s="32"/>
      <c r="S305" s="32"/>
      <c r="T305" s="32"/>
      <c r="U305" s="29"/>
      <c r="V305" s="29"/>
      <c r="W305" s="24"/>
      <c r="X305" s="18"/>
      <c r="Y305" s="18"/>
      <c r="Z305" s="18"/>
      <c r="AA305" s="18"/>
      <c r="AB305" s="18"/>
      <c r="AC305" s="18"/>
      <c r="AD305" s="18"/>
      <c r="AE305" s="19"/>
      <c r="AF305" s="20"/>
      <c r="AG305" s="21"/>
      <c r="AH305" s="21"/>
      <c r="AI305" s="19"/>
      <c r="AJ305" s="29"/>
      <c r="AK305" s="29"/>
      <c r="AL305" s="29"/>
    </row>
    <row r="306" spans="2:38" s="28" customFormat="1" x14ac:dyDescent="0.3">
      <c r="B306" s="24"/>
      <c r="C306" s="37"/>
      <c r="D306" s="37"/>
      <c r="E306" s="37"/>
      <c r="F306" s="35"/>
      <c r="G306" s="35"/>
      <c r="H306" s="35"/>
      <c r="I306" s="35"/>
      <c r="J306" s="35"/>
      <c r="K306" s="35"/>
      <c r="L306" s="35"/>
      <c r="M306" s="31"/>
      <c r="N306" s="32"/>
      <c r="O306" s="32"/>
      <c r="P306" s="32"/>
      <c r="Q306" s="32"/>
      <c r="R306" s="32"/>
      <c r="S306" s="32"/>
      <c r="T306" s="32"/>
      <c r="U306" s="29"/>
      <c r="V306" s="29"/>
      <c r="W306" s="24"/>
      <c r="X306" s="18"/>
      <c r="Y306" s="18"/>
      <c r="Z306" s="18"/>
      <c r="AA306" s="18"/>
      <c r="AB306" s="18"/>
      <c r="AC306" s="18"/>
      <c r="AD306" s="18"/>
      <c r="AE306" s="19"/>
      <c r="AF306" s="20"/>
      <c r="AG306" s="21"/>
      <c r="AH306" s="21"/>
      <c r="AI306" s="19"/>
      <c r="AJ306" s="29"/>
      <c r="AK306" s="29"/>
      <c r="AL306" s="29"/>
    </row>
    <row r="307" spans="2:38" s="28" customFormat="1" x14ac:dyDescent="0.3">
      <c r="B307" s="24"/>
      <c r="C307" s="37"/>
      <c r="D307" s="37"/>
      <c r="E307" s="37"/>
      <c r="F307" s="35"/>
      <c r="G307" s="35"/>
      <c r="H307" s="35"/>
      <c r="I307" s="35"/>
      <c r="J307" s="35"/>
      <c r="K307" s="35"/>
      <c r="L307" s="35"/>
      <c r="M307" s="31"/>
      <c r="N307" s="32"/>
      <c r="O307" s="32"/>
      <c r="P307" s="32"/>
      <c r="Q307" s="32"/>
      <c r="R307" s="32"/>
      <c r="S307" s="32"/>
      <c r="T307" s="32"/>
      <c r="U307" s="29"/>
      <c r="V307" s="29"/>
      <c r="W307" s="24"/>
      <c r="X307" s="18"/>
      <c r="Y307" s="18"/>
      <c r="Z307" s="18"/>
      <c r="AA307" s="18"/>
      <c r="AB307" s="18"/>
      <c r="AC307" s="18"/>
      <c r="AD307" s="18"/>
      <c r="AE307" s="19"/>
      <c r="AF307" s="20"/>
      <c r="AG307" s="21"/>
      <c r="AH307" s="21"/>
      <c r="AI307" s="19"/>
      <c r="AJ307" s="29"/>
      <c r="AK307" s="29"/>
      <c r="AL307" s="29"/>
    </row>
    <row r="308" spans="2:38" s="28" customFormat="1" x14ac:dyDescent="0.3">
      <c r="B308" s="24"/>
      <c r="C308" s="37"/>
      <c r="D308" s="37"/>
      <c r="E308" s="37"/>
      <c r="F308" s="35"/>
      <c r="G308" s="35"/>
      <c r="H308" s="35"/>
      <c r="I308" s="35"/>
      <c r="J308" s="35"/>
      <c r="K308" s="35"/>
      <c r="L308" s="35"/>
      <c r="M308" s="31"/>
      <c r="N308" s="32"/>
      <c r="O308" s="32"/>
      <c r="P308" s="32"/>
      <c r="Q308" s="32"/>
      <c r="R308" s="32"/>
      <c r="S308" s="32"/>
      <c r="T308" s="32"/>
      <c r="U308" s="29"/>
      <c r="V308" s="29"/>
      <c r="W308" s="24"/>
      <c r="X308" s="18"/>
      <c r="Y308" s="18"/>
      <c r="Z308" s="18"/>
      <c r="AA308" s="18"/>
      <c r="AB308" s="18"/>
      <c r="AC308" s="18"/>
      <c r="AD308" s="18"/>
      <c r="AE308" s="19"/>
      <c r="AF308" s="20"/>
      <c r="AG308" s="21"/>
      <c r="AH308" s="21"/>
      <c r="AI308" s="19"/>
      <c r="AJ308" s="29"/>
      <c r="AK308" s="29"/>
      <c r="AL308" s="29"/>
    </row>
    <row r="309" spans="2:38" s="28" customFormat="1" x14ac:dyDescent="0.3">
      <c r="B309" s="24"/>
      <c r="C309" s="37"/>
      <c r="D309" s="37"/>
      <c r="E309" s="37"/>
      <c r="F309" s="35"/>
      <c r="G309" s="35"/>
      <c r="H309" s="35"/>
      <c r="I309" s="35"/>
      <c r="J309" s="35"/>
      <c r="K309" s="35"/>
      <c r="L309" s="35"/>
      <c r="M309" s="31"/>
      <c r="N309" s="32"/>
      <c r="O309" s="32"/>
      <c r="P309" s="32"/>
      <c r="Q309" s="32"/>
      <c r="R309" s="32"/>
      <c r="S309" s="32"/>
      <c r="T309" s="32"/>
      <c r="U309" s="29"/>
      <c r="V309" s="29"/>
      <c r="W309" s="24"/>
      <c r="X309" s="18"/>
      <c r="Y309" s="18"/>
      <c r="Z309" s="18"/>
      <c r="AA309" s="18"/>
      <c r="AB309" s="18"/>
      <c r="AC309" s="18"/>
      <c r="AD309" s="18"/>
      <c r="AE309" s="19"/>
      <c r="AF309" s="20"/>
      <c r="AG309" s="21"/>
      <c r="AH309" s="21"/>
      <c r="AI309" s="19"/>
      <c r="AJ309" s="29"/>
      <c r="AK309" s="29"/>
      <c r="AL309" s="29"/>
    </row>
    <row r="310" spans="2:38" s="28" customFormat="1" x14ac:dyDescent="0.3">
      <c r="B310" s="24"/>
      <c r="C310" s="37"/>
      <c r="D310" s="37"/>
      <c r="E310" s="37"/>
      <c r="F310" s="35"/>
      <c r="G310" s="35"/>
      <c r="H310" s="35"/>
      <c r="I310" s="35"/>
      <c r="J310" s="35"/>
      <c r="K310" s="35"/>
      <c r="L310" s="35"/>
      <c r="M310" s="31"/>
      <c r="N310" s="32"/>
      <c r="O310" s="32"/>
      <c r="P310" s="32"/>
      <c r="Q310" s="32"/>
      <c r="R310" s="32"/>
      <c r="S310" s="32"/>
      <c r="T310" s="32"/>
      <c r="U310" s="29"/>
      <c r="V310" s="29"/>
      <c r="W310" s="24"/>
      <c r="X310" s="18"/>
      <c r="Y310" s="18"/>
      <c r="Z310" s="18"/>
      <c r="AA310" s="18"/>
      <c r="AB310" s="18"/>
      <c r="AC310" s="18"/>
      <c r="AD310" s="18"/>
      <c r="AE310" s="19"/>
      <c r="AF310" s="20"/>
      <c r="AG310" s="21"/>
      <c r="AH310" s="21"/>
      <c r="AI310" s="19"/>
      <c r="AJ310" s="29"/>
      <c r="AK310" s="29"/>
      <c r="AL310" s="29"/>
    </row>
    <row r="311" spans="2:38" s="28" customFormat="1" x14ac:dyDescent="0.3">
      <c r="B311" s="24"/>
      <c r="C311" s="37"/>
      <c r="D311" s="37"/>
      <c r="E311" s="37"/>
      <c r="F311" s="35"/>
      <c r="G311" s="35"/>
      <c r="H311" s="35"/>
      <c r="I311" s="35"/>
      <c r="J311" s="35"/>
      <c r="K311" s="35"/>
      <c r="L311" s="35"/>
      <c r="M311" s="31"/>
      <c r="N311" s="32"/>
      <c r="O311" s="32"/>
      <c r="P311" s="32"/>
      <c r="Q311" s="32"/>
      <c r="R311" s="32"/>
      <c r="S311" s="32"/>
      <c r="T311" s="32"/>
      <c r="U311" s="29"/>
      <c r="V311" s="29"/>
      <c r="W311" s="24"/>
      <c r="X311" s="18"/>
      <c r="Y311" s="18"/>
      <c r="Z311" s="18"/>
      <c r="AA311" s="18"/>
      <c r="AB311" s="18"/>
      <c r="AC311" s="18"/>
      <c r="AD311" s="18"/>
      <c r="AE311" s="19"/>
      <c r="AF311" s="20"/>
      <c r="AG311" s="21"/>
      <c r="AH311" s="21"/>
      <c r="AI311" s="19"/>
      <c r="AJ311" s="29"/>
      <c r="AK311" s="29"/>
      <c r="AL311" s="29"/>
    </row>
    <row r="312" spans="2:38" s="28" customFormat="1" x14ac:dyDescent="0.3">
      <c r="B312" s="24"/>
      <c r="C312" s="37"/>
      <c r="D312" s="37"/>
      <c r="E312" s="37"/>
      <c r="F312" s="35"/>
      <c r="G312" s="35"/>
      <c r="H312" s="35"/>
      <c r="I312" s="35"/>
      <c r="J312" s="35"/>
      <c r="K312" s="35"/>
      <c r="L312" s="35"/>
      <c r="M312" s="31"/>
      <c r="N312" s="32"/>
      <c r="O312" s="32"/>
      <c r="P312" s="32"/>
      <c r="Q312" s="32"/>
      <c r="R312" s="32"/>
      <c r="S312" s="32"/>
      <c r="T312" s="32"/>
      <c r="U312" s="29"/>
      <c r="V312" s="29"/>
      <c r="W312" s="24"/>
      <c r="X312" s="18"/>
      <c r="Y312" s="18"/>
      <c r="Z312" s="18"/>
      <c r="AA312" s="18"/>
      <c r="AB312" s="18"/>
      <c r="AC312" s="18"/>
      <c r="AD312" s="18"/>
      <c r="AE312" s="19"/>
      <c r="AF312" s="20"/>
      <c r="AG312" s="21"/>
      <c r="AH312" s="21"/>
      <c r="AI312" s="19"/>
      <c r="AJ312" s="29"/>
      <c r="AK312" s="29"/>
      <c r="AL312" s="29"/>
    </row>
    <row r="313" spans="2:38" s="28" customFormat="1" x14ac:dyDescent="0.3">
      <c r="B313" s="24"/>
      <c r="C313" s="37"/>
      <c r="D313" s="37"/>
      <c r="E313" s="37"/>
      <c r="F313" s="35"/>
      <c r="G313" s="35"/>
      <c r="H313" s="35"/>
      <c r="I313" s="35"/>
      <c r="J313" s="35"/>
      <c r="K313" s="35"/>
      <c r="L313" s="35"/>
      <c r="M313" s="31"/>
      <c r="N313" s="32"/>
      <c r="O313" s="32"/>
      <c r="P313" s="32"/>
      <c r="Q313" s="32"/>
      <c r="R313" s="32"/>
      <c r="S313" s="32"/>
      <c r="T313" s="32"/>
      <c r="U313" s="29"/>
      <c r="V313" s="29"/>
      <c r="W313" s="24"/>
      <c r="X313" s="18"/>
      <c r="Y313" s="18"/>
      <c r="Z313" s="18"/>
      <c r="AA313" s="18"/>
      <c r="AB313" s="18"/>
      <c r="AC313" s="18"/>
      <c r="AD313" s="18"/>
      <c r="AE313" s="19"/>
      <c r="AF313" s="20"/>
      <c r="AG313" s="21"/>
      <c r="AH313" s="21"/>
      <c r="AI313" s="19"/>
      <c r="AJ313" s="29"/>
      <c r="AK313" s="29"/>
      <c r="AL313" s="29"/>
    </row>
    <row r="314" spans="2:38" s="28" customFormat="1" x14ac:dyDescent="0.3">
      <c r="B314" s="24"/>
      <c r="C314" s="37"/>
      <c r="D314" s="37"/>
      <c r="E314" s="37"/>
      <c r="F314" s="35"/>
      <c r="G314" s="35"/>
      <c r="H314" s="35"/>
      <c r="I314" s="35"/>
      <c r="J314" s="35"/>
      <c r="K314" s="35"/>
      <c r="L314" s="35"/>
      <c r="M314" s="31"/>
      <c r="N314" s="32"/>
      <c r="O314" s="32"/>
      <c r="P314" s="32"/>
      <c r="Q314" s="32"/>
      <c r="R314" s="32"/>
      <c r="S314" s="32"/>
      <c r="T314" s="32"/>
      <c r="U314" s="29"/>
      <c r="V314" s="29"/>
      <c r="W314" s="24"/>
      <c r="X314" s="18"/>
      <c r="Y314" s="18"/>
      <c r="Z314" s="18"/>
      <c r="AA314" s="18"/>
      <c r="AB314" s="18"/>
      <c r="AC314" s="18"/>
      <c r="AD314" s="18"/>
      <c r="AE314" s="19"/>
      <c r="AF314" s="20"/>
      <c r="AG314" s="21"/>
      <c r="AH314" s="21"/>
      <c r="AI314" s="19"/>
      <c r="AJ314" s="29"/>
      <c r="AK314" s="29"/>
      <c r="AL314" s="29"/>
    </row>
    <row r="315" spans="2:38" s="28" customFormat="1" x14ac:dyDescent="0.3">
      <c r="B315" s="24"/>
      <c r="C315" s="37"/>
      <c r="D315" s="37"/>
      <c r="E315" s="37"/>
      <c r="F315" s="35"/>
      <c r="G315" s="35"/>
      <c r="H315" s="35"/>
      <c r="I315" s="35"/>
      <c r="J315" s="35"/>
      <c r="K315" s="35"/>
      <c r="L315" s="35"/>
      <c r="M315" s="31"/>
      <c r="N315" s="32"/>
      <c r="O315" s="32"/>
      <c r="P315" s="32"/>
      <c r="Q315" s="32"/>
      <c r="R315" s="32"/>
      <c r="S315" s="32"/>
      <c r="T315" s="32"/>
      <c r="U315" s="29"/>
      <c r="V315" s="29"/>
      <c r="W315" s="24"/>
      <c r="X315" s="18"/>
      <c r="Y315" s="18"/>
      <c r="Z315" s="18"/>
      <c r="AA315" s="18"/>
      <c r="AB315" s="18"/>
      <c r="AC315" s="18"/>
      <c r="AD315" s="18"/>
      <c r="AE315" s="19"/>
      <c r="AF315" s="20"/>
      <c r="AG315" s="21"/>
      <c r="AH315" s="21"/>
      <c r="AI315" s="19"/>
      <c r="AJ315" s="29"/>
      <c r="AK315" s="29"/>
      <c r="AL315" s="29"/>
    </row>
    <row r="316" spans="2:38" s="28" customFormat="1" x14ac:dyDescent="0.3">
      <c r="B316" s="24"/>
      <c r="C316" s="37"/>
      <c r="D316" s="37"/>
      <c r="E316" s="37"/>
      <c r="F316" s="35"/>
      <c r="G316" s="35"/>
      <c r="H316" s="35"/>
      <c r="I316" s="35"/>
      <c r="J316" s="35"/>
      <c r="K316" s="35"/>
      <c r="L316" s="35"/>
      <c r="M316" s="31"/>
      <c r="N316" s="32"/>
      <c r="O316" s="32"/>
      <c r="P316" s="32"/>
      <c r="Q316" s="32"/>
      <c r="R316" s="32"/>
      <c r="S316" s="32"/>
      <c r="T316" s="32"/>
      <c r="U316" s="29"/>
      <c r="V316" s="29"/>
      <c r="W316" s="24"/>
      <c r="X316" s="18"/>
      <c r="Y316" s="18"/>
      <c r="Z316" s="18"/>
      <c r="AA316" s="18"/>
      <c r="AB316" s="18"/>
      <c r="AC316" s="18"/>
      <c r="AD316" s="18"/>
      <c r="AE316" s="19"/>
      <c r="AF316" s="20"/>
      <c r="AG316" s="21"/>
      <c r="AH316" s="21"/>
      <c r="AI316" s="19"/>
      <c r="AJ316" s="29"/>
      <c r="AK316" s="29"/>
      <c r="AL316" s="29"/>
    </row>
    <row r="317" spans="2:38" s="28" customFormat="1" x14ac:dyDescent="0.3">
      <c r="B317" s="24"/>
      <c r="C317" s="37"/>
      <c r="D317" s="37"/>
      <c r="E317" s="37"/>
      <c r="F317" s="35"/>
      <c r="G317" s="35"/>
      <c r="H317" s="35"/>
      <c r="I317" s="35"/>
      <c r="J317" s="35"/>
      <c r="K317" s="35"/>
      <c r="L317" s="35"/>
      <c r="M317" s="31"/>
      <c r="N317" s="32"/>
      <c r="O317" s="32"/>
      <c r="P317" s="32"/>
      <c r="Q317" s="32"/>
      <c r="R317" s="32"/>
      <c r="S317" s="32"/>
      <c r="T317" s="32"/>
      <c r="U317" s="29"/>
      <c r="V317" s="29"/>
      <c r="W317" s="24"/>
      <c r="X317" s="18"/>
      <c r="Y317" s="18"/>
      <c r="Z317" s="18"/>
      <c r="AA317" s="18"/>
      <c r="AB317" s="18"/>
      <c r="AC317" s="18"/>
      <c r="AD317" s="18"/>
      <c r="AE317" s="19"/>
      <c r="AF317" s="20"/>
      <c r="AG317" s="21"/>
      <c r="AH317" s="21"/>
      <c r="AI317" s="19"/>
      <c r="AJ317" s="29"/>
      <c r="AK317" s="29"/>
      <c r="AL317" s="29"/>
    </row>
    <row r="318" spans="2:38" s="28" customFormat="1" x14ac:dyDescent="0.3">
      <c r="B318" s="24"/>
      <c r="C318" s="37"/>
      <c r="D318" s="37"/>
      <c r="E318" s="37"/>
      <c r="F318" s="35"/>
      <c r="G318" s="35"/>
      <c r="H318" s="35"/>
      <c r="I318" s="35"/>
      <c r="J318" s="35"/>
      <c r="K318" s="35"/>
      <c r="L318" s="35"/>
      <c r="M318" s="31"/>
      <c r="N318" s="32"/>
      <c r="O318" s="32"/>
      <c r="P318" s="32"/>
      <c r="Q318" s="32"/>
      <c r="R318" s="32"/>
      <c r="S318" s="32"/>
      <c r="T318" s="32"/>
      <c r="U318" s="29"/>
      <c r="V318" s="29"/>
      <c r="W318" s="24"/>
      <c r="X318" s="18"/>
      <c r="Y318" s="18"/>
      <c r="Z318" s="18"/>
      <c r="AA318" s="18"/>
      <c r="AB318" s="18"/>
      <c r="AC318" s="18"/>
      <c r="AD318" s="18"/>
      <c r="AE318" s="19"/>
      <c r="AF318" s="20"/>
      <c r="AG318" s="21"/>
      <c r="AH318" s="21"/>
      <c r="AI318" s="19"/>
      <c r="AJ318" s="29"/>
      <c r="AK318" s="29"/>
      <c r="AL318" s="29"/>
    </row>
    <row r="319" spans="2:38" s="28" customFormat="1" x14ac:dyDescent="0.3">
      <c r="B319" s="24"/>
      <c r="C319" s="37"/>
      <c r="D319" s="37"/>
      <c r="E319" s="37"/>
      <c r="F319" s="35"/>
      <c r="G319" s="35"/>
      <c r="H319" s="35"/>
      <c r="I319" s="35"/>
      <c r="J319" s="35"/>
      <c r="K319" s="35"/>
      <c r="L319" s="35"/>
      <c r="M319" s="31"/>
      <c r="N319" s="32"/>
      <c r="O319" s="32"/>
      <c r="P319" s="32"/>
      <c r="Q319" s="32"/>
      <c r="R319" s="32"/>
      <c r="S319" s="32"/>
      <c r="T319" s="32"/>
      <c r="U319" s="29"/>
      <c r="V319" s="29"/>
      <c r="W319" s="24"/>
      <c r="X319" s="18"/>
      <c r="Y319" s="18"/>
      <c r="Z319" s="18"/>
      <c r="AA319" s="18"/>
      <c r="AB319" s="18"/>
      <c r="AC319" s="18"/>
      <c r="AD319" s="18"/>
      <c r="AE319" s="19"/>
      <c r="AF319" s="20"/>
      <c r="AG319" s="21"/>
      <c r="AH319" s="21"/>
      <c r="AI319" s="19"/>
      <c r="AJ319" s="29"/>
      <c r="AK319" s="29"/>
      <c r="AL319" s="29"/>
    </row>
    <row r="320" spans="2:38" s="28" customFormat="1" x14ac:dyDescent="0.3">
      <c r="B320" s="24"/>
      <c r="C320" s="37"/>
      <c r="D320" s="37"/>
      <c r="E320" s="37"/>
      <c r="F320" s="35"/>
      <c r="G320" s="35"/>
      <c r="H320" s="35"/>
      <c r="I320" s="35"/>
      <c r="J320" s="35"/>
      <c r="K320" s="35"/>
      <c r="L320" s="35"/>
      <c r="M320" s="31"/>
      <c r="N320" s="32"/>
      <c r="O320" s="32"/>
      <c r="P320" s="32"/>
      <c r="Q320" s="32"/>
      <c r="R320" s="32"/>
      <c r="S320" s="32"/>
      <c r="T320" s="32"/>
      <c r="U320" s="29"/>
      <c r="V320" s="29"/>
      <c r="W320" s="24"/>
      <c r="X320" s="18"/>
      <c r="Y320" s="18"/>
      <c r="Z320" s="18"/>
      <c r="AA320" s="18"/>
      <c r="AB320" s="18"/>
      <c r="AC320" s="18"/>
      <c r="AD320" s="18"/>
      <c r="AE320" s="19"/>
      <c r="AF320" s="20"/>
      <c r="AG320" s="21"/>
      <c r="AH320" s="21"/>
      <c r="AI320" s="19"/>
      <c r="AJ320" s="29"/>
      <c r="AK320" s="29"/>
      <c r="AL320" s="29"/>
    </row>
    <row r="321" spans="2:38" s="28" customFormat="1" x14ac:dyDescent="0.3">
      <c r="B321" s="24"/>
      <c r="C321" s="37"/>
      <c r="D321" s="37"/>
      <c r="E321" s="37"/>
      <c r="F321" s="35"/>
      <c r="G321" s="35"/>
      <c r="H321" s="35"/>
      <c r="I321" s="35"/>
      <c r="J321" s="35"/>
      <c r="K321" s="35"/>
      <c r="L321" s="35"/>
      <c r="M321" s="31"/>
      <c r="N321" s="32"/>
      <c r="O321" s="32"/>
      <c r="P321" s="32"/>
      <c r="Q321" s="32"/>
      <c r="R321" s="32"/>
      <c r="S321" s="32"/>
      <c r="T321" s="32"/>
      <c r="U321" s="29"/>
      <c r="V321" s="29"/>
      <c r="W321" s="24"/>
      <c r="X321" s="18"/>
      <c r="Y321" s="18"/>
      <c r="Z321" s="18"/>
      <c r="AA321" s="18"/>
      <c r="AB321" s="18"/>
      <c r="AC321" s="18"/>
      <c r="AD321" s="18"/>
      <c r="AE321" s="19"/>
      <c r="AF321" s="20"/>
      <c r="AG321" s="21"/>
      <c r="AH321" s="21"/>
      <c r="AI321" s="19"/>
      <c r="AJ321" s="29"/>
      <c r="AK321" s="29"/>
      <c r="AL321" s="29"/>
    </row>
    <row r="322" spans="2:38" s="28" customFormat="1" x14ac:dyDescent="0.3">
      <c r="B322" s="24"/>
      <c r="C322" s="37"/>
      <c r="D322" s="37"/>
      <c r="E322" s="37"/>
      <c r="F322" s="35"/>
      <c r="G322" s="35"/>
      <c r="H322" s="35"/>
      <c r="I322" s="35"/>
      <c r="J322" s="35"/>
      <c r="K322" s="35"/>
      <c r="L322" s="35"/>
      <c r="M322" s="31"/>
      <c r="N322" s="32"/>
      <c r="O322" s="32"/>
      <c r="P322" s="32"/>
      <c r="Q322" s="32"/>
      <c r="R322" s="32"/>
      <c r="S322" s="32"/>
      <c r="T322" s="32"/>
      <c r="U322" s="29"/>
      <c r="V322" s="29"/>
      <c r="W322" s="24"/>
      <c r="X322" s="18"/>
      <c r="Y322" s="18"/>
      <c r="Z322" s="18"/>
      <c r="AA322" s="18"/>
      <c r="AB322" s="18"/>
      <c r="AC322" s="18"/>
      <c r="AD322" s="18"/>
      <c r="AE322" s="19"/>
      <c r="AF322" s="20"/>
      <c r="AG322" s="21"/>
      <c r="AH322" s="21"/>
      <c r="AI322" s="19"/>
      <c r="AJ322" s="29"/>
      <c r="AK322" s="29"/>
      <c r="AL322" s="29"/>
    </row>
    <row r="323" spans="2:38" s="28" customFormat="1" x14ac:dyDescent="0.3">
      <c r="B323" s="24"/>
      <c r="C323" s="37"/>
      <c r="D323" s="37"/>
      <c r="E323" s="37"/>
      <c r="F323" s="35"/>
      <c r="G323" s="35"/>
      <c r="H323" s="35"/>
      <c r="I323" s="35"/>
      <c r="J323" s="35"/>
      <c r="K323" s="35"/>
      <c r="L323" s="35"/>
      <c r="M323" s="31"/>
      <c r="N323" s="32"/>
      <c r="O323" s="32"/>
      <c r="P323" s="32"/>
      <c r="Q323" s="32"/>
      <c r="R323" s="32"/>
      <c r="S323" s="32"/>
      <c r="T323" s="32"/>
      <c r="U323" s="29"/>
      <c r="V323" s="29"/>
      <c r="W323" s="24"/>
      <c r="X323" s="18"/>
      <c r="Y323" s="18"/>
      <c r="Z323" s="18"/>
      <c r="AA323" s="18"/>
      <c r="AB323" s="18"/>
      <c r="AC323" s="18"/>
      <c r="AD323" s="18"/>
      <c r="AE323" s="19"/>
      <c r="AF323" s="20"/>
      <c r="AG323" s="21"/>
      <c r="AH323" s="21"/>
      <c r="AI323" s="19"/>
      <c r="AJ323" s="29"/>
      <c r="AK323" s="29"/>
      <c r="AL323" s="29"/>
    </row>
    <row r="324" spans="2:38" s="28" customFormat="1" x14ac:dyDescent="0.3">
      <c r="B324" s="24"/>
      <c r="C324" s="37"/>
      <c r="D324" s="37"/>
      <c r="E324" s="37"/>
      <c r="F324" s="35"/>
      <c r="G324" s="35"/>
      <c r="H324" s="35"/>
      <c r="I324" s="35"/>
      <c r="J324" s="35"/>
      <c r="K324" s="35"/>
      <c r="L324" s="35"/>
      <c r="M324" s="31"/>
      <c r="N324" s="32"/>
      <c r="O324" s="32"/>
      <c r="P324" s="32"/>
      <c r="Q324" s="32"/>
      <c r="R324" s="32"/>
      <c r="S324" s="32"/>
      <c r="T324" s="32"/>
      <c r="U324" s="29"/>
      <c r="V324" s="29"/>
      <c r="W324" s="24"/>
      <c r="X324" s="18"/>
      <c r="Y324" s="18"/>
      <c r="Z324" s="18"/>
      <c r="AA324" s="18"/>
      <c r="AB324" s="18"/>
      <c r="AC324" s="18"/>
      <c r="AD324" s="18"/>
      <c r="AE324" s="19"/>
      <c r="AF324" s="20"/>
      <c r="AG324" s="21"/>
      <c r="AH324" s="21"/>
      <c r="AI324" s="19"/>
      <c r="AJ324" s="29"/>
      <c r="AK324" s="29"/>
      <c r="AL324" s="29"/>
    </row>
    <row r="325" spans="2:38" s="28" customFormat="1" x14ac:dyDescent="0.3">
      <c r="B325" s="24"/>
      <c r="C325" s="37"/>
      <c r="D325" s="37"/>
      <c r="E325" s="37"/>
      <c r="F325" s="35"/>
      <c r="G325" s="35"/>
      <c r="H325" s="35"/>
      <c r="I325" s="35"/>
      <c r="J325" s="35"/>
      <c r="K325" s="35"/>
      <c r="L325" s="35"/>
      <c r="M325" s="31"/>
      <c r="N325" s="32"/>
      <c r="O325" s="32"/>
      <c r="P325" s="32"/>
      <c r="Q325" s="32"/>
      <c r="R325" s="32"/>
      <c r="S325" s="32"/>
      <c r="T325" s="32"/>
      <c r="U325" s="29"/>
      <c r="V325" s="29"/>
      <c r="W325" s="24"/>
      <c r="X325" s="18"/>
      <c r="Y325" s="18"/>
      <c r="Z325" s="18"/>
      <c r="AA325" s="18"/>
      <c r="AB325" s="18"/>
      <c r="AC325" s="18"/>
      <c r="AD325" s="18"/>
      <c r="AE325" s="19"/>
      <c r="AF325" s="20"/>
      <c r="AG325" s="21"/>
      <c r="AH325" s="21"/>
      <c r="AI325" s="19"/>
      <c r="AJ325" s="29"/>
      <c r="AK325" s="29"/>
      <c r="AL325" s="29"/>
    </row>
    <row r="326" spans="2:38" s="28" customFormat="1" x14ac:dyDescent="0.3">
      <c r="B326" s="24"/>
      <c r="C326" s="37"/>
      <c r="D326" s="37"/>
      <c r="E326" s="37"/>
      <c r="F326" s="35"/>
      <c r="G326" s="35"/>
      <c r="H326" s="35"/>
      <c r="I326" s="35"/>
      <c r="J326" s="35"/>
      <c r="K326" s="35"/>
      <c r="L326" s="35"/>
      <c r="M326" s="31"/>
      <c r="N326" s="32"/>
      <c r="O326" s="32"/>
      <c r="P326" s="32"/>
      <c r="Q326" s="32"/>
      <c r="R326" s="32"/>
      <c r="S326" s="32"/>
      <c r="T326" s="32"/>
      <c r="U326" s="29"/>
      <c r="V326" s="29"/>
      <c r="W326" s="24"/>
      <c r="X326" s="18"/>
      <c r="Y326" s="18"/>
      <c r="Z326" s="18"/>
      <c r="AA326" s="18"/>
      <c r="AB326" s="18"/>
      <c r="AC326" s="18"/>
      <c r="AD326" s="18"/>
      <c r="AE326" s="19"/>
      <c r="AF326" s="20"/>
      <c r="AG326" s="21"/>
      <c r="AH326" s="21"/>
      <c r="AI326" s="19"/>
      <c r="AJ326" s="29"/>
      <c r="AK326" s="29"/>
      <c r="AL326" s="29"/>
    </row>
    <row r="327" spans="2:38" s="28" customFormat="1" x14ac:dyDescent="0.3">
      <c r="B327" s="24"/>
      <c r="C327" s="37"/>
      <c r="D327" s="37"/>
      <c r="E327" s="37"/>
      <c r="F327" s="35"/>
      <c r="G327" s="35"/>
      <c r="H327" s="35"/>
      <c r="I327" s="35"/>
      <c r="J327" s="35"/>
      <c r="K327" s="35"/>
      <c r="L327" s="35"/>
      <c r="M327" s="31"/>
      <c r="N327" s="32"/>
      <c r="O327" s="32"/>
      <c r="P327" s="32"/>
      <c r="Q327" s="32"/>
      <c r="R327" s="32"/>
      <c r="S327" s="32"/>
      <c r="T327" s="32"/>
      <c r="U327" s="29"/>
      <c r="V327" s="29"/>
      <c r="W327" s="24"/>
      <c r="X327" s="18"/>
      <c r="Y327" s="18"/>
      <c r="Z327" s="18"/>
      <c r="AA327" s="18"/>
      <c r="AB327" s="18"/>
      <c r="AC327" s="18"/>
      <c r="AD327" s="18"/>
      <c r="AE327" s="19"/>
      <c r="AF327" s="20"/>
      <c r="AG327" s="21"/>
      <c r="AH327" s="21"/>
      <c r="AI327" s="19"/>
      <c r="AJ327" s="29"/>
      <c r="AK327" s="29"/>
      <c r="AL327" s="29"/>
    </row>
    <row r="328" spans="2:38" s="28" customFormat="1" x14ac:dyDescent="0.3">
      <c r="B328" s="24"/>
      <c r="C328" s="37"/>
      <c r="D328" s="37"/>
      <c r="E328" s="37"/>
      <c r="F328" s="35"/>
      <c r="G328" s="35"/>
      <c r="H328" s="35"/>
      <c r="I328" s="35"/>
      <c r="J328" s="35"/>
      <c r="K328" s="35"/>
      <c r="L328" s="35"/>
      <c r="M328" s="31"/>
      <c r="N328" s="32"/>
      <c r="O328" s="32"/>
      <c r="P328" s="32"/>
      <c r="Q328" s="32"/>
      <c r="R328" s="32"/>
      <c r="S328" s="32"/>
      <c r="T328" s="32"/>
      <c r="U328" s="29"/>
      <c r="V328" s="29"/>
      <c r="W328" s="24"/>
      <c r="X328" s="18"/>
      <c r="Y328" s="18"/>
      <c r="Z328" s="18"/>
      <c r="AA328" s="18"/>
      <c r="AB328" s="18"/>
      <c r="AC328" s="18"/>
      <c r="AD328" s="18"/>
      <c r="AE328" s="19"/>
      <c r="AF328" s="20"/>
      <c r="AG328" s="21"/>
      <c r="AH328" s="21"/>
      <c r="AI328" s="19"/>
      <c r="AJ328" s="29"/>
      <c r="AK328" s="29"/>
      <c r="AL328" s="29"/>
    </row>
    <row r="329" spans="2:38" s="28" customFormat="1" x14ac:dyDescent="0.3">
      <c r="B329" s="24"/>
      <c r="C329" s="37"/>
      <c r="D329" s="37"/>
      <c r="E329" s="37"/>
      <c r="F329" s="35"/>
      <c r="G329" s="35"/>
      <c r="H329" s="35"/>
      <c r="I329" s="35"/>
      <c r="J329" s="35"/>
      <c r="K329" s="35"/>
      <c r="L329" s="35"/>
      <c r="M329" s="31"/>
      <c r="N329" s="32"/>
      <c r="O329" s="32"/>
      <c r="P329" s="32"/>
      <c r="Q329" s="32"/>
      <c r="R329" s="32"/>
      <c r="S329" s="32"/>
      <c r="T329" s="32"/>
      <c r="U329" s="29"/>
      <c r="V329" s="29"/>
      <c r="W329" s="24"/>
      <c r="X329" s="18"/>
      <c r="Y329" s="18"/>
      <c r="Z329" s="18"/>
      <c r="AA329" s="18"/>
      <c r="AB329" s="18"/>
      <c r="AC329" s="18"/>
      <c r="AD329" s="18"/>
      <c r="AE329" s="19"/>
      <c r="AF329" s="20"/>
      <c r="AG329" s="21"/>
      <c r="AH329" s="21"/>
      <c r="AI329" s="19"/>
      <c r="AJ329" s="29"/>
      <c r="AK329" s="29"/>
      <c r="AL329" s="29"/>
    </row>
    <row r="330" spans="2:38" s="28" customFormat="1" x14ac:dyDescent="0.3">
      <c r="B330" s="24"/>
      <c r="C330" s="37"/>
      <c r="D330" s="37"/>
      <c r="E330" s="37"/>
      <c r="F330" s="35"/>
      <c r="G330" s="35"/>
      <c r="H330" s="35"/>
      <c r="I330" s="35"/>
      <c r="J330" s="35"/>
      <c r="K330" s="35"/>
      <c r="L330" s="35"/>
      <c r="M330" s="31"/>
      <c r="N330" s="32"/>
      <c r="O330" s="32"/>
      <c r="P330" s="32"/>
      <c r="Q330" s="32"/>
      <c r="R330" s="32"/>
      <c r="S330" s="32"/>
      <c r="T330" s="32"/>
      <c r="U330" s="29"/>
      <c r="V330" s="29"/>
      <c r="W330" s="24"/>
      <c r="X330" s="18"/>
      <c r="Y330" s="18"/>
      <c r="Z330" s="18"/>
      <c r="AA330" s="18"/>
      <c r="AB330" s="18"/>
      <c r="AC330" s="18"/>
      <c r="AD330" s="18"/>
      <c r="AE330" s="19"/>
      <c r="AF330" s="20"/>
      <c r="AG330" s="21"/>
      <c r="AH330" s="21"/>
      <c r="AI330" s="19"/>
      <c r="AJ330" s="29"/>
      <c r="AK330" s="29"/>
      <c r="AL330" s="29"/>
    </row>
    <row r="331" spans="2:38" s="28" customFormat="1" x14ac:dyDescent="0.3">
      <c r="B331" s="24"/>
      <c r="C331" s="37"/>
      <c r="D331" s="37"/>
      <c r="E331" s="37"/>
      <c r="F331" s="35"/>
      <c r="G331" s="35"/>
      <c r="H331" s="35"/>
      <c r="I331" s="35"/>
      <c r="J331" s="35"/>
      <c r="K331" s="35"/>
      <c r="L331" s="35"/>
      <c r="M331" s="31"/>
      <c r="N331" s="32"/>
      <c r="O331" s="32"/>
      <c r="P331" s="32"/>
      <c r="Q331" s="32"/>
      <c r="R331" s="32"/>
      <c r="S331" s="32"/>
      <c r="T331" s="32"/>
      <c r="U331" s="29"/>
      <c r="V331" s="29"/>
      <c r="W331" s="24"/>
      <c r="X331" s="18"/>
      <c r="Y331" s="18"/>
      <c r="Z331" s="18"/>
      <c r="AA331" s="18"/>
      <c r="AB331" s="18"/>
      <c r="AC331" s="18"/>
      <c r="AD331" s="18"/>
      <c r="AE331" s="19"/>
      <c r="AF331" s="20"/>
      <c r="AG331" s="21"/>
      <c r="AH331" s="21"/>
      <c r="AI331" s="19"/>
      <c r="AJ331" s="29"/>
      <c r="AK331" s="29"/>
      <c r="AL331" s="29"/>
    </row>
    <row r="332" spans="2:38" s="28" customFormat="1" x14ac:dyDescent="0.3">
      <c r="B332" s="24"/>
      <c r="C332" s="37"/>
      <c r="D332" s="37"/>
      <c r="E332" s="37"/>
      <c r="F332" s="35"/>
      <c r="G332" s="35"/>
      <c r="H332" s="35"/>
      <c r="I332" s="35"/>
      <c r="J332" s="35"/>
      <c r="K332" s="35"/>
      <c r="L332" s="35"/>
      <c r="M332" s="31"/>
      <c r="N332" s="32"/>
      <c r="O332" s="32"/>
      <c r="P332" s="32"/>
      <c r="Q332" s="32"/>
      <c r="R332" s="32"/>
      <c r="S332" s="32"/>
      <c r="T332" s="32"/>
      <c r="U332" s="29"/>
      <c r="V332" s="29"/>
      <c r="W332" s="24"/>
      <c r="X332" s="18"/>
      <c r="Y332" s="18"/>
      <c r="Z332" s="18"/>
      <c r="AA332" s="18"/>
      <c r="AB332" s="18"/>
      <c r="AC332" s="18"/>
      <c r="AD332" s="18"/>
      <c r="AE332" s="19"/>
      <c r="AF332" s="20"/>
      <c r="AG332" s="21"/>
      <c r="AH332" s="21"/>
      <c r="AI332" s="19"/>
      <c r="AJ332" s="29"/>
      <c r="AK332" s="29"/>
      <c r="AL332" s="29"/>
    </row>
    <row r="333" spans="2:38" s="28" customFormat="1" x14ac:dyDescent="0.3">
      <c r="B333" s="24"/>
      <c r="C333" s="37"/>
      <c r="D333" s="37"/>
      <c r="E333" s="37"/>
      <c r="F333" s="35"/>
      <c r="G333" s="35"/>
      <c r="H333" s="35"/>
      <c r="I333" s="35"/>
      <c r="J333" s="35"/>
      <c r="K333" s="35"/>
      <c r="L333" s="35"/>
      <c r="M333" s="31"/>
      <c r="N333" s="32"/>
      <c r="O333" s="32"/>
      <c r="P333" s="32"/>
      <c r="Q333" s="32"/>
      <c r="R333" s="32"/>
      <c r="S333" s="32"/>
      <c r="T333" s="32"/>
      <c r="U333" s="29"/>
      <c r="V333" s="29"/>
      <c r="W333" s="24"/>
      <c r="X333" s="18"/>
      <c r="Y333" s="18"/>
      <c r="Z333" s="18"/>
      <c r="AA333" s="18"/>
      <c r="AB333" s="18"/>
      <c r="AC333" s="18"/>
      <c r="AD333" s="18"/>
      <c r="AE333" s="19"/>
      <c r="AF333" s="20"/>
      <c r="AG333" s="21"/>
      <c r="AH333" s="21"/>
      <c r="AI333" s="19"/>
      <c r="AJ333" s="29"/>
      <c r="AK333" s="29"/>
      <c r="AL333" s="29"/>
    </row>
    <row r="334" spans="2:38" s="28" customFormat="1" x14ac:dyDescent="0.3">
      <c r="B334" s="24"/>
      <c r="C334" s="37"/>
      <c r="D334" s="37"/>
      <c r="E334" s="37"/>
      <c r="F334" s="35"/>
      <c r="G334" s="35"/>
      <c r="H334" s="35"/>
      <c r="I334" s="35"/>
      <c r="J334" s="35"/>
      <c r="K334" s="35"/>
      <c r="L334" s="35"/>
      <c r="M334" s="31"/>
      <c r="N334" s="32"/>
      <c r="O334" s="32"/>
      <c r="P334" s="32"/>
      <c r="Q334" s="32"/>
      <c r="R334" s="32"/>
      <c r="S334" s="32"/>
      <c r="T334" s="32"/>
      <c r="U334" s="29"/>
      <c r="V334" s="29"/>
      <c r="W334" s="24"/>
      <c r="X334" s="18"/>
      <c r="Y334" s="18"/>
      <c r="Z334" s="18"/>
      <c r="AA334" s="18"/>
      <c r="AB334" s="18"/>
      <c r="AC334" s="18"/>
      <c r="AD334" s="18"/>
      <c r="AE334" s="19"/>
      <c r="AF334" s="20"/>
      <c r="AG334" s="21"/>
      <c r="AH334" s="21"/>
      <c r="AI334" s="19"/>
      <c r="AJ334" s="29"/>
      <c r="AK334" s="29"/>
      <c r="AL334" s="29"/>
    </row>
    <row r="335" spans="2:38" s="28" customFormat="1" x14ac:dyDescent="0.3">
      <c r="B335" s="24"/>
      <c r="C335" s="37"/>
      <c r="D335" s="37"/>
      <c r="E335" s="37"/>
      <c r="F335" s="35"/>
      <c r="G335" s="35"/>
      <c r="H335" s="35"/>
      <c r="I335" s="35"/>
      <c r="J335" s="35"/>
      <c r="K335" s="35"/>
      <c r="L335" s="35"/>
      <c r="M335" s="31"/>
      <c r="N335" s="32"/>
      <c r="O335" s="32"/>
      <c r="P335" s="32"/>
      <c r="Q335" s="32"/>
      <c r="R335" s="32"/>
      <c r="S335" s="32"/>
      <c r="T335" s="32"/>
      <c r="U335" s="29"/>
      <c r="V335" s="29"/>
      <c r="W335" s="24"/>
      <c r="X335" s="18"/>
      <c r="Y335" s="18"/>
      <c r="Z335" s="18"/>
      <c r="AA335" s="18"/>
      <c r="AB335" s="18"/>
      <c r="AC335" s="18"/>
      <c r="AD335" s="18"/>
      <c r="AE335" s="19"/>
      <c r="AF335" s="20"/>
      <c r="AG335" s="21"/>
      <c r="AH335" s="21"/>
      <c r="AI335" s="19"/>
      <c r="AJ335" s="29"/>
      <c r="AK335" s="29"/>
      <c r="AL335" s="29"/>
    </row>
    <row r="336" spans="2:38" s="28" customFormat="1" x14ac:dyDescent="0.3">
      <c r="B336" s="24"/>
      <c r="C336" s="37"/>
      <c r="D336" s="37"/>
      <c r="E336" s="37"/>
      <c r="F336" s="35"/>
      <c r="G336" s="35"/>
      <c r="H336" s="35"/>
      <c r="I336" s="35"/>
      <c r="J336" s="35"/>
      <c r="K336" s="35"/>
      <c r="L336" s="35"/>
      <c r="M336" s="31"/>
      <c r="N336" s="32"/>
      <c r="O336" s="32"/>
      <c r="P336" s="32"/>
      <c r="Q336" s="32"/>
      <c r="R336" s="32"/>
      <c r="S336" s="32"/>
      <c r="T336" s="32"/>
      <c r="U336" s="29"/>
      <c r="V336" s="29"/>
      <c r="W336" s="24"/>
      <c r="X336" s="18"/>
      <c r="Y336" s="18"/>
      <c r="Z336" s="18"/>
      <c r="AA336" s="18"/>
      <c r="AB336" s="18"/>
      <c r="AC336" s="18"/>
      <c r="AD336" s="18"/>
      <c r="AE336" s="19"/>
      <c r="AF336" s="20"/>
      <c r="AG336" s="21"/>
      <c r="AH336" s="21"/>
      <c r="AI336" s="19"/>
      <c r="AJ336" s="29"/>
      <c r="AK336" s="29"/>
      <c r="AL336" s="29"/>
    </row>
    <row r="337" spans="2:38" s="28" customFormat="1" x14ac:dyDescent="0.3">
      <c r="B337" s="24"/>
      <c r="C337" s="37"/>
      <c r="D337" s="37"/>
      <c r="E337" s="37"/>
      <c r="F337" s="35"/>
      <c r="G337" s="35"/>
      <c r="H337" s="35"/>
      <c r="I337" s="35"/>
      <c r="J337" s="35"/>
      <c r="K337" s="35"/>
      <c r="L337" s="35"/>
      <c r="M337" s="31"/>
      <c r="N337" s="32"/>
      <c r="O337" s="32"/>
      <c r="P337" s="32"/>
      <c r="Q337" s="32"/>
      <c r="R337" s="32"/>
      <c r="S337" s="32"/>
      <c r="T337" s="32"/>
      <c r="U337" s="29"/>
      <c r="V337" s="29"/>
      <c r="W337" s="24"/>
      <c r="X337" s="18"/>
      <c r="Y337" s="18"/>
      <c r="Z337" s="18"/>
      <c r="AA337" s="18"/>
      <c r="AB337" s="18"/>
      <c r="AC337" s="18"/>
      <c r="AD337" s="18"/>
      <c r="AE337" s="19"/>
      <c r="AF337" s="20"/>
      <c r="AG337" s="21"/>
      <c r="AH337" s="21"/>
      <c r="AI337" s="19"/>
      <c r="AJ337" s="29"/>
      <c r="AK337" s="29"/>
      <c r="AL337" s="29"/>
    </row>
    <row r="338" spans="2:38" s="28" customFormat="1" x14ac:dyDescent="0.3">
      <c r="B338" s="24"/>
      <c r="C338" s="37"/>
      <c r="D338" s="37"/>
      <c r="E338" s="37"/>
      <c r="F338" s="35"/>
      <c r="G338" s="35"/>
      <c r="H338" s="35"/>
      <c r="I338" s="35"/>
      <c r="J338" s="35"/>
      <c r="K338" s="35"/>
      <c r="L338" s="35"/>
      <c r="M338" s="31"/>
      <c r="N338" s="32"/>
      <c r="O338" s="32"/>
      <c r="P338" s="32"/>
      <c r="Q338" s="32"/>
      <c r="R338" s="32"/>
      <c r="S338" s="32"/>
      <c r="T338" s="32"/>
      <c r="U338" s="29"/>
      <c r="V338" s="29"/>
      <c r="W338" s="24"/>
      <c r="X338" s="18"/>
      <c r="Y338" s="18"/>
      <c r="Z338" s="18"/>
      <c r="AA338" s="18"/>
      <c r="AB338" s="18"/>
      <c r="AC338" s="18"/>
      <c r="AD338" s="18"/>
      <c r="AE338" s="19"/>
      <c r="AF338" s="20"/>
      <c r="AG338" s="21"/>
      <c r="AH338" s="21"/>
      <c r="AI338" s="19"/>
      <c r="AJ338" s="29"/>
      <c r="AK338" s="29"/>
      <c r="AL338" s="29"/>
    </row>
    <row r="339" spans="2:38" s="28" customFormat="1" x14ac:dyDescent="0.3">
      <c r="B339" s="24"/>
      <c r="C339" s="37"/>
      <c r="D339" s="37"/>
      <c r="E339" s="37"/>
      <c r="F339" s="35"/>
      <c r="G339" s="35"/>
      <c r="H339" s="35"/>
      <c r="I339" s="35"/>
      <c r="J339" s="35"/>
      <c r="K339" s="35"/>
      <c r="L339" s="35"/>
      <c r="M339" s="31"/>
      <c r="N339" s="32"/>
      <c r="O339" s="32"/>
      <c r="P339" s="32"/>
      <c r="Q339" s="32"/>
      <c r="R339" s="32"/>
      <c r="S339" s="32"/>
      <c r="T339" s="32"/>
      <c r="U339" s="29"/>
      <c r="V339" s="29"/>
      <c r="W339" s="24"/>
      <c r="X339" s="18"/>
      <c r="Y339" s="18"/>
      <c r="Z339" s="18"/>
      <c r="AA339" s="18"/>
      <c r="AB339" s="18"/>
      <c r="AC339" s="18"/>
      <c r="AD339" s="18"/>
      <c r="AE339" s="19"/>
      <c r="AF339" s="20"/>
      <c r="AG339" s="21"/>
      <c r="AH339" s="21"/>
      <c r="AI339" s="19"/>
      <c r="AJ339" s="29"/>
      <c r="AK339" s="29"/>
      <c r="AL339" s="29"/>
    </row>
    <row r="340" spans="2:38" s="28" customFormat="1" x14ac:dyDescent="0.3">
      <c r="B340" s="24"/>
      <c r="C340" s="37"/>
      <c r="D340" s="37"/>
      <c r="E340" s="37"/>
      <c r="F340" s="35"/>
      <c r="G340" s="35"/>
      <c r="H340" s="35"/>
      <c r="I340" s="35"/>
      <c r="J340" s="35"/>
      <c r="K340" s="35"/>
      <c r="L340" s="35"/>
      <c r="M340" s="31"/>
      <c r="N340" s="32"/>
      <c r="O340" s="32"/>
      <c r="P340" s="32"/>
      <c r="Q340" s="32"/>
      <c r="R340" s="32"/>
      <c r="S340" s="32"/>
      <c r="T340" s="32"/>
      <c r="U340" s="29"/>
      <c r="V340" s="29"/>
      <c r="W340" s="24"/>
      <c r="X340" s="18"/>
      <c r="Y340" s="18"/>
      <c r="Z340" s="18"/>
      <c r="AA340" s="18"/>
      <c r="AB340" s="18"/>
      <c r="AC340" s="18"/>
      <c r="AD340" s="18"/>
      <c r="AE340" s="19"/>
      <c r="AF340" s="20"/>
      <c r="AG340" s="21"/>
      <c r="AH340" s="21"/>
      <c r="AI340" s="19"/>
      <c r="AJ340" s="29"/>
      <c r="AK340" s="29"/>
      <c r="AL340" s="29"/>
    </row>
    <row r="341" spans="2:38" s="28" customFormat="1" x14ac:dyDescent="0.3">
      <c r="B341" s="24"/>
      <c r="C341" s="37"/>
      <c r="D341" s="37"/>
      <c r="E341" s="37"/>
      <c r="F341" s="35"/>
      <c r="G341" s="35"/>
      <c r="H341" s="35"/>
      <c r="I341" s="35"/>
      <c r="J341" s="35"/>
      <c r="K341" s="35"/>
      <c r="L341" s="35"/>
      <c r="M341" s="31"/>
      <c r="N341" s="32"/>
      <c r="O341" s="32"/>
      <c r="P341" s="32"/>
      <c r="Q341" s="32"/>
      <c r="R341" s="32"/>
      <c r="S341" s="32"/>
      <c r="T341" s="32"/>
      <c r="U341" s="29"/>
      <c r="V341" s="29"/>
      <c r="W341" s="24"/>
      <c r="X341" s="18"/>
      <c r="Y341" s="18"/>
      <c r="Z341" s="18"/>
      <c r="AA341" s="18"/>
      <c r="AB341" s="18"/>
      <c r="AC341" s="18"/>
      <c r="AD341" s="18"/>
      <c r="AE341" s="19"/>
      <c r="AF341" s="20"/>
      <c r="AG341" s="21"/>
      <c r="AH341" s="21"/>
      <c r="AI341" s="19"/>
      <c r="AJ341" s="29"/>
      <c r="AK341" s="29"/>
      <c r="AL341" s="29"/>
    </row>
    <row r="342" spans="2:38" s="28" customFormat="1" x14ac:dyDescent="0.3">
      <c r="B342" s="24"/>
      <c r="C342" s="37"/>
      <c r="D342" s="37"/>
      <c r="E342" s="37"/>
      <c r="F342" s="35"/>
      <c r="G342" s="35"/>
      <c r="H342" s="35"/>
      <c r="I342" s="35"/>
      <c r="J342" s="35"/>
      <c r="K342" s="35"/>
      <c r="L342" s="35"/>
      <c r="M342" s="31"/>
      <c r="N342" s="32"/>
      <c r="O342" s="32"/>
      <c r="P342" s="32"/>
      <c r="Q342" s="32"/>
      <c r="R342" s="32"/>
      <c r="S342" s="32"/>
      <c r="T342" s="32"/>
      <c r="U342" s="29"/>
      <c r="V342" s="29"/>
      <c r="W342" s="24"/>
      <c r="X342" s="18"/>
      <c r="Y342" s="18"/>
      <c r="Z342" s="18"/>
      <c r="AA342" s="18"/>
      <c r="AB342" s="18"/>
      <c r="AC342" s="18"/>
      <c r="AD342" s="18"/>
      <c r="AE342" s="19"/>
      <c r="AF342" s="20"/>
      <c r="AG342" s="21"/>
      <c r="AH342" s="21"/>
      <c r="AI342" s="19"/>
      <c r="AJ342" s="29"/>
      <c r="AK342" s="29"/>
      <c r="AL342" s="29"/>
    </row>
    <row r="343" spans="2:38" s="28" customFormat="1" x14ac:dyDescent="0.3">
      <c r="B343" s="24"/>
      <c r="C343" s="37"/>
      <c r="D343" s="37"/>
      <c r="E343" s="37"/>
      <c r="F343" s="35"/>
      <c r="G343" s="35"/>
      <c r="H343" s="35"/>
      <c r="I343" s="35"/>
      <c r="J343" s="35"/>
      <c r="K343" s="35"/>
      <c r="L343" s="35"/>
      <c r="M343" s="31"/>
      <c r="N343" s="32"/>
      <c r="O343" s="32"/>
      <c r="P343" s="32"/>
      <c r="Q343" s="32"/>
      <c r="R343" s="32"/>
      <c r="S343" s="32"/>
      <c r="T343" s="32"/>
      <c r="U343" s="29"/>
      <c r="V343" s="29"/>
      <c r="W343" s="24"/>
      <c r="X343" s="18"/>
      <c r="Y343" s="18"/>
      <c r="Z343" s="18"/>
      <c r="AA343" s="18"/>
      <c r="AB343" s="18"/>
      <c r="AC343" s="18"/>
      <c r="AD343" s="18"/>
      <c r="AE343" s="19"/>
      <c r="AF343" s="20"/>
      <c r="AG343" s="21"/>
      <c r="AH343" s="21"/>
      <c r="AI343" s="19"/>
      <c r="AJ343" s="29"/>
      <c r="AK343" s="29"/>
      <c r="AL343" s="29"/>
    </row>
    <row r="344" spans="2:38" s="28" customFormat="1" x14ac:dyDescent="0.3">
      <c r="B344" s="24"/>
      <c r="C344" s="37"/>
      <c r="D344" s="37"/>
      <c r="E344" s="37"/>
      <c r="F344" s="35"/>
      <c r="G344" s="35"/>
      <c r="H344" s="35"/>
      <c r="I344" s="35"/>
      <c r="J344" s="35"/>
      <c r="K344" s="35"/>
      <c r="L344" s="35"/>
      <c r="M344" s="31"/>
      <c r="N344" s="32"/>
      <c r="O344" s="32"/>
      <c r="P344" s="32"/>
      <c r="Q344" s="32"/>
      <c r="R344" s="32"/>
      <c r="S344" s="32"/>
      <c r="T344" s="32"/>
      <c r="U344" s="29"/>
      <c r="V344" s="29"/>
      <c r="W344" s="24"/>
      <c r="X344" s="18"/>
      <c r="Y344" s="18"/>
      <c r="Z344" s="18"/>
      <c r="AA344" s="18"/>
      <c r="AB344" s="18"/>
      <c r="AC344" s="18"/>
      <c r="AD344" s="18"/>
      <c r="AE344" s="19"/>
      <c r="AF344" s="20"/>
      <c r="AG344" s="21"/>
      <c r="AH344" s="21"/>
      <c r="AI344" s="19"/>
      <c r="AJ344" s="29"/>
      <c r="AK344" s="29"/>
      <c r="AL344" s="29"/>
    </row>
    <row r="345" spans="2:38" s="28" customFormat="1" x14ac:dyDescent="0.3">
      <c r="B345" s="24"/>
      <c r="C345" s="37"/>
      <c r="D345" s="37"/>
      <c r="E345" s="37"/>
      <c r="F345" s="35"/>
      <c r="G345" s="35"/>
      <c r="H345" s="35"/>
      <c r="I345" s="35"/>
      <c r="J345" s="35"/>
      <c r="K345" s="35"/>
      <c r="L345" s="35"/>
      <c r="M345" s="31"/>
      <c r="N345" s="32"/>
      <c r="O345" s="32"/>
      <c r="P345" s="32"/>
      <c r="Q345" s="32"/>
      <c r="R345" s="32"/>
      <c r="S345" s="32"/>
      <c r="T345" s="32"/>
      <c r="U345" s="29"/>
      <c r="V345" s="29"/>
      <c r="W345" s="24"/>
      <c r="X345" s="18"/>
      <c r="Y345" s="18"/>
      <c r="Z345" s="18"/>
      <c r="AA345" s="18"/>
      <c r="AB345" s="18"/>
      <c r="AC345" s="18"/>
      <c r="AD345" s="18"/>
      <c r="AE345" s="19"/>
      <c r="AF345" s="20"/>
      <c r="AG345" s="21"/>
      <c r="AH345" s="21"/>
      <c r="AI345" s="19"/>
      <c r="AJ345" s="29"/>
      <c r="AK345" s="29"/>
      <c r="AL345" s="29"/>
    </row>
    <row r="346" spans="2:38" s="28" customFormat="1" x14ac:dyDescent="0.3">
      <c r="B346" s="24"/>
      <c r="C346" s="37"/>
      <c r="D346" s="37"/>
      <c r="E346" s="37"/>
      <c r="F346" s="35"/>
      <c r="G346" s="35"/>
      <c r="H346" s="35"/>
      <c r="I346" s="35"/>
      <c r="J346" s="35"/>
      <c r="K346" s="35"/>
      <c r="L346" s="35"/>
      <c r="M346" s="31"/>
      <c r="N346" s="32"/>
      <c r="O346" s="32"/>
      <c r="P346" s="32"/>
      <c r="Q346" s="32"/>
      <c r="R346" s="32"/>
      <c r="S346" s="32"/>
      <c r="T346" s="32"/>
      <c r="U346" s="29"/>
      <c r="V346" s="29"/>
      <c r="W346" s="24"/>
      <c r="X346" s="18"/>
      <c r="Y346" s="18"/>
      <c r="Z346" s="18"/>
      <c r="AA346" s="18"/>
      <c r="AB346" s="18"/>
      <c r="AC346" s="18"/>
      <c r="AD346" s="18"/>
      <c r="AE346" s="19"/>
      <c r="AF346" s="20"/>
      <c r="AG346" s="21"/>
      <c r="AH346" s="21"/>
      <c r="AI346" s="19"/>
      <c r="AJ346" s="29"/>
      <c r="AK346" s="29"/>
      <c r="AL346" s="29"/>
    </row>
    <row r="347" spans="2:38" s="28" customFormat="1" x14ac:dyDescent="0.3">
      <c r="B347" s="24"/>
      <c r="C347" s="37"/>
      <c r="D347" s="37"/>
      <c r="E347" s="37"/>
      <c r="F347" s="35"/>
      <c r="G347" s="35"/>
      <c r="H347" s="35"/>
      <c r="I347" s="35"/>
      <c r="J347" s="35"/>
      <c r="K347" s="35"/>
      <c r="L347" s="35"/>
      <c r="M347" s="31"/>
      <c r="N347" s="32"/>
      <c r="O347" s="32"/>
      <c r="P347" s="32"/>
      <c r="Q347" s="32"/>
      <c r="R347" s="32"/>
      <c r="S347" s="32"/>
      <c r="T347" s="32"/>
      <c r="U347" s="29"/>
      <c r="V347" s="29"/>
      <c r="W347" s="24"/>
      <c r="X347" s="18"/>
      <c r="Y347" s="18"/>
      <c r="Z347" s="18"/>
      <c r="AA347" s="18"/>
      <c r="AB347" s="18"/>
      <c r="AC347" s="18"/>
      <c r="AD347" s="18"/>
      <c r="AE347" s="19"/>
      <c r="AF347" s="20"/>
      <c r="AG347" s="21"/>
      <c r="AH347" s="21"/>
      <c r="AI347" s="19"/>
      <c r="AJ347" s="29"/>
      <c r="AK347" s="29"/>
      <c r="AL347" s="29"/>
    </row>
    <row r="348" spans="2:38" s="28" customFormat="1" x14ac:dyDescent="0.3">
      <c r="B348" s="24"/>
      <c r="C348" s="37"/>
      <c r="D348" s="37"/>
      <c r="E348" s="37"/>
      <c r="F348" s="35"/>
      <c r="G348" s="35"/>
      <c r="H348" s="35"/>
      <c r="I348" s="35"/>
      <c r="J348" s="35"/>
      <c r="K348" s="35"/>
      <c r="L348" s="35"/>
      <c r="M348" s="31"/>
      <c r="N348" s="32"/>
      <c r="O348" s="32"/>
      <c r="P348" s="32"/>
      <c r="Q348" s="32"/>
      <c r="R348" s="32"/>
      <c r="S348" s="32"/>
      <c r="T348" s="32"/>
      <c r="U348" s="29"/>
      <c r="V348" s="29"/>
      <c r="W348" s="24"/>
      <c r="X348" s="18"/>
      <c r="Y348" s="18"/>
      <c r="Z348" s="18"/>
      <c r="AA348" s="18"/>
      <c r="AB348" s="18"/>
      <c r="AC348" s="18"/>
      <c r="AD348" s="18"/>
      <c r="AE348" s="19"/>
      <c r="AF348" s="20"/>
      <c r="AG348" s="21"/>
      <c r="AH348" s="21"/>
      <c r="AI348" s="19"/>
      <c r="AJ348" s="29"/>
      <c r="AK348" s="29"/>
      <c r="AL348" s="29"/>
    </row>
    <row r="349" spans="2:38" s="28" customFormat="1" x14ac:dyDescent="0.3">
      <c r="B349" s="24"/>
      <c r="C349" s="37"/>
      <c r="D349" s="37"/>
      <c r="E349" s="37"/>
      <c r="F349" s="35"/>
      <c r="G349" s="35"/>
      <c r="H349" s="35"/>
      <c r="I349" s="35"/>
      <c r="J349" s="35"/>
      <c r="K349" s="35"/>
      <c r="L349" s="35"/>
      <c r="M349" s="31"/>
      <c r="N349" s="32"/>
      <c r="O349" s="32"/>
      <c r="P349" s="32"/>
      <c r="Q349" s="32"/>
      <c r="R349" s="32"/>
      <c r="S349" s="32"/>
      <c r="T349" s="32"/>
      <c r="U349" s="29"/>
      <c r="V349" s="29"/>
      <c r="W349" s="24"/>
      <c r="X349" s="18"/>
      <c r="Y349" s="18"/>
      <c r="Z349" s="18"/>
      <c r="AA349" s="18"/>
      <c r="AB349" s="18"/>
      <c r="AC349" s="18"/>
      <c r="AD349" s="18"/>
      <c r="AE349" s="19"/>
      <c r="AF349" s="20"/>
      <c r="AG349" s="21"/>
      <c r="AH349" s="21"/>
      <c r="AI349" s="19"/>
      <c r="AJ349" s="29"/>
      <c r="AK349" s="29"/>
      <c r="AL349" s="29"/>
    </row>
    <row r="350" spans="2:38" s="28" customFormat="1" x14ac:dyDescent="0.3">
      <c r="B350" s="24"/>
      <c r="C350" s="37"/>
      <c r="D350" s="37"/>
      <c r="E350" s="37"/>
      <c r="F350" s="35"/>
      <c r="G350" s="35"/>
      <c r="H350" s="35"/>
      <c r="I350" s="35"/>
      <c r="J350" s="35"/>
      <c r="K350" s="35"/>
      <c r="L350" s="35"/>
      <c r="M350" s="31"/>
      <c r="N350" s="32"/>
      <c r="O350" s="32"/>
      <c r="P350" s="32"/>
      <c r="Q350" s="32"/>
      <c r="R350" s="32"/>
      <c r="S350" s="32"/>
      <c r="T350" s="32"/>
      <c r="U350" s="29"/>
      <c r="V350" s="29"/>
      <c r="W350" s="24"/>
      <c r="X350" s="18"/>
      <c r="Y350" s="18"/>
      <c r="Z350" s="18"/>
      <c r="AA350" s="18"/>
      <c r="AB350" s="18"/>
      <c r="AC350" s="18"/>
      <c r="AD350" s="18"/>
      <c r="AE350" s="19"/>
      <c r="AF350" s="20"/>
      <c r="AG350" s="21"/>
      <c r="AH350" s="21"/>
      <c r="AI350" s="19"/>
      <c r="AJ350" s="29"/>
      <c r="AK350" s="29"/>
      <c r="AL350" s="29"/>
    </row>
    <row r="351" spans="2:38" s="28" customFormat="1" x14ac:dyDescent="0.3">
      <c r="B351" s="24"/>
      <c r="C351" s="37"/>
      <c r="D351" s="37"/>
      <c r="E351" s="37"/>
      <c r="F351" s="35"/>
      <c r="G351" s="35"/>
      <c r="H351" s="35"/>
      <c r="I351" s="35"/>
      <c r="J351" s="35"/>
      <c r="K351" s="35"/>
      <c r="L351" s="35"/>
      <c r="M351" s="31"/>
      <c r="N351" s="32"/>
      <c r="O351" s="32"/>
      <c r="P351" s="32"/>
      <c r="Q351" s="32"/>
      <c r="R351" s="32"/>
      <c r="S351" s="32"/>
      <c r="T351" s="32"/>
      <c r="U351" s="29"/>
      <c r="V351" s="29"/>
      <c r="W351" s="24"/>
      <c r="X351" s="18"/>
      <c r="Y351" s="18"/>
      <c r="Z351" s="18"/>
      <c r="AA351" s="18"/>
      <c r="AB351" s="18"/>
      <c r="AC351" s="18"/>
      <c r="AD351" s="18"/>
      <c r="AE351" s="19"/>
      <c r="AF351" s="20"/>
      <c r="AG351" s="21"/>
      <c r="AH351" s="21"/>
      <c r="AI351" s="19"/>
      <c r="AJ351" s="29"/>
      <c r="AK351" s="29"/>
      <c r="AL351" s="29"/>
    </row>
    <row r="352" spans="2:38" s="28" customFormat="1" x14ac:dyDescent="0.3">
      <c r="B352" s="24"/>
      <c r="C352" s="37"/>
      <c r="D352" s="37"/>
      <c r="E352" s="37"/>
      <c r="F352" s="35"/>
      <c r="G352" s="35"/>
      <c r="H352" s="35"/>
      <c r="I352" s="35"/>
      <c r="J352" s="35"/>
      <c r="K352" s="35"/>
      <c r="L352" s="35"/>
      <c r="M352" s="31"/>
      <c r="N352" s="32"/>
      <c r="O352" s="32"/>
      <c r="P352" s="32"/>
      <c r="Q352" s="32"/>
      <c r="R352" s="32"/>
      <c r="S352" s="32"/>
      <c r="T352" s="32"/>
      <c r="U352" s="29"/>
      <c r="V352" s="29"/>
      <c r="W352" s="24"/>
      <c r="X352" s="18"/>
      <c r="Y352" s="18"/>
      <c r="Z352" s="18"/>
      <c r="AA352" s="18"/>
      <c r="AB352" s="18"/>
      <c r="AC352" s="18"/>
      <c r="AD352" s="18"/>
      <c r="AE352" s="19"/>
      <c r="AF352" s="20"/>
      <c r="AG352" s="21"/>
      <c r="AH352" s="21"/>
      <c r="AI352" s="19"/>
      <c r="AJ352" s="29"/>
      <c r="AK352" s="29"/>
      <c r="AL352" s="29"/>
    </row>
    <row r="353" spans="2:38" s="28" customFormat="1" x14ac:dyDescent="0.3">
      <c r="B353" s="24"/>
      <c r="C353" s="37"/>
      <c r="D353" s="37"/>
      <c r="E353" s="37"/>
      <c r="F353" s="35"/>
      <c r="G353" s="35"/>
      <c r="H353" s="35"/>
      <c r="I353" s="35"/>
      <c r="J353" s="35"/>
      <c r="K353" s="35"/>
      <c r="L353" s="35"/>
      <c r="M353" s="31"/>
      <c r="N353" s="32"/>
      <c r="O353" s="32"/>
      <c r="P353" s="32"/>
      <c r="Q353" s="32"/>
      <c r="R353" s="32"/>
      <c r="S353" s="32"/>
      <c r="T353" s="32"/>
      <c r="U353" s="29"/>
      <c r="V353" s="29"/>
      <c r="W353" s="24"/>
      <c r="X353" s="18"/>
      <c r="Y353" s="18"/>
      <c r="Z353" s="18"/>
      <c r="AA353" s="18"/>
      <c r="AB353" s="18"/>
      <c r="AC353" s="18"/>
      <c r="AD353" s="18"/>
      <c r="AE353" s="19"/>
      <c r="AF353" s="20"/>
      <c r="AG353" s="21"/>
      <c r="AH353" s="21"/>
      <c r="AI353" s="19"/>
      <c r="AJ353" s="29"/>
      <c r="AK353" s="29"/>
      <c r="AL353" s="29"/>
    </row>
    <row r="354" spans="2:38" s="28" customFormat="1" x14ac:dyDescent="0.3">
      <c r="B354" s="24"/>
      <c r="C354" s="37"/>
      <c r="D354" s="37"/>
      <c r="E354" s="37"/>
      <c r="F354" s="35"/>
      <c r="G354" s="35"/>
      <c r="H354" s="35"/>
      <c r="I354" s="35"/>
      <c r="J354" s="35"/>
      <c r="K354" s="35"/>
      <c r="L354" s="35"/>
      <c r="M354" s="31"/>
      <c r="N354" s="32"/>
      <c r="O354" s="32"/>
      <c r="P354" s="32"/>
      <c r="Q354" s="32"/>
      <c r="R354" s="32"/>
      <c r="S354" s="32"/>
      <c r="T354" s="32"/>
      <c r="U354" s="29"/>
      <c r="V354" s="29"/>
      <c r="W354" s="24"/>
      <c r="X354" s="18"/>
      <c r="Y354" s="18"/>
      <c r="Z354" s="18"/>
      <c r="AA354" s="18"/>
      <c r="AB354" s="18"/>
      <c r="AC354" s="18"/>
      <c r="AD354" s="18"/>
      <c r="AE354" s="19"/>
      <c r="AF354" s="20"/>
      <c r="AG354" s="21"/>
      <c r="AH354" s="21"/>
      <c r="AI354" s="19"/>
      <c r="AJ354" s="29"/>
      <c r="AK354" s="29"/>
      <c r="AL354" s="29"/>
    </row>
    <row r="355" spans="2:38" s="28" customFormat="1" x14ac:dyDescent="0.3">
      <c r="B355" s="24"/>
      <c r="C355" s="37"/>
      <c r="D355" s="37"/>
      <c r="E355" s="37"/>
      <c r="F355" s="35"/>
      <c r="G355" s="35"/>
      <c r="H355" s="35"/>
      <c r="I355" s="35"/>
      <c r="J355" s="35"/>
      <c r="K355" s="35"/>
      <c r="L355" s="35"/>
      <c r="M355" s="31"/>
      <c r="N355" s="32"/>
      <c r="O355" s="32"/>
      <c r="P355" s="32"/>
      <c r="Q355" s="32"/>
      <c r="R355" s="32"/>
      <c r="S355" s="32"/>
      <c r="T355" s="32"/>
      <c r="U355" s="29"/>
      <c r="V355" s="29"/>
      <c r="W355" s="24"/>
      <c r="X355" s="18"/>
      <c r="Y355" s="18"/>
      <c r="Z355" s="18"/>
      <c r="AA355" s="18"/>
      <c r="AB355" s="18"/>
      <c r="AC355" s="18"/>
      <c r="AD355" s="18"/>
      <c r="AE355" s="19"/>
      <c r="AF355" s="20"/>
      <c r="AG355" s="21"/>
      <c r="AH355" s="21"/>
      <c r="AI355" s="19"/>
      <c r="AJ355" s="29"/>
      <c r="AK355" s="29"/>
      <c r="AL355" s="29"/>
    </row>
    <row r="356" spans="2:38" s="28" customFormat="1" x14ac:dyDescent="0.3">
      <c r="B356" s="24"/>
      <c r="C356" s="37"/>
      <c r="D356" s="37"/>
      <c r="E356" s="37"/>
      <c r="F356" s="35"/>
      <c r="G356" s="35"/>
      <c r="H356" s="35"/>
      <c r="I356" s="35"/>
      <c r="J356" s="35"/>
      <c r="K356" s="35"/>
      <c r="L356" s="35"/>
      <c r="M356" s="31"/>
      <c r="N356" s="32"/>
      <c r="O356" s="32"/>
      <c r="P356" s="32"/>
      <c r="Q356" s="32"/>
      <c r="R356" s="32"/>
      <c r="S356" s="32"/>
      <c r="T356" s="32"/>
      <c r="U356" s="29"/>
      <c r="V356" s="29"/>
      <c r="W356" s="24"/>
      <c r="X356" s="18"/>
      <c r="Y356" s="18"/>
      <c r="Z356" s="18"/>
      <c r="AA356" s="18"/>
      <c r="AB356" s="18"/>
      <c r="AC356" s="18"/>
      <c r="AD356" s="18"/>
      <c r="AE356" s="19"/>
      <c r="AF356" s="20"/>
      <c r="AG356" s="21"/>
      <c r="AH356" s="21"/>
      <c r="AI356" s="19"/>
      <c r="AJ356" s="29"/>
      <c r="AK356" s="29"/>
      <c r="AL356" s="29"/>
    </row>
    <row r="357" spans="2:38" s="28" customFormat="1" x14ac:dyDescent="0.3">
      <c r="B357" s="24"/>
      <c r="C357" s="37"/>
      <c r="D357" s="37"/>
      <c r="E357" s="37"/>
      <c r="F357" s="35"/>
      <c r="G357" s="35"/>
      <c r="H357" s="35"/>
      <c r="I357" s="35"/>
      <c r="J357" s="35"/>
      <c r="K357" s="35"/>
      <c r="L357" s="35"/>
      <c r="M357" s="31"/>
      <c r="N357" s="32"/>
      <c r="O357" s="32"/>
      <c r="P357" s="32"/>
      <c r="Q357" s="32"/>
      <c r="R357" s="32"/>
      <c r="S357" s="32"/>
      <c r="T357" s="32"/>
      <c r="U357" s="29"/>
      <c r="V357" s="29"/>
      <c r="W357" s="24"/>
      <c r="X357" s="18"/>
      <c r="Y357" s="18"/>
      <c r="Z357" s="18"/>
      <c r="AA357" s="18"/>
      <c r="AB357" s="18"/>
      <c r="AC357" s="18"/>
      <c r="AD357" s="18"/>
      <c r="AE357" s="19"/>
      <c r="AF357" s="20"/>
      <c r="AG357" s="21"/>
      <c r="AH357" s="21"/>
      <c r="AI357" s="19"/>
      <c r="AJ357" s="29"/>
      <c r="AK357" s="29"/>
      <c r="AL357" s="29"/>
    </row>
    <row r="358" spans="2:38" s="28" customFormat="1" x14ac:dyDescent="0.3">
      <c r="B358" s="24"/>
      <c r="C358" s="37"/>
      <c r="D358" s="37"/>
      <c r="E358" s="37"/>
      <c r="F358" s="35"/>
      <c r="G358" s="35"/>
      <c r="H358" s="35"/>
      <c r="I358" s="35"/>
      <c r="J358" s="35"/>
      <c r="K358" s="35"/>
      <c r="L358" s="35"/>
      <c r="M358" s="31"/>
      <c r="N358" s="32"/>
      <c r="O358" s="32"/>
      <c r="P358" s="32"/>
      <c r="Q358" s="32"/>
      <c r="R358" s="32"/>
      <c r="S358" s="32"/>
      <c r="T358" s="32"/>
      <c r="U358" s="29"/>
      <c r="V358" s="29"/>
      <c r="W358" s="24"/>
      <c r="X358" s="18"/>
      <c r="Y358" s="18"/>
      <c r="Z358" s="18"/>
      <c r="AA358" s="18"/>
      <c r="AB358" s="18"/>
      <c r="AC358" s="18"/>
      <c r="AD358" s="18"/>
      <c r="AE358" s="19"/>
      <c r="AF358" s="20"/>
      <c r="AG358" s="21"/>
      <c r="AH358" s="21"/>
      <c r="AI358" s="19"/>
      <c r="AJ358" s="29"/>
      <c r="AK358" s="29"/>
      <c r="AL358" s="29"/>
    </row>
    <row r="359" spans="2:38" s="28" customFormat="1" x14ac:dyDescent="0.3">
      <c r="B359" s="24"/>
      <c r="C359" s="37"/>
      <c r="D359" s="37"/>
      <c r="E359" s="37"/>
      <c r="F359" s="35"/>
      <c r="G359" s="35"/>
      <c r="H359" s="35"/>
      <c r="I359" s="35"/>
      <c r="J359" s="35"/>
      <c r="K359" s="35"/>
      <c r="L359" s="35"/>
      <c r="M359" s="31"/>
      <c r="N359" s="32"/>
      <c r="O359" s="32"/>
      <c r="P359" s="32"/>
      <c r="Q359" s="32"/>
      <c r="R359" s="32"/>
      <c r="S359" s="32"/>
      <c r="T359" s="32"/>
      <c r="U359" s="29"/>
      <c r="V359" s="29"/>
      <c r="W359" s="24"/>
      <c r="X359" s="18"/>
      <c r="Y359" s="18"/>
      <c r="Z359" s="18"/>
      <c r="AA359" s="18"/>
      <c r="AB359" s="18"/>
      <c r="AC359" s="18"/>
      <c r="AD359" s="18"/>
      <c r="AE359" s="19"/>
      <c r="AF359" s="20"/>
      <c r="AG359" s="21"/>
      <c r="AH359" s="21"/>
      <c r="AI359" s="19"/>
      <c r="AJ359" s="29"/>
      <c r="AK359" s="29"/>
      <c r="AL359" s="29"/>
    </row>
    <row r="360" spans="2:38" s="28" customFormat="1" x14ac:dyDescent="0.3">
      <c r="B360" s="24"/>
      <c r="C360" s="37"/>
      <c r="D360" s="37"/>
      <c r="E360" s="37"/>
      <c r="F360" s="35"/>
      <c r="G360" s="35"/>
      <c r="H360" s="35"/>
      <c r="I360" s="35"/>
      <c r="J360" s="35"/>
      <c r="K360" s="35"/>
      <c r="L360" s="35"/>
      <c r="M360" s="31"/>
      <c r="N360" s="32"/>
      <c r="O360" s="32"/>
      <c r="P360" s="32"/>
      <c r="Q360" s="32"/>
      <c r="R360" s="32"/>
      <c r="S360" s="32"/>
      <c r="T360" s="32"/>
      <c r="U360" s="29"/>
      <c r="V360" s="29"/>
      <c r="W360" s="24"/>
      <c r="X360" s="18"/>
      <c r="Y360" s="18"/>
      <c r="Z360" s="18"/>
      <c r="AA360" s="18"/>
      <c r="AB360" s="18"/>
      <c r="AC360" s="18"/>
      <c r="AD360" s="18"/>
      <c r="AE360" s="19"/>
      <c r="AF360" s="20"/>
      <c r="AG360" s="21"/>
      <c r="AH360" s="21"/>
      <c r="AI360" s="19"/>
      <c r="AJ360" s="29"/>
      <c r="AK360" s="29"/>
      <c r="AL360" s="29"/>
    </row>
    <row r="361" spans="2:38" s="28" customFormat="1" x14ac:dyDescent="0.3">
      <c r="B361" s="24"/>
      <c r="C361" s="37"/>
      <c r="D361" s="37"/>
      <c r="E361" s="37"/>
      <c r="F361" s="35"/>
      <c r="G361" s="35"/>
      <c r="H361" s="35"/>
      <c r="I361" s="35"/>
      <c r="J361" s="35"/>
      <c r="K361" s="35"/>
      <c r="L361" s="35"/>
      <c r="M361" s="31"/>
      <c r="N361" s="32"/>
      <c r="O361" s="32"/>
      <c r="P361" s="32"/>
      <c r="Q361" s="32"/>
      <c r="R361" s="32"/>
      <c r="S361" s="32"/>
      <c r="T361" s="32"/>
      <c r="U361" s="29"/>
      <c r="V361" s="29"/>
      <c r="W361" s="24"/>
      <c r="X361" s="18"/>
      <c r="Y361" s="18"/>
      <c r="Z361" s="18"/>
      <c r="AA361" s="18"/>
      <c r="AB361" s="18"/>
      <c r="AC361" s="18"/>
      <c r="AD361" s="18"/>
      <c r="AE361" s="19"/>
      <c r="AF361" s="20"/>
      <c r="AG361" s="21"/>
      <c r="AH361" s="21"/>
      <c r="AI361" s="19"/>
      <c r="AJ361" s="29"/>
      <c r="AK361" s="29"/>
      <c r="AL361" s="29"/>
    </row>
    <row r="362" spans="2:38" s="28" customFormat="1" x14ac:dyDescent="0.3">
      <c r="B362" s="24"/>
      <c r="C362" s="37"/>
      <c r="D362" s="37"/>
      <c r="E362" s="37"/>
      <c r="F362" s="35"/>
      <c r="G362" s="35"/>
      <c r="H362" s="35"/>
      <c r="I362" s="35"/>
      <c r="J362" s="35"/>
      <c r="K362" s="35"/>
      <c r="L362" s="35"/>
      <c r="M362" s="31"/>
      <c r="N362" s="32"/>
      <c r="O362" s="32"/>
      <c r="P362" s="32"/>
      <c r="Q362" s="32"/>
      <c r="R362" s="32"/>
      <c r="S362" s="32"/>
      <c r="T362" s="32"/>
      <c r="U362" s="29"/>
      <c r="V362" s="29"/>
      <c r="W362" s="24"/>
      <c r="X362" s="18"/>
      <c r="Y362" s="18"/>
      <c r="Z362" s="18"/>
      <c r="AA362" s="18"/>
      <c r="AB362" s="18"/>
      <c r="AC362" s="18"/>
      <c r="AD362" s="18"/>
      <c r="AE362" s="19"/>
      <c r="AF362" s="20"/>
      <c r="AG362" s="21"/>
      <c r="AH362" s="21"/>
      <c r="AI362" s="19"/>
      <c r="AJ362" s="29"/>
      <c r="AK362" s="29"/>
      <c r="AL362" s="29"/>
    </row>
    <row r="363" spans="2:38" s="28" customFormat="1" x14ac:dyDescent="0.3">
      <c r="B363" s="24"/>
      <c r="C363" s="37"/>
      <c r="D363" s="37"/>
      <c r="E363" s="37"/>
      <c r="F363" s="35"/>
      <c r="G363" s="35"/>
      <c r="H363" s="35"/>
      <c r="I363" s="35"/>
      <c r="J363" s="35"/>
      <c r="K363" s="35"/>
      <c r="L363" s="35"/>
      <c r="M363" s="31"/>
      <c r="N363" s="32"/>
      <c r="O363" s="32"/>
      <c r="P363" s="32"/>
      <c r="Q363" s="32"/>
      <c r="R363" s="32"/>
      <c r="S363" s="32"/>
      <c r="T363" s="32"/>
      <c r="U363" s="29"/>
      <c r="V363" s="29"/>
      <c r="W363" s="24"/>
      <c r="X363" s="18"/>
      <c r="Y363" s="18"/>
      <c r="Z363" s="18"/>
      <c r="AA363" s="18"/>
      <c r="AB363" s="18"/>
      <c r="AC363" s="18"/>
      <c r="AD363" s="18"/>
      <c r="AE363" s="19"/>
      <c r="AF363" s="20"/>
      <c r="AG363" s="21"/>
      <c r="AH363" s="21"/>
      <c r="AI363" s="19"/>
      <c r="AJ363" s="29"/>
      <c r="AK363" s="29"/>
      <c r="AL363" s="29"/>
    </row>
    <row r="364" spans="2:38" s="28" customFormat="1" x14ac:dyDescent="0.3">
      <c r="B364" s="24"/>
      <c r="C364" s="37"/>
      <c r="D364" s="37"/>
      <c r="E364" s="37"/>
      <c r="F364" s="35"/>
      <c r="G364" s="35"/>
      <c r="H364" s="35"/>
      <c r="I364" s="35"/>
      <c r="J364" s="35"/>
      <c r="K364" s="35"/>
      <c r="L364" s="35"/>
      <c r="M364" s="31"/>
      <c r="N364" s="32"/>
      <c r="O364" s="32"/>
      <c r="P364" s="32"/>
      <c r="Q364" s="32"/>
      <c r="R364" s="32"/>
      <c r="S364" s="32"/>
      <c r="T364" s="32"/>
      <c r="U364" s="29"/>
      <c r="V364" s="29"/>
      <c r="W364" s="24"/>
      <c r="X364" s="18"/>
      <c r="Y364" s="18"/>
      <c r="Z364" s="18"/>
      <c r="AA364" s="18"/>
      <c r="AB364" s="18"/>
      <c r="AC364" s="18"/>
      <c r="AD364" s="18"/>
      <c r="AE364" s="19"/>
      <c r="AF364" s="20"/>
      <c r="AG364" s="21"/>
      <c r="AH364" s="21"/>
      <c r="AI364" s="19"/>
      <c r="AJ364" s="29"/>
      <c r="AK364" s="29"/>
      <c r="AL364" s="29"/>
    </row>
    <row r="365" spans="2:38" s="28" customFormat="1" x14ac:dyDescent="0.3">
      <c r="B365" s="24"/>
      <c r="C365" s="37"/>
      <c r="D365" s="37"/>
      <c r="E365" s="37"/>
      <c r="F365" s="35"/>
      <c r="G365" s="35"/>
      <c r="H365" s="35"/>
      <c r="I365" s="35"/>
      <c r="J365" s="35"/>
      <c r="K365" s="35"/>
      <c r="L365" s="35"/>
      <c r="M365" s="31"/>
      <c r="N365" s="32"/>
      <c r="O365" s="32"/>
      <c r="P365" s="32"/>
      <c r="Q365" s="32"/>
      <c r="R365" s="32"/>
      <c r="S365" s="32"/>
      <c r="T365" s="32"/>
      <c r="U365" s="29"/>
      <c r="V365" s="29"/>
      <c r="W365" s="24"/>
      <c r="X365" s="18"/>
      <c r="Y365" s="18"/>
      <c r="Z365" s="18"/>
      <c r="AA365" s="18"/>
      <c r="AB365" s="18"/>
      <c r="AC365" s="18"/>
      <c r="AD365" s="18"/>
      <c r="AE365" s="19"/>
      <c r="AF365" s="20"/>
      <c r="AG365" s="21"/>
      <c r="AH365" s="21"/>
      <c r="AI365" s="19"/>
      <c r="AJ365" s="29"/>
      <c r="AK365" s="29"/>
      <c r="AL365" s="29"/>
    </row>
    <row r="366" spans="2:38" s="28" customFormat="1" x14ac:dyDescent="0.3">
      <c r="B366" s="24"/>
      <c r="C366" s="37"/>
      <c r="D366" s="37"/>
      <c r="E366" s="37"/>
      <c r="F366" s="35"/>
      <c r="G366" s="35"/>
      <c r="H366" s="35"/>
      <c r="I366" s="35"/>
      <c r="J366" s="35"/>
      <c r="K366" s="35"/>
      <c r="L366" s="35"/>
      <c r="M366" s="31"/>
      <c r="N366" s="32"/>
      <c r="O366" s="32"/>
      <c r="P366" s="32"/>
      <c r="Q366" s="32"/>
      <c r="R366" s="32"/>
      <c r="S366" s="32"/>
      <c r="T366" s="32"/>
      <c r="U366" s="29"/>
      <c r="V366" s="29"/>
      <c r="W366" s="24"/>
      <c r="X366" s="18"/>
      <c r="Y366" s="18"/>
      <c r="Z366" s="18"/>
      <c r="AA366" s="18"/>
      <c r="AB366" s="18"/>
      <c r="AC366" s="18"/>
      <c r="AD366" s="18"/>
      <c r="AE366" s="19"/>
      <c r="AF366" s="20"/>
      <c r="AG366" s="21"/>
      <c r="AH366" s="21"/>
      <c r="AI366" s="19"/>
      <c r="AJ366" s="29"/>
      <c r="AK366" s="29"/>
      <c r="AL366" s="29"/>
    </row>
    <row r="367" spans="2:38" s="28" customFormat="1" x14ac:dyDescent="0.3">
      <c r="B367" s="24"/>
      <c r="C367" s="37"/>
      <c r="D367" s="37"/>
      <c r="E367" s="37"/>
      <c r="F367" s="35"/>
      <c r="G367" s="35"/>
      <c r="H367" s="35"/>
      <c r="I367" s="35"/>
      <c r="J367" s="35"/>
      <c r="K367" s="35"/>
      <c r="L367" s="35"/>
      <c r="M367" s="31"/>
      <c r="N367" s="32"/>
      <c r="O367" s="32"/>
      <c r="P367" s="32"/>
      <c r="Q367" s="32"/>
      <c r="R367" s="32"/>
      <c r="S367" s="32"/>
      <c r="T367" s="32"/>
      <c r="U367" s="29"/>
      <c r="V367" s="29"/>
      <c r="W367" s="24"/>
      <c r="X367" s="18"/>
      <c r="Y367" s="18"/>
      <c r="Z367" s="18"/>
      <c r="AA367" s="18"/>
      <c r="AB367" s="18"/>
      <c r="AC367" s="18"/>
      <c r="AD367" s="18"/>
      <c r="AE367" s="19"/>
      <c r="AF367" s="20"/>
      <c r="AG367" s="21"/>
      <c r="AH367" s="21"/>
      <c r="AI367" s="19"/>
      <c r="AJ367" s="29"/>
      <c r="AK367" s="29"/>
      <c r="AL367" s="29"/>
    </row>
    <row r="368" spans="2:38" s="28" customFormat="1" x14ac:dyDescent="0.3">
      <c r="B368" s="24"/>
      <c r="C368" s="37"/>
      <c r="D368" s="37"/>
      <c r="E368" s="37"/>
      <c r="F368" s="35"/>
      <c r="G368" s="35"/>
      <c r="H368" s="35"/>
      <c r="I368" s="35"/>
      <c r="J368" s="35"/>
      <c r="K368" s="35"/>
      <c r="L368" s="35"/>
      <c r="M368" s="31"/>
      <c r="N368" s="32"/>
      <c r="O368" s="32"/>
      <c r="P368" s="32"/>
      <c r="Q368" s="32"/>
      <c r="R368" s="32"/>
      <c r="S368" s="32"/>
      <c r="T368" s="32"/>
      <c r="U368" s="29"/>
      <c r="V368" s="29"/>
      <c r="W368" s="24"/>
      <c r="X368" s="18"/>
      <c r="Y368" s="18"/>
      <c r="Z368" s="18"/>
      <c r="AA368" s="18"/>
      <c r="AB368" s="18"/>
      <c r="AC368" s="18"/>
      <c r="AD368" s="18"/>
      <c r="AE368" s="19"/>
      <c r="AF368" s="20"/>
      <c r="AG368" s="21"/>
      <c r="AH368" s="21"/>
      <c r="AI368" s="19"/>
      <c r="AJ368" s="29"/>
      <c r="AK368" s="29"/>
      <c r="AL368" s="29"/>
    </row>
    <row r="369" spans="2:38" s="28" customFormat="1" x14ac:dyDescent="0.3">
      <c r="B369" s="24"/>
      <c r="C369" s="37"/>
      <c r="D369" s="37"/>
      <c r="E369" s="37"/>
      <c r="F369" s="35"/>
      <c r="G369" s="35"/>
      <c r="H369" s="35"/>
      <c r="I369" s="35"/>
      <c r="J369" s="35"/>
      <c r="K369" s="35"/>
      <c r="L369" s="35"/>
      <c r="M369" s="31"/>
      <c r="N369" s="32"/>
      <c r="O369" s="32"/>
      <c r="P369" s="32"/>
      <c r="Q369" s="32"/>
      <c r="R369" s="32"/>
      <c r="S369" s="32"/>
      <c r="T369" s="32"/>
      <c r="U369" s="29"/>
      <c r="V369" s="29"/>
      <c r="W369" s="24"/>
      <c r="X369" s="18"/>
      <c r="Y369" s="18"/>
      <c r="Z369" s="18"/>
      <c r="AA369" s="18"/>
      <c r="AB369" s="18"/>
      <c r="AC369" s="18"/>
      <c r="AD369" s="18"/>
      <c r="AE369" s="19"/>
      <c r="AF369" s="20"/>
      <c r="AG369" s="21"/>
      <c r="AH369" s="21"/>
      <c r="AI369" s="19"/>
      <c r="AJ369" s="29"/>
      <c r="AK369" s="29"/>
      <c r="AL369" s="29"/>
    </row>
    <row r="370" spans="2:38" s="28" customFormat="1" x14ac:dyDescent="0.3">
      <c r="B370" s="24"/>
      <c r="C370" s="37"/>
      <c r="D370" s="37"/>
      <c r="E370" s="37"/>
      <c r="F370" s="35"/>
      <c r="G370" s="35"/>
      <c r="H370" s="35"/>
      <c r="I370" s="35"/>
      <c r="J370" s="35"/>
      <c r="K370" s="35"/>
      <c r="L370" s="35"/>
      <c r="M370" s="31"/>
      <c r="N370" s="32"/>
      <c r="O370" s="32"/>
      <c r="P370" s="32"/>
      <c r="Q370" s="32"/>
      <c r="R370" s="32"/>
      <c r="S370" s="32"/>
      <c r="T370" s="32"/>
      <c r="U370" s="29"/>
      <c r="V370" s="29"/>
      <c r="W370" s="24"/>
      <c r="X370" s="18"/>
      <c r="Y370" s="18"/>
      <c r="Z370" s="18"/>
      <c r="AA370" s="18"/>
      <c r="AB370" s="18"/>
      <c r="AC370" s="18"/>
      <c r="AD370" s="18"/>
      <c r="AE370" s="19"/>
      <c r="AF370" s="20"/>
      <c r="AG370" s="21"/>
      <c r="AH370" s="21"/>
      <c r="AI370" s="19"/>
      <c r="AJ370" s="29"/>
      <c r="AK370" s="29"/>
      <c r="AL370" s="29"/>
    </row>
    <row r="371" spans="2:38" s="28" customFormat="1" x14ac:dyDescent="0.3">
      <c r="B371" s="24"/>
      <c r="C371" s="37"/>
      <c r="D371" s="37"/>
      <c r="E371" s="37"/>
      <c r="F371" s="35"/>
      <c r="G371" s="35"/>
      <c r="H371" s="35"/>
      <c r="I371" s="35"/>
      <c r="J371" s="35"/>
      <c r="K371" s="35"/>
      <c r="L371" s="35"/>
      <c r="M371" s="31"/>
      <c r="N371" s="32"/>
      <c r="O371" s="32"/>
      <c r="P371" s="32"/>
      <c r="Q371" s="32"/>
      <c r="R371" s="32"/>
      <c r="S371" s="32"/>
      <c r="T371" s="32"/>
      <c r="U371" s="29"/>
      <c r="V371" s="29"/>
      <c r="W371" s="24"/>
      <c r="X371" s="18"/>
      <c r="Y371" s="18"/>
      <c r="Z371" s="18"/>
      <c r="AA371" s="18"/>
      <c r="AB371" s="18"/>
      <c r="AC371" s="18"/>
      <c r="AD371" s="18"/>
      <c r="AE371" s="19"/>
      <c r="AF371" s="20"/>
      <c r="AG371" s="21"/>
      <c r="AH371" s="21"/>
      <c r="AI371" s="19"/>
      <c r="AJ371" s="29"/>
      <c r="AK371" s="29"/>
      <c r="AL371" s="29"/>
    </row>
    <row r="372" spans="2:38" s="28" customFormat="1" x14ac:dyDescent="0.3">
      <c r="B372" s="24"/>
      <c r="C372" s="37"/>
      <c r="D372" s="37"/>
      <c r="E372" s="37"/>
      <c r="F372" s="35"/>
      <c r="G372" s="35"/>
      <c r="H372" s="35"/>
      <c r="I372" s="35"/>
      <c r="J372" s="35"/>
      <c r="K372" s="35"/>
      <c r="L372" s="35"/>
      <c r="M372" s="31"/>
      <c r="N372" s="32"/>
      <c r="O372" s="32"/>
      <c r="P372" s="32"/>
      <c r="Q372" s="32"/>
      <c r="R372" s="32"/>
      <c r="S372" s="32"/>
      <c r="T372" s="32"/>
      <c r="U372" s="29"/>
      <c r="V372" s="29"/>
      <c r="W372" s="24"/>
      <c r="X372" s="18"/>
      <c r="Y372" s="18"/>
      <c r="Z372" s="18"/>
      <c r="AA372" s="18"/>
      <c r="AB372" s="18"/>
      <c r="AC372" s="18"/>
      <c r="AD372" s="18"/>
      <c r="AE372" s="19"/>
      <c r="AF372" s="20"/>
      <c r="AG372" s="21"/>
      <c r="AH372" s="21"/>
      <c r="AI372" s="19"/>
      <c r="AJ372" s="29"/>
      <c r="AK372" s="29"/>
      <c r="AL372" s="29"/>
    </row>
    <row r="373" spans="2:38" s="28" customFormat="1" x14ac:dyDescent="0.3">
      <c r="B373" s="24"/>
      <c r="C373" s="37"/>
      <c r="D373" s="37"/>
      <c r="E373" s="37"/>
      <c r="F373" s="35"/>
      <c r="G373" s="35"/>
      <c r="H373" s="35"/>
      <c r="I373" s="35"/>
      <c r="J373" s="35"/>
      <c r="K373" s="35"/>
      <c r="L373" s="35"/>
      <c r="M373" s="31"/>
      <c r="N373" s="32"/>
      <c r="O373" s="32"/>
      <c r="P373" s="32"/>
      <c r="Q373" s="32"/>
      <c r="R373" s="32"/>
      <c r="S373" s="32"/>
      <c r="T373" s="32"/>
      <c r="U373" s="29"/>
      <c r="V373" s="29"/>
      <c r="W373" s="24"/>
      <c r="X373" s="18"/>
      <c r="Y373" s="18"/>
      <c r="Z373" s="18"/>
      <c r="AA373" s="18"/>
      <c r="AB373" s="18"/>
      <c r="AC373" s="18"/>
      <c r="AD373" s="18"/>
      <c r="AE373" s="19"/>
      <c r="AF373" s="20"/>
      <c r="AG373" s="21"/>
      <c r="AH373" s="21"/>
      <c r="AI373" s="19"/>
      <c r="AJ373" s="29"/>
      <c r="AK373" s="29"/>
      <c r="AL373" s="29"/>
    </row>
    <row r="374" spans="2:38" s="28" customFormat="1" x14ac:dyDescent="0.3">
      <c r="B374" s="24"/>
      <c r="C374" s="37"/>
      <c r="D374" s="37"/>
      <c r="E374" s="37"/>
      <c r="F374" s="35"/>
      <c r="G374" s="35"/>
      <c r="H374" s="35"/>
      <c r="I374" s="35"/>
      <c r="J374" s="35"/>
      <c r="K374" s="35"/>
      <c r="L374" s="35"/>
      <c r="M374" s="31"/>
      <c r="N374" s="32"/>
      <c r="O374" s="32"/>
      <c r="P374" s="32"/>
      <c r="Q374" s="32"/>
      <c r="R374" s="32"/>
      <c r="S374" s="32"/>
      <c r="T374" s="32"/>
      <c r="U374" s="29"/>
      <c r="V374" s="29"/>
      <c r="W374" s="24"/>
      <c r="X374" s="18"/>
      <c r="Y374" s="18"/>
      <c r="Z374" s="18"/>
      <c r="AA374" s="18"/>
      <c r="AB374" s="18"/>
      <c r="AC374" s="18"/>
      <c r="AD374" s="18"/>
      <c r="AE374" s="19"/>
      <c r="AF374" s="20"/>
      <c r="AG374" s="21"/>
      <c r="AH374" s="21"/>
      <c r="AI374" s="19"/>
      <c r="AJ374" s="29"/>
      <c r="AK374" s="29"/>
      <c r="AL374" s="29"/>
    </row>
    <row r="375" spans="2:38" s="28" customFormat="1" x14ac:dyDescent="0.3">
      <c r="B375" s="24"/>
      <c r="C375" s="37"/>
      <c r="D375" s="37"/>
      <c r="E375" s="37"/>
      <c r="F375" s="35"/>
      <c r="G375" s="35"/>
      <c r="H375" s="35"/>
      <c r="I375" s="35"/>
      <c r="J375" s="35"/>
      <c r="K375" s="35"/>
      <c r="L375" s="35"/>
      <c r="M375" s="31"/>
      <c r="N375" s="32"/>
      <c r="O375" s="32"/>
      <c r="P375" s="32"/>
      <c r="Q375" s="32"/>
      <c r="R375" s="32"/>
      <c r="S375" s="32"/>
      <c r="T375" s="32"/>
      <c r="U375" s="29"/>
      <c r="V375" s="29"/>
      <c r="W375" s="24"/>
      <c r="X375" s="18"/>
      <c r="Y375" s="18"/>
      <c r="Z375" s="18"/>
      <c r="AA375" s="18"/>
      <c r="AB375" s="18"/>
      <c r="AC375" s="18"/>
      <c r="AD375" s="18"/>
      <c r="AE375" s="19"/>
      <c r="AF375" s="20"/>
      <c r="AG375" s="21"/>
      <c r="AH375" s="21"/>
      <c r="AI375" s="19"/>
      <c r="AJ375" s="29"/>
      <c r="AK375" s="29"/>
      <c r="AL375" s="29"/>
    </row>
    <row r="376" spans="2:38" s="28" customFormat="1" x14ac:dyDescent="0.3">
      <c r="B376" s="24"/>
      <c r="C376" s="37"/>
      <c r="D376" s="37"/>
      <c r="E376" s="37"/>
      <c r="F376" s="35"/>
      <c r="G376" s="35"/>
      <c r="H376" s="35"/>
      <c r="I376" s="35"/>
      <c r="J376" s="35"/>
      <c r="K376" s="35"/>
      <c r="L376" s="35"/>
      <c r="M376" s="31"/>
      <c r="N376" s="32"/>
      <c r="O376" s="32"/>
      <c r="P376" s="32"/>
      <c r="Q376" s="32"/>
      <c r="R376" s="32"/>
      <c r="S376" s="32"/>
      <c r="T376" s="32"/>
      <c r="U376" s="29"/>
      <c r="V376" s="29"/>
      <c r="W376" s="24"/>
      <c r="X376" s="18"/>
      <c r="Y376" s="18"/>
      <c r="Z376" s="18"/>
      <c r="AA376" s="18"/>
      <c r="AB376" s="18"/>
      <c r="AC376" s="18"/>
      <c r="AD376" s="18"/>
      <c r="AE376" s="19"/>
      <c r="AF376" s="20"/>
      <c r="AG376" s="21"/>
      <c r="AH376" s="21"/>
      <c r="AI376" s="19"/>
      <c r="AJ376" s="29"/>
      <c r="AK376" s="29"/>
      <c r="AL376" s="29"/>
    </row>
    <row r="377" spans="2:38" s="28" customFormat="1" x14ac:dyDescent="0.3">
      <c r="B377" s="24"/>
      <c r="C377" s="37"/>
      <c r="D377" s="37"/>
      <c r="E377" s="37"/>
      <c r="F377" s="35"/>
      <c r="G377" s="35"/>
      <c r="H377" s="35"/>
      <c r="I377" s="35"/>
      <c r="J377" s="35"/>
      <c r="K377" s="35"/>
      <c r="L377" s="35"/>
      <c r="M377" s="31"/>
      <c r="N377" s="32"/>
      <c r="O377" s="32"/>
      <c r="P377" s="32"/>
      <c r="Q377" s="32"/>
      <c r="R377" s="32"/>
      <c r="S377" s="32"/>
      <c r="T377" s="32"/>
      <c r="U377" s="29"/>
      <c r="V377" s="29"/>
      <c r="W377" s="24"/>
      <c r="X377" s="18"/>
      <c r="Y377" s="18"/>
      <c r="Z377" s="18"/>
      <c r="AA377" s="18"/>
      <c r="AB377" s="18"/>
      <c r="AC377" s="18"/>
      <c r="AD377" s="18"/>
      <c r="AE377" s="19"/>
      <c r="AF377" s="20"/>
      <c r="AG377" s="21"/>
      <c r="AH377" s="21"/>
      <c r="AI377" s="19"/>
      <c r="AJ377" s="29"/>
      <c r="AK377" s="29"/>
      <c r="AL377" s="29"/>
    </row>
    <row r="378" spans="2:38" s="28" customFormat="1" x14ac:dyDescent="0.3">
      <c r="B378" s="24"/>
      <c r="C378" s="37"/>
      <c r="D378" s="37"/>
      <c r="E378" s="37"/>
      <c r="F378" s="35"/>
      <c r="G378" s="35"/>
      <c r="H378" s="35"/>
      <c r="I378" s="35"/>
      <c r="J378" s="35"/>
      <c r="K378" s="35"/>
      <c r="L378" s="35"/>
      <c r="M378" s="31"/>
      <c r="N378" s="32"/>
      <c r="O378" s="32"/>
      <c r="P378" s="32"/>
      <c r="Q378" s="32"/>
      <c r="R378" s="32"/>
      <c r="S378" s="32"/>
      <c r="T378" s="32"/>
      <c r="U378" s="29"/>
      <c r="V378" s="29"/>
      <c r="W378" s="24"/>
      <c r="X378" s="18"/>
      <c r="Y378" s="18"/>
      <c r="Z378" s="18"/>
      <c r="AA378" s="18"/>
      <c r="AB378" s="18"/>
      <c r="AC378" s="18"/>
      <c r="AD378" s="18"/>
      <c r="AE378" s="19"/>
      <c r="AF378" s="20"/>
      <c r="AG378" s="21"/>
      <c r="AH378" s="21"/>
      <c r="AI378" s="19"/>
      <c r="AJ378" s="29"/>
      <c r="AK378" s="29"/>
      <c r="AL378" s="29"/>
    </row>
    <row r="379" spans="2:38" s="28" customFormat="1" x14ac:dyDescent="0.3">
      <c r="B379" s="24"/>
      <c r="C379" s="37"/>
      <c r="D379" s="37"/>
      <c r="E379" s="37"/>
      <c r="F379" s="35"/>
      <c r="G379" s="35"/>
      <c r="H379" s="35"/>
      <c r="I379" s="35"/>
      <c r="J379" s="35"/>
      <c r="K379" s="35"/>
      <c r="L379" s="35"/>
      <c r="M379" s="31"/>
      <c r="N379" s="32"/>
      <c r="O379" s="32"/>
      <c r="P379" s="32"/>
      <c r="Q379" s="32"/>
      <c r="R379" s="32"/>
      <c r="S379" s="32"/>
      <c r="T379" s="32"/>
      <c r="U379" s="29"/>
      <c r="V379" s="29"/>
      <c r="W379" s="24"/>
      <c r="X379" s="18"/>
      <c r="Y379" s="18"/>
      <c r="Z379" s="18"/>
      <c r="AA379" s="18"/>
      <c r="AB379" s="18"/>
      <c r="AC379" s="18"/>
      <c r="AD379" s="18"/>
      <c r="AE379" s="19"/>
      <c r="AF379" s="20"/>
      <c r="AG379" s="21"/>
      <c r="AH379" s="21"/>
      <c r="AI379" s="19"/>
      <c r="AJ379" s="29"/>
      <c r="AK379" s="29"/>
      <c r="AL379" s="29"/>
    </row>
    <row r="380" spans="2:38" s="28" customFormat="1" x14ac:dyDescent="0.3">
      <c r="B380" s="24"/>
      <c r="C380" s="37"/>
      <c r="D380" s="37"/>
      <c r="E380" s="37"/>
      <c r="F380" s="35"/>
      <c r="G380" s="35"/>
      <c r="H380" s="35"/>
      <c r="I380" s="35"/>
      <c r="J380" s="35"/>
      <c r="K380" s="35"/>
      <c r="L380" s="35"/>
      <c r="M380" s="31"/>
      <c r="N380" s="32"/>
      <c r="O380" s="32"/>
      <c r="P380" s="32"/>
      <c r="Q380" s="32"/>
      <c r="R380" s="32"/>
      <c r="S380" s="32"/>
      <c r="T380" s="32"/>
      <c r="U380" s="29"/>
      <c r="V380" s="29"/>
      <c r="W380" s="24"/>
      <c r="X380" s="18"/>
      <c r="Y380" s="18"/>
      <c r="Z380" s="18"/>
      <c r="AA380" s="18"/>
      <c r="AB380" s="18"/>
      <c r="AC380" s="18"/>
      <c r="AD380" s="18"/>
      <c r="AE380" s="19"/>
      <c r="AF380" s="20"/>
      <c r="AG380" s="21"/>
      <c r="AH380" s="21"/>
      <c r="AI380" s="19"/>
      <c r="AJ380" s="29"/>
      <c r="AK380" s="29"/>
      <c r="AL380" s="29"/>
    </row>
    <row r="381" spans="2:38" s="28" customFormat="1" x14ac:dyDescent="0.3">
      <c r="B381" s="24"/>
      <c r="C381" s="37"/>
      <c r="D381" s="37"/>
      <c r="E381" s="37"/>
      <c r="F381" s="35"/>
      <c r="G381" s="35"/>
      <c r="H381" s="35"/>
      <c r="I381" s="35"/>
      <c r="J381" s="35"/>
      <c r="K381" s="35"/>
      <c r="L381" s="35"/>
      <c r="M381" s="31"/>
      <c r="N381" s="32"/>
      <c r="O381" s="32"/>
      <c r="P381" s="32"/>
      <c r="Q381" s="32"/>
      <c r="R381" s="32"/>
      <c r="S381" s="32"/>
      <c r="T381" s="32"/>
      <c r="U381" s="29"/>
      <c r="V381" s="29"/>
      <c r="W381" s="24"/>
      <c r="X381" s="18"/>
      <c r="Y381" s="18"/>
      <c r="Z381" s="18"/>
      <c r="AA381" s="18"/>
      <c r="AB381" s="18"/>
      <c r="AC381" s="18"/>
      <c r="AD381" s="18"/>
      <c r="AE381" s="19"/>
      <c r="AF381" s="20"/>
      <c r="AG381" s="21"/>
      <c r="AH381" s="21"/>
      <c r="AI381" s="19"/>
      <c r="AJ381" s="29"/>
      <c r="AK381" s="29"/>
      <c r="AL381" s="29"/>
    </row>
    <row r="382" spans="2:38" s="28" customFormat="1" x14ac:dyDescent="0.3">
      <c r="B382" s="24"/>
      <c r="C382" s="37"/>
      <c r="D382" s="37"/>
      <c r="E382" s="37"/>
      <c r="F382" s="35"/>
      <c r="G382" s="35"/>
      <c r="H382" s="35"/>
      <c r="I382" s="35"/>
      <c r="J382" s="35"/>
      <c r="K382" s="35"/>
      <c r="L382" s="35"/>
      <c r="M382" s="31"/>
      <c r="N382" s="32"/>
      <c r="O382" s="32"/>
      <c r="P382" s="32"/>
      <c r="Q382" s="32"/>
      <c r="R382" s="32"/>
      <c r="S382" s="32"/>
      <c r="T382" s="32"/>
      <c r="U382" s="29"/>
      <c r="V382" s="29"/>
      <c r="W382" s="24"/>
      <c r="X382" s="18"/>
      <c r="Y382" s="18"/>
      <c r="Z382" s="18"/>
      <c r="AA382" s="18"/>
      <c r="AB382" s="18"/>
      <c r="AC382" s="18"/>
      <c r="AD382" s="18"/>
      <c r="AE382" s="19"/>
      <c r="AF382" s="20"/>
      <c r="AG382" s="21"/>
      <c r="AH382" s="21"/>
      <c r="AI382" s="19"/>
      <c r="AJ382" s="29"/>
      <c r="AK382" s="29"/>
      <c r="AL382" s="29"/>
    </row>
    <row r="383" spans="2:38" s="28" customFormat="1" x14ac:dyDescent="0.3">
      <c r="B383" s="24"/>
      <c r="C383" s="37"/>
      <c r="D383" s="37"/>
      <c r="E383" s="37"/>
      <c r="F383" s="35"/>
      <c r="G383" s="35"/>
      <c r="H383" s="35"/>
      <c r="I383" s="35"/>
      <c r="J383" s="35"/>
      <c r="K383" s="35"/>
      <c r="L383" s="35"/>
      <c r="M383" s="31"/>
      <c r="N383" s="32"/>
      <c r="O383" s="32"/>
      <c r="P383" s="32"/>
      <c r="Q383" s="32"/>
      <c r="R383" s="32"/>
      <c r="S383" s="32"/>
      <c r="T383" s="32"/>
      <c r="U383" s="29"/>
      <c r="V383" s="29"/>
      <c r="W383" s="24"/>
      <c r="X383" s="18"/>
      <c r="Y383" s="18"/>
      <c r="Z383" s="18"/>
      <c r="AA383" s="18"/>
      <c r="AB383" s="18"/>
      <c r="AC383" s="18"/>
      <c r="AD383" s="18"/>
      <c r="AE383" s="19"/>
      <c r="AF383" s="20"/>
      <c r="AG383" s="21"/>
      <c r="AH383" s="21"/>
      <c r="AI383" s="19"/>
      <c r="AJ383" s="29"/>
      <c r="AK383" s="29"/>
      <c r="AL383" s="29"/>
    </row>
    <row r="384" spans="2:38" s="28" customFormat="1" x14ac:dyDescent="0.3">
      <c r="B384" s="24"/>
      <c r="C384" s="37"/>
      <c r="D384" s="37"/>
      <c r="E384" s="37"/>
      <c r="F384" s="35"/>
      <c r="G384" s="35"/>
      <c r="H384" s="35"/>
      <c r="I384" s="35"/>
      <c r="J384" s="35"/>
      <c r="K384" s="35"/>
      <c r="L384" s="35"/>
      <c r="M384" s="31"/>
      <c r="N384" s="32"/>
      <c r="O384" s="32"/>
      <c r="P384" s="32"/>
      <c r="Q384" s="32"/>
      <c r="R384" s="32"/>
      <c r="S384" s="32"/>
      <c r="T384" s="32"/>
      <c r="U384" s="29"/>
      <c r="V384" s="29"/>
      <c r="W384" s="24"/>
      <c r="X384" s="18"/>
      <c r="Y384" s="18"/>
      <c r="Z384" s="18"/>
      <c r="AA384" s="18"/>
      <c r="AB384" s="18"/>
      <c r="AC384" s="18"/>
      <c r="AD384" s="18"/>
      <c r="AE384" s="19"/>
      <c r="AF384" s="20"/>
      <c r="AG384" s="21"/>
      <c r="AH384" s="21"/>
      <c r="AI384" s="19"/>
      <c r="AJ384" s="29"/>
      <c r="AK384" s="29"/>
      <c r="AL384" s="29"/>
    </row>
    <row r="385" spans="2:38" s="28" customFormat="1" x14ac:dyDescent="0.3">
      <c r="B385" s="24"/>
      <c r="C385" s="37"/>
      <c r="D385" s="37"/>
      <c r="E385" s="37"/>
      <c r="F385" s="35"/>
      <c r="G385" s="35"/>
      <c r="H385" s="35"/>
      <c r="I385" s="35"/>
      <c r="J385" s="35"/>
      <c r="K385" s="35"/>
      <c r="L385" s="35"/>
      <c r="M385" s="31"/>
      <c r="N385" s="32"/>
      <c r="O385" s="32"/>
      <c r="P385" s="32"/>
      <c r="Q385" s="32"/>
      <c r="R385" s="32"/>
      <c r="S385" s="32"/>
      <c r="T385" s="32"/>
      <c r="U385" s="29"/>
      <c r="V385" s="29"/>
      <c r="W385" s="24"/>
      <c r="X385" s="18"/>
      <c r="Y385" s="18"/>
      <c r="Z385" s="18"/>
      <c r="AA385" s="18"/>
      <c r="AB385" s="18"/>
      <c r="AC385" s="18"/>
      <c r="AD385" s="18"/>
      <c r="AE385" s="19"/>
      <c r="AF385" s="20"/>
      <c r="AG385" s="21"/>
      <c r="AH385" s="21"/>
      <c r="AI385" s="19"/>
      <c r="AJ385" s="29"/>
      <c r="AK385" s="29"/>
      <c r="AL385" s="29"/>
    </row>
    <row r="386" spans="2:38" s="28" customFormat="1" x14ac:dyDescent="0.3">
      <c r="B386" s="24"/>
      <c r="C386" s="37"/>
      <c r="D386" s="37"/>
      <c r="E386" s="37"/>
      <c r="F386" s="35"/>
      <c r="G386" s="35"/>
      <c r="H386" s="35"/>
      <c r="I386" s="35"/>
      <c r="J386" s="35"/>
      <c r="K386" s="35"/>
      <c r="L386" s="35"/>
      <c r="M386" s="31"/>
      <c r="N386" s="32"/>
      <c r="O386" s="32"/>
      <c r="P386" s="32"/>
      <c r="Q386" s="32"/>
      <c r="R386" s="32"/>
      <c r="S386" s="32"/>
      <c r="T386" s="32"/>
      <c r="U386" s="29"/>
      <c r="V386" s="29"/>
      <c r="W386" s="24"/>
      <c r="X386" s="18"/>
      <c r="Y386" s="18"/>
      <c r="Z386" s="18"/>
      <c r="AA386" s="18"/>
      <c r="AB386" s="18"/>
      <c r="AC386" s="18"/>
      <c r="AD386" s="18"/>
      <c r="AE386" s="19"/>
      <c r="AF386" s="20"/>
      <c r="AG386" s="21"/>
      <c r="AH386" s="21"/>
      <c r="AI386" s="19"/>
      <c r="AJ386" s="29"/>
      <c r="AK386" s="29"/>
      <c r="AL386" s="29"/>
    </row>
    <row r="387" spans="2:38" s="28" customFormat="1" x14ac:dyDescent="0.3">
      <c r="B387" s="24"/>
      <c r="C387" s="37"/>
      <c r="D387" s="37"/>
      <c r="E387" s="37"/>
      <c r="F387" s="35"/>
      <c r="G387" s="35"/>
      <c r="H387" s="35"/>
      <c r="I387" s="35"/>
      <c r="J387" s="35"/>
      <c r="K387" s="35"/>
      <c r="L387" s="35"/>
      <c r="M387" s="31"/>
      <c r="N387" s="32"/>
      <c r="O387" s="32"/>
      <c r="P387" s="32"/>
      <c r="Q387" s="32"/>
      <c r="R387" s="32"/>
      <c r="S387" s="32"/>
      <c r="T387" s="32"/>
      <c r="U387" s="29"/>
      <c r="V387" s="29"/>
      <c r="W387" s="24"/>
      <c r="X387" s="18"/>
      <c r="Y387" s="18"/>
      <c r="Z387" s="18"/>
      <c r="AA387" s="18"/>
      <c r="AB387" s="18"/>
      <c r="AC387" s="18"/>
      <c r="AD387" s="18"/>
      <c r="AE387" s="19"/>
      <c r="AF387" s="20"/>
      <c r="AG387" s="21"/>
      <c r="AH387" s="21"/>
      <c r="AI387" s="19"/>
      <c r="AJ387" s="29"/>
      <c r="AK387" s="29"/>
      <c r="AL387" s="29"/>
    </row>
    <row r="388" spans="2:38" s="28" customFormat="1" x14ac:dyDescent="0.3">
      <c r="B388" s="24"/>
      <c r="C388" s="37"/>
      <c r="D388" s="37"/>
      <c r="E388" s="37"/>
      <c r="F388" s="35"/>
      <c r="G388" s="35"/>
      <c r="H388" s="35"/>
      <c r="I388" s="35"/>
      <c r="J388" s="35"/>
      <c r="K388" s="35"/>
      <c r="L388" s="35"/>
      <c r="M388" s="31"/>
      <c r="N388" s="32"/>
      <c r="O388" s="32"/>
      <c r="P388" s="32"/>
      <c r="Q388" s="32"/>
      <c r="R388" s="32"/>
      <c r="S388" s="32"/>
      <c r="T388" s="32"/>
      <c r="U388" s="29"/>
      <c r="V388" s="29"/>
      <c r="W388" s="24"/>
      <c r="X388" s="18"/>
      <c r="Y388" s="18"/>
      <c r="Z388" s="18"/>
      <c r="AA388" s="18"/>
      <c r="AB388" s="18"/>
      <c r="AC388" s="18"/>
      <c r="AD388" s="18"/>
      <c r="AE388" s="19"/>
      <c r="AF388" s="20"/>
      <c r="AG388" s="21"/>
      <c r="AH388" s="21"/>
      <c r="AI388" s="19"/>
      <c r="AJ388" s="29"/>
      <c r="AK388" s="29"/>
      <c r="AL388" s="29"/>
    </row>
    <row r="389" spans="2:38" s="28" customFormat="1" x14ac:dyDescent="0.3">
      <c r="B389" s="24"/>
      <c r="C389" s="37"/>
      <c r="D389" s="37"/>
      <c r="E389" s="37"/>
      <c r="F389" s="35"/>
      <c r="G389" s="35"/>
      <c r="H389" s="35"/>
      <c r="I389" s="35"/>
      <c r="J389" s="35"/>
      <c r="K389" s="35"/>
      <c r="L389" s="35"/>
      <c r="M389" s="31"/>
      <c r="N389" s="32"/>
      <c r="O389" s="32"/>
      <c r="P389" s="32"/>
      <c r="Q389" s="32"/>
      <c r="R389" s="32"/>
      <c r="S389" s="32"/>
      <c r="T389" s="32"/>
      <c r="U389" s="29"/>
      <c r="V389" s="29"/>
      <c r="W389" s="24"/>
      <c r="X389" s="18"/>
      <c r="Y389" s="18"/>
      <c r="Z389" s="18"/>
      <c r="AA389" s="18"/>
      <c r="AB389" s="18"/>
      <c r="AC389" s="18"/>
      <c r="AD389" s="18"/>
      <c r="AE389" s="19"/>
      <c r="AF389" s="20"/>
      <c r="AG389" s="21"/>
      <c r="AH389" s="21"/>
      <c r="AI389" s="19"/>
      <c r="AJ389" s="29"/>
      <c r="AK389" s="29"/>
      <c r="AL389" s="29"/>
    </row>
    <row r="390" spans="2:38" s="28" customFormat="1" x14ac:dyDescent="0.3">
      <c r="B390" s="24"/>
      <c r="C390" s="37"/>
      <c r="D390" s="37"/>
      <c r="E390" s="37"/>
      <c r="F390" s="35"/>
      <c r="G390" s="35"/>
      <c r="H390" s="35"/>
      <c r="I390" s="35"/>
      <c r="J390" s="35"/>
      <c r="K390" s="35"/>
      <c r="L390" s="35"/>
      <c r="M390" s="31"/>
      <c r="N390" s="32"/>
      <c r="O390" s="32"/>
      <c r="P390" s="32"/>
      <c r="Q390" s="32"/>
      <c r="R390" s="32"/>
      <c r="S390" s="32"/>
      <c r="T390" s="32"/>
      <c r="U390" s="29"/>
      <c r="V390" s="29"/>
      <c r="W390" s="24"/>
      <c r="X390" s="18"/>
      <c r="Y390" s="18"/>
      <c r="Z390" s="18"/>
      <c r="AA390" s="18"/>
      <c r="AB390" s="18"/>
      <c r="AC390" s="18"/>
      <c r="AD390" s="18"/>
      <c r="AE390" s="19"/>
      <c r="AF390" s="20"/>
      <c r="AG390" s="21"/>
      <c r="AH390" s="21"/>
      <c r="AI390" s="19"/>
      <c r="AJ390" s="29"/>
      <c r="AK390" s="29"/>
      <c r="AL390" s="29"/>
    </row>
    <row r="391" spans="2:38" s="28" customFormat="1" x14ac:dyDescent="0.3">
      <c r="B391" s="24"/>
      <c r="C391" s="37"/>
      <c r="D391" s="37"/>
      <c r="E391" s="37"/>
      <c r="F391" s="35"/>
      <c r="G391" s="35"/>
      <c r="H391" s="35"/>
      <c r="I391" s="35"/>
      <c r="J391" s="35"/>
      <c r="K391" s="35"/>
      <c r="L391" s="35"/>
      <c r="M391" s="31"/>
      <c r="N391" s="32"/>
      <c r="O391" s="32"/>
      <c r="P391" s="32"/>
      <c r="Q391" s="32"/>
      <c r="R391" s="32"/>
      <c r="S391" s="32"/>
      <c r="T391" s="32"/>
      <c r="U391" s="29"/>
      <c r="V391" s="29"/>
      <c r="W391" s="24"/>
      <c r="X391" s="18"/>
      <c r="Y391" s="18"/>
      <c r="Z391" s="18"/>
      <c r="AA391" s="18"/>
      <c r="AB391" s="18"/>
      <c r="AC391" s="18"/>
      <c r="AD391" s="18"/>
      <c r="AE391" s="19"/>
      <c r="AF391" s="20"/>
      <c r="AG391" s="21"/>
      <c r="AH391" s="21"/>
      <c r="AI391" s="19"/>
      <c r="AJ391" s="29"/>
      <c r="AK391" s="29"/>
      <c r="AL391" s="29"/>
    </row>
    <row r="392" spans="2:38" s="28" customFormat="1" x14ac:dyDescent="0.3">
      <c r="B392" s="24"/>
      <c r="C392" s="37"/>
      <c r="D392" s="37"/>
      <c r="E392" s="37"/>
      <c r="F392" s="35"/>
      <c r="G392" s="35"/>
      <c r="H392" s="35"/>
      <c r="I392" s="35"/>
      <c r="J392" s="35"/>
      <c r="K392" s="35"/>
      <c r="L392" s="35"/>
      <c r="M392" s="31"/>
      <c r="N392" s="32"/>
      <c r="O392" s="32"/>
      <c r="P392" s="32"/>
      <c r="Q392" s="32"/>
      <c r="R392" s="32"/>
      <c r="S392" s="32"/>
      <c r="T392" s="32"/>
      <c r="U392" s="29"/>
      <c r="V392" s="29"/>
      <c r="W392" s="24"/>
      <c r="X392" s="18"/>
      <c r="Y392" s="18"/>
      <c r="Z392" s="18"/>
      <c r="AA392" s="18"/>
      <c r="AB392" s="18"/>
      <c r="AC392" s="18"/>
      <c r="AD392" s="18"/>
      <c r="AE392" s="19"/>
      <c r="AF392" s="20"/>
      <c r="AG392" s="21"/>
      <c r="AH392" s="21"/>
      <c r="AI392" s="19"/>
      <c r="AJ392" s="29"/>
      <c r="AK392" s="29"/>
      <c r="AL392" s="29"/>
    </row>
    <row r="393" spans="2:38" s="28" customFormat="1" x14ac:dyDescent="0.3">
      <c r="B393" s="24"/>
      <c r="C393" s="37"/>
      <c r="D393" s="37"/>
      <c r="E393" s="37"/>
      <c r="F393" s="35"/>
      <c r="G393" s="35"/>
      <c r="H393" s="35"/>
      <c r="I393" s="35"/>
      <c r="J393" s="35"/>
      <c r="K393" s="35"/>
      <c r="L393" s="35"/>
      <c r="M393" s="31"/>
      <c r="N393" s="32"/>
      <c r="O393" s="32"/>
      <c r="P393" s="32"/>
      <c r="Q393" s="32"/>
      <c r="R393" s="32"/>
      <c r="S393" s="32"/>
      <c r="T393" s="32"/>
      <c r="U393" s="29"/>
      <c r="V393" s="29"/>
      <c r="W393" s="24"/>
      <c r="X393" s="18"/>
      <c r="Y393" s="18"/>
      <c r="Z393" s="18"/>
      <c r="AA393" s="18"/>
      <c r="AB393" s="18"/>
      <c r="AC393" s="18"/>
      <c r="AD393" s="18"/>
      <c r="AE393" s="19"/>
      <c r="AF393" s="20"/>
      <c r="AG393" s="21"/>
      <c r="AH393" s="21"/>
      <c r="AI393" s="19"/>
      <c r="AJ393" s="29"/>
      <c r="AK393" s="29"/>
      <c r="AL393" s="29"/>
    </row>
    <row r="394" spans="2:38" s="28" customFormat="1" x14ac:dyDescent="0.3">
      <c r="B394" s="24"/>
      <c r="C394" s="37"/>
      <c r="D394" s="37"/>
      <c r="E394" s="37"/>
      <c r="F394" s="35"/>
      <c r="G394" s="35"/>
      <c r="H394" s="35"/>
      <c r="I394" s="35"/>
      <c r="J394" s="35"/>
      <c r="K394" s="35"/>
      <c r="L394" s="35"/>
      <c r="M394" s="31"/>
      <c r="N394" s="32"/>
      <c r="O394" s="32"/>
      <c r="P394" s="32"/>
      <c r="Q394" s="32"/>
      <c r="R394" s="32"/>
      <c r="S394" s="32"/>
      <c r="T394" s="32"/>
      <c r="U394" s="29"/>
      <c r="V394" s="29"/>
      <c r="W394" s="24"/>
      <c r="X394" s="18"/>
      <c r="Y394" s="18"/>
      <c r="Z394" s="18"/>
      <c r="AA394" s="18"/>
      <c r="AB394" s="18"/>
      <c r="AC394" s="18"/>
      <c r="AD394" s="18"/>
      <c r="AE394" s="19"/>
      <c r="AF394" s="20"/>
      <c r="AG394" s="21"/>
      <c r="AH394" s="21"/>
      <c r="AI394" s="19"/>
      <c r="AJ394" s="29"/>
      <c r="AK394" s="29"/>
      <c r="AL394" s="29"/>
    </row>
    <row r="395" spans="2:38" s="28" customFormat="1" x14ac:dyDescent="0.3">
      <c r="B395" s="24"/>
      <c r="C395" s="37"/>
      <c r="D395" s="37"/>
      <c r="E395" s="37"/>
      <c r="F395" s="35"/>
      <c r="G395" s="35"/>
      <c r="H395" s="35"/>
      <c r="I395" s="35"/>
      <c r="J395" s="35"/>
      <c r="K395" s="35"/>
      <c r="L395" s="35"/>
      <c r="M395" s="31"/>
      <c r="N395" s="32"/>
      <c r="O395" s="32"/>
      <c r="P395" s="32"/>
      <c r="Q395" s="32"/>
      <c r="R395" s="32"/>
      <c r="S395" s="32"/>
      <c r="T395" s="32"/>
      <c r="U395" s="29"/>
      <c r="V395" s="29"/>
      <c r="W395" s="24"/>
      <c r="X395" s="18"/>
      <c r="Y395" s="18"/>
      <c r="Z395" s="18"/>
      <c r="AA395" s="18"/>
      <c r="AB395" s="18"/>
      <c r="AC395" s="18"/>
      <c r="AD395" s="18"/>
      <c r="AE395" s="19"/>
      <c r="AF395" s="20"/>
      <c r="AG395" s="21"/>
      <c r="AH395" s="21"/>
      <c r="AI395" s="19"/>
      <c r="AJ395" s="29"/>
      <c r="AK395" s="29"/>
      <c r="AL395" s="29"/>
    </row>
    <row r="396" spans="2:38" s="28" customFormat="1" x14ac:dyDescent="0.3">
      <c r="B396" s="24"/>
      <c r="C396" s="37"/>
      <c r="D396" s="37"/>
      <c r="E396" s="37"/>
      <c r="F396" s="35"/>
      <c r="G396" s="35"/>
      <c r="H396" s="35"/>
      <c r="I396" s="35"/>
      <c r="J396" s="35"/>
      <c r="K396" s="35"/>
      <c r="L396" s="35"/>
      <c r="M396" s="31"/>
      <c r="N396" s="32"/>
      <c r="O396" s="32"/>
      <c r="P396" s="32"/>
      <c r="Q396" s="32"/>
      <c r="R396" s="32"/>
      <c r="S396" s="32"/>
      <c r="T396" s="32"/>
      <c r="U396" s="29"/>
      <c r="V396" s="29"/>
      <c r="W396" s="24"/>
      <c r="X396" s="18"/>
      <c r="Y396" s="18"/>
      <c r="Z396" s="18"/>
      <c r="AA396" s="18"/>
      <c r="AB396" s="18"/>
      <c r="AC396" s="18"/>
      <c r="AD396" s="18"/>
      <c r="AE396" s="19"/>
      <c r="AF396" s="20"/>
      <c r="AG396" s="21"/>
      <c r="AH396" s="21"/>
      <c r="AI396" s="19"/>
      <c r="AJ396" s="29"/>
      <c r="AK396" s="29"/>
      <c r="AL396" s="29"/>
    </row>
    <row r="397" spans="2:38" s="28" customFormat="1" x14ac:dyDescent="0.3">
      <c r="B397" s="24"/>
      <c r="C397" s="37"/>
      <c r="D397" s="37"/>
      <c r="E397" s="37"/>
      <c r="F397" s="35"/>
      <c r="G397" s="35"/>
      <c r="H397" s="35"/>
      <c r="I397" s="35"/>
      <c r="J397" s="35"/>
      <c r="K397" s="35"/>
      <c r="L397" s="35"/>
      <c r="M397" s="31"/>
      <c r="N397" s="32"/>
      <c r="O397" s="32"/>
      <c r="P397" s="32"/>
      <c r="Q397" s="32"/>
      <c r="R397" s="32"/>
      <c r="S397" s="32"/>
      <c r="T397" s="32"/>
      <c r="U397" s="29"/>
      <c r="V397" s="29"/>
      <c r="W397" s="24"/>
      <c r="X397" s="18"/>
      <c r="Y397" s="18"/>
      <c r="Z397" s="18"/>
      <c r="AA397" s="18"/>
      <c r="AB397" s="18"/>
      <c r="AC397" s="18"/>
      <c r="AD397" s="18"/>
      <c r="AE397" s="19"/>
      <c r="AF397" s="20"/>
      <c r="AG397" s="21"/>
      <c r="AH397" s="21"/>
      <c r="AI397" s="19"/>
      <c r="AJ397" s="29"/>
      <c r="AK397" s="29"/>
      <c r="AL397" s="29"/>
    </row>
    <row r="398" spans="2:38" s="28" customFormat="1" x14ac:dyDescent="0.3">
      <c r="B398" s="24"/>
      <c r="C398" s="37"/>
      <c r="D398" s="37"/>
      <c r="E398" s="37"/>
      <c r="F398" s="35"/>
      <c r="G398" s="35"/>
      <c r="H398" s="35"/>
      <c r="I398" s="35"/>
      <c r="J398" s="35"/>
      <c r="K398" s="35"/>
      <c r="L398" s="35"/>
      <c r="M398" s="31"/>
      <c r="N398" s="32"/>
      <c r="O398" s="32"/>
      <c r="P398" s="32"/>
      <c r="Q398" s="32"/>
      <c r="R398" s="32"/>
      <c r="S398" s="32"/>
      <c r="T398" s="32"/>
      <c r="U398" s="29"/>
      <c r="V398" s="29"/>
      <c r="W398" s="24"/>
      <c r="X398" s="18"/>
      <c r="Y398" s="18"/>
      <c r="Z398" s="18"/>
      <c r="AA398" s="18"/>
      <c r="AB398" s="18"/>
      <c r="AC398" s="18"/>
      <c r="AD398" s="18"/>
      <c r="AE398" s="19"/>
      <c r="AF398" s="20"/>
      <c r="AG398" s="21"/>
      <c r="AH398" s="21"/>
      <c r="AI398" s="19"/>
      <c r="AJ398" s="29"/>
      <c r="AK398" s="29"/>
      <c r="AL398" s="29"/>
    </row>
    <row r="399" spans="2:38" s="28" customFormat="1" x14ac:dyDescent="0.3">
      <c r="B399" s="24"/>
      <c r="C399" s="37"/>
      <c r="D399" s="37"/>
      <c r="E399" s="37"/>
      <c r="F399" s="35"/>
      <c r="G399" s="35"/>
      <c r="H399" s="35"/>
      <c r="I399" s="35"/>
      <c r="J399" s="35"/>
      <c r="K399" s="35"/>
      <c r="L399" s="35"/>
      <c r="M399" s="31"/>
      <c r="N399" s="32"/>
      <c r="O399" s="32"/>
      <c r="P399" s="32"/>
      <c r="Q399" s="32"/>
      <c r="R399" s="32"/>
      <c r="S399" s="32"/>
      <c r="T399" s="32"/>
      <c r="U399" s="29"/>
      <c r="V399" s="29"/>
      <c r="W399" s="24"/>
      <c r="X399" s="18"/>
      <c r="Y399" s="18"/>
      <c r="Z399" s="18"/>
      <c r="AA399" s="18"/>
      <c r="AB399" s="18"/>
      <c r="AC399" s="18"/>
      <c r="AD399" s="18"/>
      <c r="AE399" s="19"/>
      <c r="AF399" s="20"/>
      <c r="AG399" s="21"/>
      <c r="AH399" s="21"/>
      <c r="AI399" s="19"/>
      <c r="AJ399" s="29"/>
      <c r="AK399" s="29"/>
      <c r="AL399" s="29"/>
    </row>
    <row r="400" spans="2:38" s="28" customFormat="1" x14ac:dyDescent="0.3">
      <c r="B400" s="24"/>
      <c r="C400" s="37"/>
      <c r="D400" s="37"/>
      <c r="E400" s="37"/>
      <c r="F400" s="35"/>
      <c r="G400" s="35"/>
      <c r="H400" s="35"/>
      <c r="I400" s="35"/>
      <c r="J400" s="35"/>
      <c r="K400" s="35"/>
      <c r="L400" s="35"/>
      <c r="M400" s="31"/>
      <c r="N400" s="32"/>
      <c r="O400" s="32"/>
      <c r="P400" s="32"/>
      <c r="Q400" s="32"/>
      <c r="R400" s="32"/>
      <c r="S400" s="32"/>
      <c r="T400" s="32"/>
      <c r="U400" s="29"/>
      <c r="V400" s="29"/>
      <c r="W400" s="24"/>
      <c r="X400" s="18"/>
      <c r="Y400" s="18"/>
      <c r="Z400" s="18"/>
      <c r="AA400" s="18"/>
      <c r="AB400" s="18"/>
      <c r="AC400" s="18"/>
      <c r="AD400" s="18"/>
      <c r="AE400" s="19"/>
      <c r="AF400" s="20"/>
      <c r="AG400" s="21"/>
      <c r="AH400" s="21"/>
      <c r="AI400" s="19"/>
      <c r="AJ400" s="29"/>
      <c r="AK400" s="29"/>
      <c r="AL400" s="29"/>
    </row>
    <row r="401" spans="2:38" s="28" customFormat="1" x14ac:dyDescent="0.3">
      <c r="B401" s="24"/>
      <c r="C401" s="37"/>
      <c r="D401" s="37"/>
      <c r="E401" s="37"/>
      <c r="F401" s="35"/>
      <c r="G401" s="35"/>
      <c r="H401" s="35"/>
      <c r="I401" s="35"/>
      <c r="J401" s="35"/>
      <c r="K401" s="35"/>
      <c r="L401" s="35"/>
      <c r="M401" s="31"/>
      <c r="N401" s="32"/>
      <c r="O401" s="32"/>
      <c r="P401" s="32"/>
      <c r="Q401" s="32"/>
      <c r="R401" s="32"/>
      <c r="S401" s="32"/>
      <c r="T401" s="32"/>
      <c r="U401" s="29"/>
      <c r="V401" s="29"/>
      <c r="W401" s="24"/>
      <c r="X401" s="18"/>
      <c r="Y401" s="18"/>
      <c r="Z401" s="18"/>
      <c r="AA401" s="18"/>
      <c r="AB401" s="18"/>
      <c r="AC401" s="18"/>
      <c r="AD401" s="18"/>
      <c r="AE401" s="19"/>
      <c r="AF401" s="20"/>
      <c r="AG401" s="21"/>
      <c r="AH401" s="21"/>
      <c r="AI401" s="19"/>
      <c r="AJ401" s="29"/>
      <c r="AK401" s="29"/>
      <c r="AL401" s="29"/>
    </row>
    <row r="402" spans="2:38" s="28" customFormat="1" x14ac:dyDescent="0.3">
      <c r="B402" s="24"/>
      <c r="C402" s="37"/>
      <c r="D402" s="37"/>
      <c r="E402" s="37"/>
      <c r="F402" s="35"/>
      <c r="G402" s="35"/>
      <c r="H402" s="35"/>
      <c r="I402" s="35"/>
      <c r="J402" s="35"/>
      <c r="K402" s="35"/>
      <c r="L402" s="35"/>
      <c r="M402" s="31"/>
      <c r="N402" s="32"/>
      <c r="O402" s="32"/>
      <c r="P402" s="32"/>
      <c r="Q402" s="32"/>
      <c r="R402" s="32"/>
      <c r="S402" s="32"/>
      <c r="T402" s="32"/>
      <c r="U402" s="29"/>
      <c r="V402" s="29"/>
      <c r="W402" s="24"/>
      <c r="X402" s="18"/>
      <c r="Y402" s="18"/>
      <c r="Z402" s="18"/>
      <c r="AA402" s="18"/>
      <c r="AB402" s="18"/>
      <c r="AC402" s="18"/>
      <c r="AD402" s="18"/>
      <c r="AE402" s="19"/>
      <c r="AF402" s="20"/>
      <c r="AG402" s="21"/>
      <c r="AH402" s="21"/>
      <c r="AI402" s="19"/>
      <c r="AJ402" s="29"/>
      <c r="AK402" s="29"/>
      <c r="AL402" s="29"/>
    </row>
    <row r="403" spans="2:38" s="28" customFormat="1" x14ac:dyDescent="0.3">
      <c r="B403" s="24"/>
      <c r="C403" s="37"/>
      <c r="D403" s="37"/>
      <c r="E403" s="37"/>
      <c r="F403" s="35"/>
      <c r="G403" s="35"/>
      <c r="H403" s="35"/>
      <c r="I403" s="35"/>
      <c r="J403" s="35"/>
      <c r="K403" s="35"/>
      <c r="L403" s="35"/>
      <c r="M403" s="31"/>
      <c r="N403" s="32"/>
      <c r="O403" s="32"/>
      <c r="P403" s="32"/>
      <c r="Q403" s="32"/>
      <c r="R403" s="32"/>
      <c r="S403" s="32"/>
      <c r="T403" s="32"/>
      <c r="U403" s="29"/>
      <c r="V403" s="29"/>
      <c r="W403" s="24"/>
      <c r="X403" s="18"/>
      <c r="Y403" s="18"/>
      <c r="Z403" s="18"/>
      <c r="AA403" s="18"/>
      <c r="AB403" s="18"/>
      <c r="AC403" s="18"/>
      <c r="AD403" s="18"/>
      <c r="AE403" s="19"/>
      <c r="AF403" s="20"/>
      <c r="AG403" s="21"/>
      <c r="AH403" s="21"/>
      <c r="AI403" s="19"/>
      <c r="AJ403" s="29"/>
      <c r="AK403" s="29"/>
      <c r="AL403" s="29"/>
    </row>
    <row r="404" spans="2:38" s="28" customFormat="1" x14ac:dyDescent="0.3">
      <c r="B404" s="24"/>
      <c r="C404" s="37"/>
      <c r="D404" s="37"/>
      <c r="E404" s="37"/>
      <c r="F404" s="35"/>
      <c r="G404" s="35"/>
      <c r="H404" s="35"/>
      <c r="I404" s="35"/>
      <c r="J404" s="35"/>
      <c r="K404" s="35"/>
      <c r="L404" s="35"/>
      <c r="M404" s="31"/>
      <c r="N404" s="32"/>
      <c r="O404" s="32"/>
      <c r="P404" s="32"/>
      <c r="Q404" s="32"/>
      <c r="R404" s="32"/>
      <c r="S404" s="32"/>
      <c r="T404" s="32"/>
      <c r="U404" s="29"/>
      <c r="V404" s="29"/>
      <c r="W404" s="24"/>
      <c r="X404" s="18"/>
      <c r="Y404" s="18"/>
      <c r="Z404" s="18"/>
      <c r="AA404" s="18"/>
      <c r="AB404" s="18"/>
      <c r="AC404" s="18"/>
      <c r="AD404" s="18"/>
      <c r="AE404" s="19"/>
      <c r="AF404" s="20"/>
      <c r="AG404" s="21"/>
      <c r="AH404" s="21"/>
      <c r="AI404" s="19"/>
      <c r="AJ404" s="29"/>
      <c r="AK404" s="29"/>
      <c r="AL404" s="29"/>
    </row>
    <row r="405" spans="2:38" s="28" customFormat="1" x14ac:dyDescent="0.3">
      <c r="B405" s="24"/>
      <c r="C405" s="37"/>
      <c r="D405" s="37"/>
      <c r="E405" s="37"/>
      <c r="F405" s="35"/>
      <c r="G405" s="35"/>
      <c r="H405" s="35"/>
      <c r="I405" s="35"/>
      <c r="J405" s="35"/>
      <c r="K405" s="35"/>
      <c r="L405" s="35"/>
      <c r="M405" s="31"/>
      <c r="N405" s="32"/>
      <c r="O405" s="32"/>
      <c r="P405" s="32"/>
      <c r="Q405" s="32"/>
      <c r="R405" s="32"/>
      <c r="S405" s="32"/>
      <c r="T405" s="32"/>
      <c r="U405" s="29"/>
      <c r="V405" s="29"/>
      <c r="W405" s="24"/>
      <c r="X405" s="18"/>
      <c r="Y405" s="18"/>
      <c r="Z405" s="18"/>
      <c r="AA405" s="18"/>
      <c r="AB405" s="18"/>
      <c r="AC405" s="18"/>
      <c r="AD405" s="18"/>
      <c r="AE405" s="19"/>
      <c r="AF405" s="20"/>
      <c r="AG405" s="21"/>
      <c r="AH405" s="21"/>
      <c r="AI405" s="19"/>
      <c r="AJ405" s="29"/>
      <c r="AK405" s="29"/>
      <c r="AL405" s="29"/>
    </row>
    <row r="406" spans="2:38" s="28" customFormat="1" x14ac:dyDescent="0.3">
      <c r="B406" s="24"/>
      <c r="C406" s="37"/>
      <c r="D406" s="37"/>
      <c r="E406" s="37"/>
      <c r="F406" s="35"/>
      <c r="G406" s="35"/>
      <c r="H406" s="35"/>
      <c r="I406" s="35"/>
      <c r="J406" s="35"/>
      <c r="K406" s="35"/>
      <c r="L406" s="35"/>
      <c r="M406" s="31"/>
      <c r="N406" s="32"/>
      <c r="O406" s="32"/>
      <c r="P406" s="32"/>
      <c r="Q406" s="32"/>
      <c r="R406" s="32"/>
      <c r="S406" s="32"/>
      <c r="T406" s="32"/>
      <c r="U406" s="29"/>
      <c r="V406" s="29"/>
      <c r="W406" s="24"/>
      <c r="X406" s="18"/>
      <c r="Y406" s="18"/>
      <c r="Z406" s="18"/>
      <c r="AA406" s="18"/>
      <c r="AB406" s="18"/>
      <c r="AC406" s="18"/>
      <c r="AD406" s="18"/>
      <c r="AE406" s="19"/>
      <c r="AF406" s="20"/>
      <c r="AG406" s="21"/>
      <c r="AH406" s="21"/>
      <c r="AI406" s="19"/>
      <c r="AJ406" s="29"/>
      <c r="AK406" s="29"/>
      <c r="AL406" s="29"/>
    </row>
    <row r="407" spans="2:38" s="28" customFormat="1" x14ac:dyDescent="0.3">
      <c r="B407" s="24"/>
      <c r="C407" s="37"/>
      <c r="D407" s="37"/>
      <c r="E407" s="37"/>
      <c r="F407" s="35"/>
      <c r="G407" s="35"/>
      <c r="H407" s="35"/>
      <c r="I407" s="35"/>
      <c r="J407" s="35"/>
      <c r="K407" s="35"/>
      <c r="L407" s="35"/>
      <c r="M407" s="31"/>
      <c r="N407" s="32"/>
      <c r="O407" s="32"/>
      <c r="P407" s="32"/>
      <c r="Q407" s="32"/>
      <c r="R407" s="32"/>
      <c r="S407" s="32"/>
      <c r="T407" s="32"/>
      <c r="U407" s="29"/>
      <c r="V407" s="29"/>
      <c r="W407" s="24"/>
      <c r="X407" s="18"/>
      <c r="Y407" s="18"/>
      <c r="Z407" s="18"/>
      <c r="AA407" s="18"/>
      <c r="AB407" s="18"/>
      <c r="AC407" s="18"/>
      <c r="AD407" s="18"/>
      <c r="AE407" s="19"/>
      <c r="AF407" s="20"/>
      <c r="AG407" s="21"/>
      <c r="AH407" s="21"/>
      <c r="AI407" s="19"/>
      <c r="AJ407" s="29"/>
      <c r="AK407" s="29"/>
      <c r="AL407" s="29"/>
    </row>
    <row r="408" spans="2:38" s="28" customFormat="1" x14ac:dyDescent="0.3">
      <c r="B408" s="24"/>
      <c r="C408" s="37"/>
      <c r="D408" s="37"/>
      <c r="E408" s="37"/>
      <c r="F408" s="35"/>
      <c r="G408" s="35"/>
      <c r="H408" s="35"/>
      <c r="I408" s="35"/>
      <c r="J408" s="35"/>
      <c r="K408" s="35"/>
      <c r="L408" s="35"/>
      <c r="M408" s="31"/>
      <c r="N408" s="32"/>
      <c r="O408" s="32"/>
      <c r="P408" s="32"/>
      <c r="Q408" s="32"/>
      <c r="R408" s="32"/>
      <c r="S408" s="32"/>
      <c r="T408" s="32"/>
      <c r="U408" s="29"/>
      <c r="V408" s="29"/>
      <c r="W408" s="24"/>
      <c r="X408" s="18"/>
      <c r="Y408" s="18"/>
      <c r="Z408" s="18"/>
      <c r="AA408" s="18"/>
      <c r="AB408" s="18"/>
      <c r="AC408" s="18"/>
      <c r="AD408" s="18"/>
      <c r="AE408" s="19"/>
      <c r="AF408" s="20"/>
      <c r="AG408" s="21"/>
      <c r="AH408" s="21"/>
      <c r="AI408" s="19"/>
      <c r="AJ408" s="29"/>
      <c r="AK408" s="29"/>
      <c r="AL408" s="29"/>
    </row>
    <row r="409" spans="2:38" s="28" customFormat="1" x14ac:dyDescent="0.3">
      <c r="B409" s="24"/>
      <c r="C409" s="37"/>
      <c r="D409" s="37"/>
      <c r="E409" s="37"/>
      <c r="F409" s="35"/>
      <c r="G409" s="35"/>
      <c r="H409" s="35"/>
      <c r="I409" s="35"/>
      <c r="J409" s="35"/>
      <c r="K409" s="35"/>
      <c r="L409" s="35"/>
      <c r="M409" s="31"/>
      <c r="N409" s="32"/>
      <c r="O409" s="32"/>
      <c r="P409" s="32"/>
      <c r="Q409" s="32"/>
      <c r="R409" s="32"/>
      <c r="S409" s="32"/>
      <c r="T409" s="32"/>
      <c r="U409" s="29"/>
      <c r="V409" s="29"/>
      <c r="W409" s="24"/>
      <c r="X409" s="18"/>
      <c r="Y409" s="18"/>
      <c r="Z409" s="18"/>
      <c r="AA409" s="18"/>
      <c r="AB409" s="18"/>
      <c r="AC409" s="18"/>
      <c r="AD409" s="18"/>
      <c r="AE409" s="19"/>
      <c r="AF409" s="20"/>
      <c r="AG409" s="21"/>
      <c r="AH409" s="21"/>
      <c r="AI409" s="19"/>
      <c r="AJ409" s="29"/>
      <c r="AK409" s="29"/>
      <c r="AL409" s="29"/>
    </row>
    <row r="410" spans="2:38" s="28" customFormat="1" x14ac:dyDescent="0.3">
      <c r="B410" s="24"/>
      <c r="C410" s="37"/>
      <c r="D410" s="37"/>
      <c r="E410" s="37"/>
      <c r="F410" s="35"/>
      <c r="G410" s="35"/>
      <c r="H410" s="35"/>
      <c r="I410" s="35"/>
      <c r="J410" s="35"/>
      <c r="K410" s="35"/>
      <c r="L410" s="35"/>
      <c r="M410" s="31"/>
      <c r="N410" s="32"/>
      <c r="O410" s="32"/>
      <c r="P410" s="32"/>
      <c r="Q410" s="32"/>
      <c r="R410" s="32"/>
      <c r="S410" s="32"/>
      <c r="T410" s="32"/>
      <c r="U410" s="29"/>
      <c r="V410" s="29"/>
      <c r="W410" s="24"/>
      <c r="X410" s="18"/>
      <c r="Y410" s="18"/>
      <c r="Z410" s="18"/>
      <c r="AA410" s="18"/>
      <c r="AB410" s="18"/>
      <c r="AC410" s="18"/>
      <c r="AD410" s="18"/>
      <c r="AE410" s="19"/>
      <c r="AF410" s="20"/>
      <c r="AG410" s="21"/>
      <c r="AH410" s="21"/>
      <c r="AI410" s="19"/>
      <c r="AJ410" s="29"/>
      <c r="AK410" s="29"/>
      <c r="AL410" s="29"/>
    </row>
    <row r="411" spans="2:38" s="28" customFormat="1" x14ac:dyDescent="0.3">
      <c r="B411" s="24"/>
      <c r="C411" s="37"/>
      <c r="D411" s="37"/>
      <c r="E411" s="37"/>
      <c r="F411" s="35"/>
      <c r="G411" s="35"/>
      <c r="H411" s="35"/>
      <c r="I411" s="35"/>
      <c r="J411" s="35"/>
      <c r="K411" s="35"/>
      <c r="L411" s="35"/>
      <c r="M411" s="31"/>
      <c r="N411" s="32"/>
      <c r="O411" s="32"/>
      <c r="P411" s="32"/>
      <c r="Q411" s="32"/>
      <c r="R411" s="32"/>
      <c r="S411" s="32"/>
      <c r="T411" s="32"/>
      <c r="U411" s="29"/>
      <c r="V411" s="29"/>
      <c r="W411" s="24"/>
      <c r="X411" s="18"/>
      <c r="Y411" s="18"/>
      <c r="Z411" s="18"/>
      <c r="AA411" s="18"/>
      <c r="AB411" s="18"/>
      <c r="AC411" s="18"/>
      <c r="AD411" s="18"/>
      <c r="AE411" s="19"/>
      <c r="AF411" s="20"/>
      <c r="AG411" s="21"/>
      <c r="AH411" s="21"/>
      <c r="AI411" s="19"/>
      <c r="AJ411" s="29"/>
      <c r="AK411" s="29"/>
      <c r="AL411" s="29"/>
    </row>
    <row r="412" spans="2:38" s="28" customFormat="1" x14ac:dyDescent="0.3">
      <c r="B412" s="24"/>
      <c r="C412" s="37"/>
      <c r="D412" s="37"/>
      <c r="E412" s="37"/>
      <c r="F412" s="35"/>
      <c r="G412" s="35"/>
      <c r="H412" s="35"/>
      <c r="I412" s="35"/>
      <c r="J412" s="35"/>
      <c r="K412" s="35"/>
      <c r="L412" s="35"/>
      <c r="M412" s="31"/>
      <c r="N412" s="32"/>
      <c r="O412" s="32"/>
      <c r="P412" s="32"/>
      <c r="Q412" s="32"/>
      <c r="R412" s="32"/>
      <c r="S412" s="32"/>
      <c r="T412" s="32"/>
      <c r="U412" s="29"/>
      <c r="V412" s="29"/>
      <c r="W412" s="24"/>
      <c r="X412" s="18"/>
      <c r="Y412" s="18"/>
      <c r="Z412" s="18"/>
      <c r="AA412" s="18"/>
      <c r="AB412" s="18"/>
      <c r="AC412" s="18"/>
      <c r="AD412" s="18"/>
      <c r="AE412" s="19"/>
      <c r="AF412" s="20"/>
      <c r="AG412" s="21"/>
      <c r="AH412" s="21"/>
      <c r="AI412" s="19"/>
      <c r="AJ412" s="29"/>
      <c r="AK412" s="29"/>
      <c r="AL412" s="29"/>
    </row>
    <row r="413" spans="2:38" s="28" customFormat="1" x14ac:dyDescent="0.3">
      <c r="B413" s="24"/>
      <c r="C413" s="37"/>
      <c r="D413" s="37"/>
      <c r="E413" s="37"/>
      <c r="F413" s="35"/>
      <c r="G413" s="35"/>
      <c r="H413" s="35"/>
      <c r="I413" s="35"/>
      <c r="J413" s="35"/>
      <c r="K413" s="35"/>
      <c r="L413" s="35"/>
      <c r="M413" s="31"/>
      <c r="N413" s="32"/>
      <c r="O413" s="32"/>
      <c r="P413" s="32"/>
      <c r="Q413" s="32"/>
      <c r="R413" s="32"/>
      <c r="S413" s="32"/>
      <c r="T413" s="32"/>
      <c r="U413" s="29"/>
      <c r="V413" s="29"/>
      <c r="W413" s="24"/>
      <c r="X413" s="18"/>
      <c r="Y413" s="18"/>
      <c r="Z413" s="18"/>
      <c r="AA413" s="18"/>
      <c r="AB413" s="18"/>
      <c r="AC413" s="18"/>
      <c r="AD413" s="18"/>
      <c r="AE413" s="19"/>
      <c r="AF413" s="20"/>
      <c r="AG413" s="21"/>
      <c r="AH413" s="21"/>
      <c r="AI413" s="19"/>
      <c r="AJ413" s="29"/>
      <c r="AK413" s="29"/>
      <c r="AL413" s="29"/>
    </row>
    <row r="414" spans="2:38" s="28" customFormat="1" x14ac:dyDescent="0.3">
      <c r="B414" s="24"/>
      <c r="C414" s="37"/>
      <c r="D414" s="37"/>
      <c r="E414" s="37"/>
      <c r="F414" s="35"/>
      <c r="G414" s="35"/>
      <c r="H414" s="35"/>
      <c r="I414" s="35"/>
      <c r="J414" s="35"/>
      <c r="K414" s="35"/>
      <c r="L414" s="35"/>
      <c r="M414" s="31"/>
      <c r="N414" s="32"/>
      <c r="O414" s="32"/>
      <c r="P414" s="32"/>
      <c r="Q414" s="32"/>
      <c r="R414" s="32"/>
      <c r="S414" s="32"/>
      <c r="T414" s="32"/>
      <c r="U414" s="29"/>
      <c r="V414" s="29"/>
      <c r="W414" s="24"/>
      <c r="X414" s="18"/>
      <c r="Y414" s="18"/>
      <c r="Z414" s="18"/>
      <c r="AA414" s="18"/>
      <c r="AB414" s="18"/>
      <c r="AC414" s="18"/>
      <c r="AD414" s="18"/>
      <c r="AE414" s="19"/>
      <c r="AF414" s="20"/>
      <c r="AG414" s="21"/>
      <c r="AH414" s="21"/>
      <c r="AI414" s="19"/>
      <c r="AJ414" s="29"/>
      <c r="AK414" s="29"/>
      <c r="AL414" s="29"/>
    </row>
    <row r="415" spans="2:38" s="28" customFormat="1" x14ac:dyDescent="0.3">
      <c r="B415" s="24"/>
      <c r="C415" s="37"/>
      <c r="D415" s="37"/>
      <c r="E415" s="37"/>
      <c r="F415" s="35"/>
      <c r="G415" s="35"/>
      <c r="H415" s="35"/>
      <c r="I415" s="35"/>
      <c r="J415" s="35"/>
      <c r="K415" s="35"/>
      <c r="L415" s="35"/>
      <c r="M415" s="31"/>
      <c r="N415" s="32"/>
      <c r="O415" s="32"/>
      <c r="P415" s="32"/>
      <c r="Q415" s="32"/>
      <c r="R415" s="32"/>
      <c r="S415" s="32"/>
      <c r="T415" s="32"/>
      <c r="U415" s="29"/>
      <c r="V415" s="29"/>
      <c r="W415" s="24"/>
      <c r="X415" s="18"/>
      <c r="Y415" s="18"/>
      <c r="Z415" s="18"/>
      <c r="AA415" s="18"/>
      <c r="AB415" s="18"/>
      <c r="AC415" s="18"/>
      <c r="AD415" s="18"/>
      <c r="AE415" s="19"/>
      <c r="AF415" s="20"/>
      <c r="AG415" s="21"/>
      <c r="AH415" s="21"/>
      <c r="AI415" s="19"/>
      <c r="AJ415" s="29"/>
      <c r="AK415" s="29"/>
      <c r="AL415" s="29"/>
    </row>
    <row r="416" spans="2:38" s="28" customFormat="1" x14ac:dyDescent="0.3">
      <c r="B416" s="24"/>
      <c r="C416" s="37"/>
      <c r="D416" s="37"/>
      <c r="E416" s="37"/>
      <c r="F416" s="35"/>
      <c r="G416" s="35"/>
      <c r="H416" s="35"/>
      <c r="I416" s="35"/>
      <c r="J416" s="35"/>
      <c r="K416" s="35"/>
      <c r="L416" s="35"/>
      <c r="M416" s="31"/>
      <c r="N416" s="32"/>
      <c r="O416" s="32"/>
      <c r="P416" s="32"/>
      <c r="Q416" s="32"/>
      <c r="R416" s="32"/>
      <c r="S416" s="32"/>
      <c r="T416" s="32"/>
      <c r="U416" s="29"/>
      <c r="V416" s="29"/>
      <c r="W416" s="24"/>
      <c r="X416" s="18"/>
      <c r="Y416" s="18"/>
      <c r="Z416" s="18"/>
      <c r="AA416" s="18"/>
      <c r="AB416" s="18"/>
      <c r="AC416" s="18"/>
      <c r="AD416" s="18"/>
      <c r="AE416" s="19"/>
      <c r="AF416" s="20"/>
      <c r="AG416" s="21"/>
      <c r="AH416" s="21"/>
      <c r="AI416" s="19"/>
      <c r="AJ416" s="29"/>
      <c r="AK416" s="29"/>
      <c r="AL416" s="29"/>
    </row>
    <row r="417" spans="2:38" s="28" customFormat="1" x14ac:dyDescent="0.3">
      <c r="B417" s="24"/>
      <c r="C417" s="37"/>
      <c r="D417" s="37"/>
      <c r="E417" s="37"/>
      <c r="F417" s="35"/>
      <c r="G417" s="35"/>
      <c r="H417" s="35"/>
      <c r="I417" s="35"/>
      <c r="J417" s="35"/>
      <c r="K417" s="35"/>
      <c r="L417" s="35"/>
      <c r="M417" s="31"/>
      <c r="N417" s="32"/>
      <c r="O417" s="32"/>
      <c r="P417" s="32"/>
      <c r="Q417" s="32"/>
      <c r="R417" s="32"/>
      <c r="S417" s="32"/>
      <c r="T417" s="32"/>
      <c r="U417" s="29"/>
      <c r="V417" s="29"/>
      <c r="W417" s="24"/>
      <c r="X417" s="18"/>
      <c r="Y417" s="18"/>
      <c r="Z417" s="18"/>
      <c r="AA417" s="18"/>
      <c r="AB417" s="18"/>
      <c r="AC417" s="18"/>
      <c r="AD417" s="18"/>
      <c r="AE417" s="19"/>
      <c r="AF417" s="20"/>
      <c r="AG417" s="21"/>
      <c r="AH417" s="21"/>
      <c r="AI417" s="19"/>
      <c r="AJ417" s="29"/>
      <c r="AK417" s="29"/>
      <c r="AL417" s="29"/>
    </row>
    <row r="418" spans="2:38" s="28" customFormat="1" x14ac:dyDescent="0.3">
      <c r="B418" s="24"/>
      <c r="C418" s="37"/>
      <c r="D418" s="37"/>
      <c r="E418" s="37"/>
      <c r="F418" s="35"/>
      <c r="G418" s="35"/>
      <c r="H418" s="35"/>
      <c r="I418" s="35"/>
      <c r="J418" s="35"/>
      <c r="K418" s="35"/>
      <c r="L418" s="35"/>
      <c r="M418" s="31"/>
      <c r="N418" s="32"/>
      <c r="O418" s="32"/>
      <c r="P418" s="32"/>
      <c r="Q418" s="32"/>
      <c r="R418" s="32"/>
      <c r="S418" s="32"/>
      <c r="T418" s="32"/>
      <c r="U418" s="29"/>
      <c r="V418" s="29"/>
      <c r="W418" s="24"/>
      <c r="X418" s="18"/>
      <c r="Y418" s="18"/>
      <c r="Z418" s="18"/>
      <c r="AA418" s="18"/>
      <c r="AB418" s="18"/>
      <c r="AC418" s="18"/>
      <c r="AD418" s="18"/>
      <c r="AE418" s="19"/>
      <c r="AF418" s="20"/>
      <c r="AG418" s="21"/>
      <c r="AH418" s="21"/>
      <c r="AI418" s="19"/>
      <c r="AJ418" s="29"/>
      <c r="AK418" s="29"/>
      <c r="AL418" s="29"/>
    </row>
    <row r="419" spans="2:38" s="28" customFormat="1" x14ac:dyDescent="0.3">
      <c r="B419" s="24"/>
      <c r="C419" s="37"/>
      <c r="D419" s="37"/>
      <c r="E419" s="37"/>
      <c r="F419" s="35"/>
      <c r="G419" s="35"/>
      <c r="H419" s="35"/>
      <c r="I419" s="35"/>
      <c r="J419" s="35"/>
      <c r="K419" s="35"/>
      <c r="L419" s="35"/>
      <c r="M419" s="31"/>
      <c r="N419" s="32"/>
      <c r="O419" s="32"/>
      <c r="P419" s="32"/>
      <c r="Q419" s="32"/>
      <c r="R419" s="32"/>
      <c r="S419" s="32"/>
      <c r="T419" s="32"/>
      <c r="U419" s="29"/>
      <c r="V419" s="29"/>
      <c r="W419" s="24"/>
      <c r="X419" s="18"/>
      <c r="Y419" s="18"/>
      <c r="Z419" s="18"/>
      <c r="AA419" s="18"/>
      <c r="AB419" s="18"/>
      <c r="AC419" s="18"/>
      <c r="AD419" s="18"/>
      <c r="AE419" s="19"/>
      <c r="AF419" s="20"/>
      <c r="AG419" s="21"/>
      <c r="AH419" s="21"/>
      <c r="AI419" s="19"/>
      <c r="AJ419" s="29"/>
      <c r="AK419" s="29"/>
      <c r="AL419" s="29"/>
    </row>
    <row r="420" spans="2:38" s="28" customFormat="1" x14ac:dyDescent="0.3">
      <c r="B420" s="24"/>
      <c r="C420" s="37"/>
      <c r="D420" s="37"/>
      <c r="E420" s="37"/>
      <c r="F420" s="35"/>
      <c r="G420" s="35"/>
      <c r="H420" s="35"/>
      <c r="I420" s="35"/>
      <c r="J420" s="35"/>
      <c r="K420" s="35"/>
      <c r="L420" s="35"/>
      <c r="M420" s="31"/>
      <c r="N420" s="32"/>
      <c r="O420" s="32"/>
      <c r="P420" s="32"/>
      <c r="Q420" s="32"/>
      <c r="R420" s="32"/>
      <c r="S420" s="32"/>
      <c r="T420" s="32"/>
      <c r="U420" s="29"/>
      <c r="V420" s="29"/>
      <c r="W420" s="24"/>
      <c r="X420" s="18"/>
      <c r="Y420" s="18"/>
      <c r="Z420" s="18"/>
      <c r="AA420" s="18"/>
      <c r="AB420" s="18"/>
      <c r="AC420" s="18"/>
      <c r="AD420" s="18"/>
      <c r="AE420" s="19"/>
      <c r="AF420" s="20"/>
      <c r="AG420" s="21"/>
      <c r="AH420" s="21"/>
      <c r="AI420" s="19"/>
      <c r="AJ420" s="29"/>
      <c r="AK420" s="29"/>
      <c r="AL420" s="29"/>
    </row>
    <row r="421" spans="2:38" s="28" customFormat="1" x14ac:dyDescent="0.3">
      <c r="B421" s="24"/>
      <c r="C421" s="37"/>
      <c r="D421" s="37"/>
      <c r="E421" s="37"/>
      <c r="F421" s="35"/>
      <c r="G421" s="35"/>
      <c r="H421" s="35"/>
      <c r="I421" s="35"/>
      <c r="J421" s="35"/>
      <c r="K421" s="35"/>
      <c r="L421" s="35"/>
      <c r="M421" s="31"/>
      <c r="N421" s="32"/>
      <c r="O421" s="32"/>
      <c r="P421" s="32"/>
      <c r="Q421" s="32"/>
      <c r="R421" s="32"/>
      <c r="S421" s="32"/>
      <c r="T421" s="32"/>
      <c r="U421" s="29"/>
      <c r="V421" s="29"/>
      <c r="W421" s="24"/>
      <c r="X421" s="18"/>
      <c r="Y421" s="18"/>
      <c r="Z421" s="18"/>
      <c r="AA421" s="18"/>
      <c r="AB421" s="18"/>
      <c r="AC421" s="18"/>
      <c r="AD421" s="18"/>
      <c r="AE421" s="19"/>
      <c r="AF421" s="20"/>
      <c r="AG421" s="21"/>
      <c r="AH421" s="21"/>
      <c r="AI421" s="19"/>
      <c r="AJ421" s="29"/>
      <c r="AK421" s="29"/>
      <c r="AL421" s="29"/>
    </row>
    <row r="422" spans="2:38" s="28" customFormat="1" x14ac:dyDescent="0.3">
      <c r="B422" s="24"/>
      <c r="C422" s="37"/>
      <c r="D422" s="37"/>
      <c r="E422" s="37"/>
      <c r="F422" s="35"/>
      <c r="G422" s="35"/>
      <c r="H422" s="35"/>
      <c r="I422" s="35"/>
      <c r="J422" s="35"/>
      <c r="K422" s="35"/>
      <c r="L422" s="35"/>
      <c r="M422" s="31"/>
      <c r="N422" s="32"/>
      <c r="O422" s="32"/>
      <c r="P422" s="32"/>
      <c r="Q422" s="32"/>
      <c r="R422" s="32"/>
      <c r="S422" s="32"/>
      <c r="T422" s="32"/>
      <c r="U422" s="29"/>
      <c r="V422" s="29"/>
      <c r="W422" s="24"/>
      <c r="X422" s="18"/>
      <c r="Y422" s="18"/>
      <c r="Z422" s="18"/>
      <c r="AA422" s="18"/>
      <c r="AB422" s="18"/>
      <c r="AC422" s="18"/>
      <c r="AD422" s="18"/>
      <c r="AE422" s="19"/>
      <c r="AF422" s="20"/>
      <c r="AG422" s="21"/>
      <c r="AH422" s="21"/>
      <c r="AI422" s="19"/>
      <c r="AJ422" s="29"/>
      <c r="AK422" s="29"/>
      <c r="AL422" s="29"/>
    </row>
    <row r="423" spans="2:38" s="28" customFormat="1" x14ac:dyDescent="0.3">
      <c r="B423" s="24"/>
      <c r="C423" s="37"/>
      <c r="D423" s="37"/>
      <c r="E423" s="37"/>
      <c r="F423" s="35"/>
      <c r="G423" s="35"/>
      <c r="H423" s="35"/>
      <c r="I423" s="35"/>
      <c r="J423" s="35"/>
      <c r="K423" s="35"/>
      <c r="L423" s="35"/>
      <c r="M423" s="31"/>
      <c r="N423" s="32"/>
      <c r="O423" s="32"/>
      <c r="P423" s="32"/>
      <c r="Q423" s="32"/>
      <c r="R423" s="32"/>
      <c r="S423" s="32"/>
      <c r="T423" s="32"/>
      <c r="U423" s="29"/>
      <c r="V423" s="29"/>
      <c r="W423" s="24"/>
      <c r="X423" s="18"/>
      <c r="Y423" s="18"/>
      <c r="Z423" s="18"/>
      <c r="AA423" s="18"/>
      <c r="AB423" s="18"/>
      <c r="AC423" s="18"/>
      <c r="AD423" s="18"/>
      <c r="AE423" s="19"/>
      <c r="AF423" s="20"/>
      <c r="AG423" s="21"/>
      <c r="AH423" s="21"/>
      <c r="AI423" s="19"/>
      <c r="AJ423" s="29"/>
      <c r="AK423" s="29"/>
      <c r="AL423" s="29"/>
    </row>
    <row r="424" spans="2:38" s="28" customFormat="1" x14ac:dyDescent="0.3">
      <c r="B424" s="24"/>
      <c r="C424" s="37"/>
      <c r="D424" s="37"/>
      <c r="E424" s="37"/>
      <c r="F424" s="35"/>
      <c r="G424" s="35"/>
      <c r="H424" s="35"/>
      <c r="I424" s="35"/>
      <c r="J424" s="35"/>
      <c r="K424" s="35"/>
      <c r="L424" s="35"/>
      <c r="M424" s="31"/>
      <c r="N424" s="32"/>
      <c r="O424" s="32"/>
      <c r="P424" s="32"/>
      <c r="Q424" s="32"/>
      <c r="R424" s="32"/>
      <c r="S424" s="32"/>
      <c r="T424" s="32"/>
      <c r="U424" s="29"/>
      <c r="V424" s="29"/>
      <c r="W424" s="24"/>
      <c r="X424" s="18"/>
      <c r="Y424" s="18"/>
      <c r="Z424" s="18"/>
      <c r="AA424" s="18"/>
      <c r="AB424" s="18"/>
      <c r="AC424" s="18"/>
      <c r="AD424" s="18"/>
      <c r="AE424" s="19"/>
      <c r="AF424" s="20"/>
      <c r="AG424" s="21"/>
      <c r="AH424" s="21"/>
      <c r="AI424" s="19"/>
      <c r="AJ424" s="29"/>
      <c r="AK424" s="29"/>
      <c r="AL424" s="29"/>
    </row>
    <row r="425" spans="2:38" s="28" customFormat="1" x14ac:dyDescent="0.3">
      <c r="B425" s="24"/>
      <c r="C425" s="37"/>
      <c r="D425" s="37"/>
      <c r="E425" s="37"/>
      <c r="F425" s="35"/>
      <c r="G425" s="35"/>
      <c r="H425" s="35"/>
      <c r="I425" s="35"/>
      <c r="J425" s="35"/>
      <c r="K425" s="35"/>
      <c r="L425" s="35"/>
      <c r="M425" s="31"/>
      <c r="N425" s="32"/>
      <c r="O425" s="32"/>
      <c r="P425" s="32"/>
      <c r="Q425" s="32"/>
      <c r="R425" s="32"/>
      <c r="S425" s="32"/>
      <c r="T425" s="32"/>
      <c r="U425" s="29"/>
      <c r="V425" s="29"/>
      <c r="W425" s="24"/>
      <c r="X425" s="18"/>
      <c r="Y425" s="18"/>
      <c r="Z425" s="18"/>
      <c r="AA425" s="18"/>
      <c r="AB425" s="18"/>
      <c r="AC425" s="18"/>
      <c r="AD425" s="18"/>
      <c r="AE425" s="19"/>
      <c r="AF425" s="20"/>
      <c r="AG425" s="21"/>
      <c r="AH425" s="21"/>
      <c r="AI425" s="19"/>
      <c r="AJ425" s="29"/>
      <c r="AK425" s="29"/>
      <c r="AL425" s="29"/>
    </row>
    <row r="426" spans="2:38" s="28" customFormat="1" x14ac:dyDescent="0.3">
      <c r="B426" s="24"/>
      <c r="C426" s="37"/>
      <c r="D426" s="37"/>
      <c r="E426" s="37"/>
      <c r="F426" s="35"/>
      <c r="G426" s="35"/>
      <c r="H426" s="35"/>
      <c r="I426" s="35"/>
      <c r="J426" s="35"/>
      <c r="K426" s="35"/>
      <c r="L426" s="35"/>
      <c r="M426" s="31"/>
      <c r="N426" s="32"/>
      <c r="O426" s="32"/>
      <c r="P426" s="32"/>
      <c r="Q426" s="32"/>
      <c r="R426" s="32"/>
      <c r="S426" s="32"/>
      <c r="T426" s="32"/>
      <c r="U426" s="29"/>
      <c r="V426" s="29"/>
      <c r="W426" s="24"/>
      <c r="X426" s="18"/>
      <c r="Y426" s="18"/>
      <c r="Z426" s="18"/>
      <c r="AA426" s="18"/>
      <c r="AB426" s="18"/>
      <c r="AC426" s="18"/>
      <c r="AD426" s="18"/>
      <c r="AE426" s="19"/>
      <c r="AF426" s="20"/>
      <c r="AG426" s="21"/>
      <c r="AH426" s="21"/>
      <c r="AI426" s="19"/>
      <c r="AJ426" s="29"/>
      <c r="AK426" s="29"/>
      <c r="AL426" s="29"/>
    </row>
    <row r="427" spans="2:38" s="28" customFormat="1" x14ac:dyDescent="0.3">
      <c r="B427" s="24"/>
      <c r="C427" s="37"/>
      <c r="D427" s="37"/>
      <c r="E427" s="37"/>
      <c r="F427" s="35"/>
      <c r="G427" s="35"/>
      <c r="H427" s="35"/>
      <c r="I427" s="35"/>
      <c r="J427" s="35"/>
      <c r="K427" s="35"/>
      <c r="L427" s="35"/>
      <c r="M427" s="31"/>
      <c r="N427" s="32"/>
      <c r="O427" s="32"/>
      <c r="P427" s="32"/>
      <c r="Q427" s="32"/>
      <c r="R427" s="32"/>
      <c r="S427" s="32"/>
      <c r="T427" s="32"/>
      <c r="U427" s="29"/>
      <c r="V427" s="29"/>
      <c r="W427" s="24"/>
      <c r="X427" s="18"/>
      <c r="Y427" s="18"/>
      <c r="Z427" s="18"/>
      <c r="AA427" s="18"/>
      <c r="AB427" s="18"/>
      <c r="AC427" s="18"/>
      <c r="AD427" s="18"/>
      <c r="AE427" s="19"/>
      <c r="AF427" s="20"/>
      <c r="AG427" s="21"/>
      <c r="AH427" s="21"/>
      <c r="AI427" s="19"/>
      <c r="AJ427" s="29"/>
      <c r="AK427" s="29"/>
      <c r="AL427" s="29"/>
    </row>
    <row r="428" spans="2:38" s="28" customFormat="1" x14ac:dyDescent="0.3">
      <c r="B428" s="24"/>
      <c r="C428" s="37"/>
      <c r="D428" s="37"/>
      <c r="E428" s="37"/>
      <c r="F428" s="35"/>
      <c r="G428" s="35"/>
      <c r="H428" s="35"/>
      <c r="I428" s="35"/>
      <c r="J428" s="35"/>
      <c r="K428" s="35"/>
      <c r="L428" s="35"/>
      <c r="M428" s="31"/>
      <c r="N428" s="32"/>
      <c r="O428" s="32"/>
      <c r="P428" s="32"/>
      <c r="Q428" s="32"/>
      <c r="R428" s="32"/>
      <c r="S428" s="32"/>
      <c r="T428" s="32"/>
      <c r="U428" s="29"/>
      <c r="V428" s="29"/>
      <c r="W428" s="24"/>
      <c r="X428" s="18"/>
      <c r="Y428" s="18"/>
      <c r="Z428" s="18"/>
      <c r="AA428" s="18"/>
      <c r="AB428" s="18"/>
      <c r="AC428" s="18"/>
      <c r="AD428" s="18"/>
      <c r="AE428" s="19"/>
      <c r="AF428" s="20"/>
      <c r="AG428" s="21"/>
      <c r="AH428" s="21"/>
      <c r="AI428" s="19"/>
      <c r="AJ428" s="29"/>
      <c r="AK428" s="29"/>
      <c r="AL428" s="29"/>
    </row>
    <row r="429" spans="2:38" s="28" customFormat="1" x14ac:dyDescent="0.3">
      <c r="B429" s="24"/>
      <c r="C429" s="37"/>
      <c r="D429" s="37"/>
      <c r="E429" s="37"/>
      <c r="F429" s="35"/>
      <c r="G429" s="35"/>
      <c r="H429" s="35"/>
      <c r="I429" s="35"/>
      <c r="J429" s="35"/>
      <c r="K429" s="35"/>
      <c r="L429" s="35"/>
      <c r="M429" s="31"/>
      <c r="N429" s="32"/>
      <c r="O429" s="32"/>
      <c r="P429" s="32"/>
      <c r="Q429" s="32"/>
      <c r="R429" s="32"/>
      <c r="S429" s="32"/>
      <c r="T429" s="32"/>
      <c r="U429" s="29"/>
      <c r="V429" s="29"/>
      <c r="W429" s="24"/>
      <c r="X429" s="18"/>
      <c r="Y429" s="18"/>
      <c r="Z429" s="18"/>
      <c r="AA429" s="18"/>
      <c r="AB429" s="18"/>
      <c r="AC429" s="18"/>
      <c r="AD429" s="18"/>
      <c r="AE429" s="19"/>
      <c r="AF429" s="20"/>
      <c r="AG429" s="21"/>
      <c r="AH429" s="21"/>
      <c r="AI429" s="19"/>
      <c r="AJ429" s="29"/>
      <c r="AK429" s="29"/>
      <c r="AL429" s="29"/>
    </row>
    <row r="430" spans="2:38" s="28" customFormat="1" x14ac:dyDescent="0.3">
      <c r="B430" s="24"/>
      <c r="C430" s="37"/>
      <c r="D430" s="37"/>
      <c r="E430" s="37"/>
      <c r="F430" s="35"/>
      <c r="G430" s="35"/>
      <c r="H430" s="35"/>
      <c r="I430" s="35"/>
      <c r="J430" s="35"/>
      <c r="K430" s="35"/>
      <c r="L430" s="35"/>
      <c r="M430" s="31"/>
      <c r="N430" s="32"/>
      <c r="O430" s="32"/>
      <c r="P430" s="32"/>
      <c r="Q430" s="32"/>
      <c r="R430" s="32"/>
      <c r="S430" s="32"/>
      <c r="T430" s="32"/>
      <c r="U430" s="29"/>
      <c r="V430" s="29"/>
      <c r="W430" s="24"/>
      <c r="X430" s="18"/>
      <c r="Y430" s="18"/>
      <c r="Z430" s="18"/>
      <c r="AA430" s="18"/>
      <c r="AB430" s="18"/>
      <c r="AC430" s="18"/>
      <c r="AD430" s="18"/>
      <c r="AE430" s="19"/>
      <c r="AF430" s="20"/>
      <c r="AG430" s="21"/>
      <c r="AH430" s="21"/>
      <c r="AI430" s="19"/>
      <c r="AJ430" s="29"/>
      <c r="AK430" s="29"/>
      <c r="AL430" s="29"/>
    </row>
    <row r="431" spans="2:38" s="28" customFormat="1" x14ac:dyDescent="0.3">
      <c r="B431" s="24"/>
      <c r="C431" s="37"/>
      <c r="D431" s="37"/>
      <c r="E431" s="37"/>
      <c r="F431" s="35"/>
      <c r="G431" s="35"/>
      <c r="H431" s="35"/>
      <c r="I431" s="35"/>
      <c r="J431" s="35"/>
      <c r="K431" s="35"/>
      <c r="L431" s="35"/>
      <c r="M431" s="31"/>
      <c r="N431" s="32"/>
      <c r="O431" s="32"/>
      <c r="P431" s="32"/>
      <c r="Q431" s="32"/>
      <c r="R431" s="32"/>
      <c r="S431" s="32"/>
      <c r="T431" s="32"/>
      <c r="U431" s="29"/>
      <c r="V431" s="29"/>
      <c r="W431" s="24"/>
      <c r="X431" s="18"/>
      <c r="Y431" s="18"/>
      <c r="Z431" s="18"/>
      <c r="AA431" s="18"/>
      <c r="AB431" s="18"/>
      <c r="AC431" s="18"/>
      <c r="AD431" s="18"/>
      <c r="AE431" s="19"/>
      <c r="AF431" s="20"/>
      <c r="AG431" s="21"/>
      <c r="AH431" s="21"/>
      <c r="AI431" s="19"/>
      <c r="AJ431" s="29"/>
      <c r="AK431" s="29"/>
      <c r="AL431" s="29"/>
    </row>
    <row r="432" spans="2:38" s="28" customFormat="1" x14ac:dyDescent="0.3">
      <c r="B432" s="24"/>
      <c r="C432" s="37"/>
      <c r="D432" s="37"/>
      <c r="E432" s="37"/>
      <c r="F432" s="35"/>
      <c r="G432" s="35"/>
      <c r="H432" s="35"/>
      <c r="I432" s="35"/>
      <c r="J432" s="35"/>
      <c r="K432" s="35"/>
      <c r="L432" s="35"/>
      <c r="M432" s="31"/>
      <c r="N432" s="32"/>
      <c r="O432" s="32"/>
      <c r="P432" s="32"/>
      <c r="Q432" s="32"/>
      <c r="R432" s="32"/>
      <c r="S432" s="32"/>
      <c r="T432" s="32"/>
      <c r="U432" s="29"/>
      <c r="V432" s="29"/>
      <c r="W432" s="24"/>
      <c r="X432" s="18"/>
      <c r="Y432" s="18"/>
      <c r="Z432" s="18"/>
      <c r="AA432" s="18"/>
      <c r="AB432" s="18"/>
      <c r="AC432" s="18"/>
      <c r="AD432" s="18"/>
      <c r="AE432" s="19"/>
      <c r="AF432" s="20"/>
      <c r="AG432" s="21"/>
      <c r="AH432" s="21"/>
      <c r="AI432" s="19"/>
      <c r="AJ432" s="29"/>
      <c r="AK432" s="29"/>
      <c r="AL432" s="29"/>
    </row>
    <row r="433" spans="2:38" s="28" customFormat="1" x14ac:dyDescent="0.3">
      <c r="B433" s="24"/>
      <c r="C433" s="37"/>
      <c r="D433" s="37"/>
      <c r="E433" s="37"/>
      <c r="F433" s="35"/>
      <c r="G433" s="35"/>
      <c r="H433" s="35"/>
      <c r="I433" s="35"/>
      <c r="J433" s="35"/>
      <c r="K433" s="35"/>
      <c r="L433" s="35"/>
      <c r="M433" s="31"/>
      <c r="N433" s="32"/>
      <c r="O433" s="32"/>
      <c r="P433" s="32"/>
      <c r="Q433" s="32"/>
      <c r="R433" s="32"/>
      <c r="S433" s="32"/>
      <c r="T433" s="32"/>
      <c r="U433" s="29"/>
      <c r="V433" s="29"/>
      <c r="W433" s="24"/>
      <c r="X433" s="18"/>
      <c r="Y433" s="18"/>
      <c r="Z433" s="18"/>
      <c r="AA433" s="18"/>
      <c r="AB433" s="18"/>
      <c r="AC433" s="18"/>
      <c r="AD433" s="18"/>
      <c r="AE433" s="19"/>
      <c r="AF433" s="20"/>
      <c r="AG433" s="21"/>
      <c r="AH433" s="21"/>
      <c r="AI433" s="19"/>
      <c r="AJ433" s="29"/>
      <c r="AK433" s="29"/>
      <c r="AL433" s="29"/>
    </row>
    <row r="434" spans="2:38" s="28" customFormat="1" x14ac:dyDescent="0.3">
      <c r="B434" s="24"/>
      <c r="C434" s="37"/>
      <c r="D434" s="37"/>
      <c r="E434" s="37"/>
      <c r="F434" s="35"/>
      <c r="G434" s="35"/>
      <c r="H434" s="35"/>
      <c r="I434" s="35"/>
      <c r="J434" s="35"/>
      <c r="K434" s="35"/>
      <c r="L434" s="35"/>
      <c r="M434" s="31"/>
      <c r="N434" s="32"/>
      <c r="O434" s="32"/>
      <c r="P434" s="32"/>
      <c r="Q434" s="32"/>
      <c r="R434" s="32"/>
      <c r="S434" s="32"/>
      <c r="T434" s="32"/>
      <c r="U434" s="29"/>
      <c r="V434" s="29"/>
      <c r="W434" s="24"/>
      <c r="X434" s="18"/>
      <c r="Y434" s="18"/>
      <c r="Z434" s="18"/>
      <c r="AA434" s="18"/>
      <c r="AB434" s="18"/>
      <c r="AC434" s="18"/>
      <c r="AD434" s="18"/>
      <c r="AE434" s="19"/>
      <c r="AF434" s="20"/>
      <c r="AG434" s="21"/>
      <c r="AH434" s="21"/>
      <c r="AI434" s="19"/>
      <c r="AJ434" s="29"/>
      <c r="AK434" s="29"/>
      <c r="AL434" s="29"/>
    </row>
    <row r="435" spans="2:38" s="28" customFormat="1" x14ac:dyDescent="0.3">
      <c r="B435" s="24"/>
      <c r="C435" s="37"/>
      <c r="D435" s="37"/>
      <c r="E435" s="37"/>
      <c r="F435" s="35"/>
      <c r="G435" s="35"/>
      <c r="H435" s="35"/>
      <c r="I435" s="35"/>
      <c r="J435" s="35"/>
      <c r="K435" s="35"/>
      <c r="L435" s="35"/>
      <c r="M435" s="31"/>
      <c r="N435" s="32"/>
      <c r="O435" s="32"/>
      <c r="P435" s="32"/>
      <c r="Q435" s="32"/>
      <c r="R435" s="32"/>
      <c r="S435" s="32"/>
      <c r="T435" s="32"/>
      <c r="U435" s="29"/>
      <c r="V435" s="29"/>
      <c r="W435" s="24"/>
      <c r="X435" s="18"/>
      <c r="Y435" s="18"/>
      <c r="Z435" s="18"/>
      <c r="AA435" s="18"/>
      <c r="AB435" s="18"/>
      <c r="AC435" s="18"/>
      <c r="AD435" s="18"/>
      <c r="AE435" s="19"/>
      <c r="AF435" s="20"/>
      <c r="AG435" s="21"/>
      <c r="AH435" s="21"/>
      <c r="AI435" s="19"/>
      <c r="AJ435" s="29"/>
      <c r="AK435" s="29"/>
      <c r="AL435" s="29"/>
    </row>
    <row r="436" spans="2:38" s="28" customFormat="1" x14ac:dyDescent="0.3">
      <c r="B436" s="24"/>
      <c r="C436" s="37"/>
      <c r="D436" s="37"/>
      <c r="E436" s="37"/>
      <c r="F436" s="35"/>
      <c r="G436" s="35"/>
      <c r="H436" s="35"/>
      <c r="I436" s="35"/>
      <c r="J436" s="35"/>
      <c r="K436" s="35"/>
      <c r="L436" s="35"/>
      <c r="M436" s="31"/>
      <c r="N436" s="32"/>
      <c r="O436" s="32"/>
      <c r="P436" s="32"/>
      <c r="Q436" s="32"/>
      <c r="R436" s="32"/>
      <c r="S436" s="32"/>
      <c r="T436" s="32"/>
      <c r="U436" s="29"/>
      <c r="V436" s="29"/>
      <c r="W436" s="24"/>
      <c r="X436" s="18"/>
      <c r="Y436" s="18"/>
      <c r="Z436" s="18"/>
      <c r="AA436" s="18"/>
      <c r="AB436" s="18"/>
      <c r="AC436" s="18"/>
      <c r="AD436" s="18"/>
      <c r="AE436" s="19"/>
      <c r="AF436" s="20"/>
      <c r="AG436" s="21"/>
      <c r="AH436" s="21"/>
      <c r="AI436" s="19"/>
      <c r="AJ436" s="29"/>
      <c r="AK436" s="29"/>
      <c r="AL436" s="29"/>
    </row>
    <row r="437" spans="2:38" s="28" customFormat="1" x14ac:dyDescent="0.3">
      <c r="B437" s="24"/>
      <c r="C437" s="37"/>
      <c r="D437" s="37"/>
      <c r="E437" s="37"/>
      <c r="F437" s="35"/>
      <c r="G437" s="35"/>
      <c r="H437" s="35"/>
      <c r="I437" s="35"/>
      <c r="J437" s="35"/>
      <c r="K437" s="35"/>
      <c r="L437" s="35"/>
      <c r="M437" s="31"/>
      <c r="N437" s="32"/>
      <c r="O437" s="32"/>
      <c r="P437" s="32"/>
      <c r="Q437" s="32"/>
      <c r="R437" s="32"/>
      <c r="S437" s="32"/>
      <c r="T437" s="32"/>
      <c r="U437" s="29"/>
      <c r="V437" s="29"/>
      <c r="W437" s="24"/>
      <c r="X437" s="18"/>
      <c r="Y437" s="18"/>
      <c r="Z437" s="18"/>
      <c r="AA437" s="18"/>
      <c r="AB437" s="18"/>
      <c r="AC437" s="18"/>
      <c r="AD437" s="18"/>
      <c r="AE437" s="19"/>
      <c r="AF437" s="20"/>
      <c r="AG437" s="21"/>
      <c r="AH437" s="21"/>
      <c r="AI437" s="19"/>
      <c r="AJ437" s="29"/>
      <c r="AK437" s="29"/>
      <c r="AL437" s="29"/>
    </row>
    <row r="438" spans="2:38" s="28" customFormat="1" x14ac:dyDescent="0.3">
      <c r="B438" s="24"/>
      <c r="C438" s="37"/>
      <c r="D438" s="37"/>
      <c r="E438" s="37"/>
      <c r="F438" s="35"/>
      <c r="G438" s="35"/>
      <c r="H438" s="35"/>
      <c r="I438" s="35"/>
      <c r="J438" s="35"/>
      <c r="K438" s="35"/>
      <c r="L438" s="35"/>
      <c r="M438" s="31"/>
      <c r="N438" s="32"/>
      <c r="O438" s="32"/>
      <c r="P438" s="32"/>
      <c r="Q438" s="32"/>
      <c r="R438" s="32"/>
      <c r="S438" s="32"/>
      <c r="T438" s="32"/>
      <c r="U438" s="29"/>
      <c r="V438" s="29"/>
      <c r="W438" s="24"/>
      <c r="X438" s="18"/>
      <c r="Y438" s="18"/>
      <c r="Z438" s="18"/>
      <c r="AA438" s="18"/>
      <c r="AB438" s="18"/>
      <c r="AC438" s="18"/>
      <c r="AD438" s="18"/>
      <c r="AE438" s="19"/>
      <c r="AF438" s="20"/>
      <c r="AG438" s="21"/>
      <c r="AH438" s="21"/>
      <c r="AI438" s="19"/>
      <c r="AJ438" s="29"/>
      <c r="AK438" s="29"/>
      <c r="AL438" s="29"/>
    </row>
    <row r="439" spans="2:38" s="28" customFormat="1" x14ac:dyDescent="0.3">
      <c r="B439" s="24"/>
      <c r="C439" s="37"/>
      <c r="D439" s="37"/>
      <c r="E439" s="37"/>
      <c r="F439" s="35"/>
      <c r="G439" s="35"/>
      <c r="H439" s="35"/>
      <c r="I439" s="35"/>
      <c r="J439" s="35"/>
      <c r="K439" s="35"/>
      <c r="L439" s="35"/>
      <c r="M439" s="31"/>
      <c r="N439" s="32"/>
      <c r="O439" s="32"/>
      <c r="P439" s="32"/>
      <c r="Q439" s="32"/>
      <c r="R439" s="32"/>
      <c r="S439" s="32"/>
      <c r="T439" s="32"/>
      <c r="U439" s="29"/>
      <c r="V439" s="29"/>
      <c r="W439" s="24"/>
      <c r="X439" s="18"/>
      <c r="Y439" s="18"/>
      <c r="Z439" s="18"/>
      <c r="AA439" s="18"/>
      <c r="AB439" s="18"/>
      <c r="AC439" s="18"/>
      <c r="AD439" s="18"/>
      <c r="AE439" s="19"/>
      <c r="AF439" s="20"/>
      <c r="AG439" s="21"/>
      <c r="AH439" s="21"/>
      <c r="AI439" s="19"/>
      <c r="AJ439" s="29"/>
      <c r="AK439" s="29"/>
      <c r="AL439" s="29"/>
    </row>
    <row r="440" spans="2:38" s="28" customFormat="1" x14ac:dyDescent="0.3">
      <c r="B440" s="24"/>
      <c r="C440" s="37"/>
      <c r="D440" s="37"/>
      <c r="E440" s="37"/>
      <c r="F440" s="35"/>
      <c r="G440" s="35"/>
      <c r="H440" s="35"/>
      <c r="I440" s="35"/>
      <c r="J440" s="35"/>
      <c r="K440" s="35"/>
      <c r="L440" s="35"/>
      <c r="M440" s="31"/>
      <c r="N440" s="32"/>
      <c r="O440" s="32"/>
      <c r="P440" s="32"/>
      <c r="Q440" s="32"/>
      <c r="R440" s="32"/>
      <c r="S440" s="32"/>
      <c r="T440" s="32"/>
      <c r="U440" s="29"/>
      <c r="V440" s="29"/>
      <c r="W440" s="24"/>
      <c r="X440" s="18"/>
      <c r="Y440" s="18"/>
      <c r="Z440" s="18"/>
      <c r="AA440" s="18"/>
      <c r="AB440" s="18"/>
      <c r="AC440" s="18"/>
      <c r="AD440" s="18"/>
      <c r="AE440" s="19"/>
      <c r="AF440" s="20"/>
      <c r="AG440" s="21"/>
      <c r="AH440" s="21"/>
      <c r="AI440" s="19"/>
      <c r="AJ440" s="29"/>
      <c r="AK440" s="29"/>
      <c r="AL440" s="29"/>
    </row>
    <row r="441" spans="2:38" s="28" customFormat="1" x14ac:dyDescent="0.3">
      <c r="B441" s="24"/>
      <c r="C441" s="37"/>
      <c r="D441" s="37"/>
      <c r="E441" s="37"/>
      <c r="F441" s="35"/>
      <c r="G441" s="35"/>
      <c r="H441" s="35"/>
      <c r="I441" s="35"/>
      <c r="J441" s="35"/>
      <c r="K441" s="35"/>
      <c r="L441" s="35"/>
      <c r="M441" s="31"/>
      <c r="N441" s="32"/>
      <c r="O441" s="32"/>
      <c r="P441" s="32"/>
      <c r="Q441" s="32"/>
      <c r="R441" s="32"/>
      <c r="S441" s="32"/>
      <c r="T441" s="32"/>
      <c r="U441" s="29"/>
      <c r="V441" s="29"/>
      <c r="W441" s="24"/>
      <c r="X441" s="18"/>
      <c r="Y441" s="18"/>
      <c r="Z441" s="18"/>
      <c r="AA441" s="18"/>
      <c r="AB441" s="18"/>
      <c r="AC441" s="18"/>
      <c r="AD441" s="18"/>
      <c r="AE441" s="19"/>
      <c r="AF441" s="20"/>
      <c r="AG441" s="21"/>
      <c r="AH441" s="21"/>
      <c r="AI441" s="19"/>
      <c r="AJ441" s="29"/>
      <c r="AK441" s="29"/>
      <c r="AL441" s="29"/>
    </row>
    <row r="442" spans="2:38" s="28" customFormat="1" x14ac:dyDescent="0.3">
      <c r="B442" s="24"/>
      <c r="C442" s="37"/>
      <c r="D442" s="37"/>
      <c r="E442" s="37"/>
      <c r="F442" s="35"/>
      <c r="G442" s="35"/>
      <c r="H442" s="35"/>
      <c r="I442" s="35"/>
      <c r="J442" s="35"/>
      <c r="K442" s="35"/>
      <c r="L442" s="35"/>
      <c r="M442" s="31"/>
      <c r="N442" s="32"/>
      <c r="O442" s="32"/>
      <c r="P442" s="32"/>
      <c r="Q442" s="32"/>
      <c r="R442" s="32"/>
      <c r="S442" s="32"/>
      <c r="T442" s="32"/>
      <c r="U442" s="29"/>
      <c r="V442" s="29"/>
      <c r="W442" s="24"/>
      <c r="X442" s="18"/>
      <c r="Y442" s="18"/>
      <c r="Z442" s="18"/>
      <c r="AA442" s="18"/>
      <c r="AB442" s="18"/>
      <c r="AC442" s="18"/>
      <c r="AD442" s="18"/>
      <c r="AE442" s="19"/>
      <c r="AF442" s="20"/>
      <c r="AG442" s="21"/>
      <c r="AH442" s="21"/>
      <c r="AI442" s="19"/>
      <c r="AJ442" s="29"/>
      <c r="AK442" s="29"/>
      <c r="AL442" s="29"/>
    </row>
    <row r="443" spans="2:38" s="28" customFormat="1" x14ac:dyDescent="0.3">
      <c r="B443" s="24"/>
      <c r="C443" s="37"/>
      <c r="D443" s="37"/>
      <c r="E443" s="37"/>
      <c r="F443" s="35"/>
      <c r="G443" s="35"/>
      <c r="H443" s="35"/>
      <c r="I443" s="35"/>
      <c r="J443" s="35"/>
      <c r="K443" s="35"/>
      <c r="L443" s="35"/>
      <c r="M443" s="31"/>
      <c r="N443" s="32"/>
      <c r="O443" s="32"/>
      <c r="P443" s="32"/>
      <c r="Q443" s="32"/>
      <c r="R443" s="32"/>
      <c r="S443" s="32"/>
      <c r="T443" s="32"/>
      <c r="U443" s="29"/>
      <c r="V443" s="29"/>
      <c r="W443" s="24"/>
      <c r="X443" s="18"/>
      <c r="Y443" s="18"/>
      <c r="Z443" s="18"/>
      <c r="AA443" s="18"/>
      <c r="AB443" s="18"/>
      <c r="AC443" s="18"/>
      <c r="AD443" s="18"/>
      <c r="AE443" s="19"/>
      <c r="AF443" s="20"/>
      <c r="AG443" s="21"/>
      <c r="AH443" s="21"/>
      <c r="AI443" s="19"/>
      <c r="AJ443" s="29"/>
      <c r="AK443" s="29"/>
      <c r="AL443" s="29"/>
    </row>
    <row r="444" spans="2:38" s="28" customFormat="1" x14ac:dyDescent="0.3">
      <c r="B444" s="24"/>
      <c r="C444" s="37"/>
      <c r="D444" s="37"/>
      <c r="E444" s="37"/>
      <c r="F444" s="35"/>
      <c r="G444" s="35"/>
      <c r="H444" s="35"/>
      <c r="I444" s="35"/>
      <c r="J444" s="35"/>
      <c r="K444" s="35"/>
      <c r="L444" s="35"/>
      <c r="M444" s="31"/>
      <c r="N444" s="32"/>
      <c r="O444" s="32"/>
      <c r="P444" s="32"/>
      <c r="Q444" s="32"/>
      <c r="R444" s="32"/>
      <c r="S444" s="32"/>
      <c r="T444" s="32"/>
      <c r="U444" s="29"/>
      <c r="V444" s="29"/>
      <c r="W444" s="24"/>
      <c r="X444" s="18"/>
      <c r="Y444" s="18"/>
      <c r="Z444" s="18"/>
      <c r="AA444" s="18"/>
      <c r="AB444" s="18"/>
      <c r="AC444" s="18"/>
      <c r="AD444" s="18"/>
      <c r="AE444" s="19"/>
      <c r="AF444" s="20"/>
      <c r="AG444" s="21"/>
      <c r="AH444" s="21"/>
      <c r="AI444" s="19"/>
      <c r="AJ444" s="29"/>
      <c r="AK444" s="29"/>
      <c r="AL444" s="29"/>
    </row>
    <row r="445" spans="2:38" s="28" customFormat="1" x14ac:dyDescent="0.3">
      <c r="B445" s="24"/>
      <c r="C445" s="37"/>
      <c r="D445" s="37"/>
      <c r="E445" s="37"/>
      <c r="F445" s="35"/>
      <c r="G445" s="35"/>
      <c r="H445" s="35"/>
      <c r="I445" s="35"/>
      <c r="J445" s="35"/>
      <c r="K445" s="35"/>
      <c r="L445" s="35"/>
      <c r="M445" s="31"/>
      <c r="N445" s="32"/>
      <c r="O445" s="32"/>
      <c r="P445" s="32"/>
      <c r="Q445" s="32"/>
      <c r="R445" s="32"/>
      <c r="S445" s="32"/>
      <c r="T445" s="32"/>
      <c r="U445" s="29"/>
      <c r="V445" s="29"/>
      <c r="W445" s="24"/>
      <c r="X445" s="18"/>
      <c r="Y445" s="18"/>
      <c r="Z445" s="18"/>
      <c r="AA445" s="18"/>
      <c r="AB445" s="18"/>
      <c r="AC445" s="18"/>
      <c r="AD445" s="18"/>
      <c r="AE445" s="19"/>
      <c r="AF445" s="20"/>
      <c r="AG445" s="21"/>
      <c r="AH445" s="21"/>
      <c r="AI445" s="19"/>
      <c r="AJ445" s="29"/>
      <c r="AK445" s="29"/>
      <c r="AL445" s="29"/>
    </row>
    <row r="446" spans="2:38" s="28" customFormat="1" x14ac:dyDescent="0.3">
      <c r="B446" s="24"/>
      <c r="C446" s="37"/>
      <c r="D446" s="37"/>
      <c r="E446" s="37"/>
      <c r="F446" s="35"/>
      <c r="G446" s="35"/>
      <c r="H446" s="35"/>
      <c r="I446" s="35"/>
      <c r="J446" s="35"/>
      <c r="K446" s="35"/>
      <c r="L446" s="35"/>
      <c r="M446" s="31"/>
      <c r="N446" s="32"/>
      <c r="O446" s="32"/>
      <c r="P446" s="32"/>
      <c r="Q446" s="32"/>
      <c r="R446" s="32"/>
      <c r="S446" s="32"/>
      <c r="T446" s="32"/>
      <c r="U446" s="29"/>
      <c r="V446" s="29"/>
      <c r="W446" s="24"/>
      <c r="X446" s="18"/>
      <c r="Y446" s="18"/>
      <c r="Z446" s="18"/>
      <c r="AA446" s="18"/>
      <c r="AB446" s="18"/>
      <c r="AC446" s="18"/>
      <c r="AD446" s="18"/>
      <c r="AE446" s="19"/>
      <c r="AF446" s="20"/>
      <c r="AG446" s="21"/>
      <c r="AH446" s="21"/>
      <c r="AI446" s="19"/>
      <c r="AJ446" s="29"/>
      <c r="AK446" s="29"/>
      <c r="AL446" s="29"/>
    </row>
    <row r="447" spans="2:38" s="28" customFormat="1" x14ac:dyDescent="0.3">
      <c r="B447" s="24"/>
      <c r="C447" s="37"/>
      <c r="D447" s="37"/>
      <c r="E447" s="37"/>
      <c r="F447" s="35"/>
      <c r="G447" s="35"/>
      <c r="H447" s="35"/>
      <c r="I447" s="35"/>
      <c r="J447" s="35"/>
      <c r="K447" s="35"/>
      <c r="L447" s="35"/>
      <c r="M447" s="31"/>
      <c r="N447" s="32"/>
      <c r="O447" s="32"/>
      <c r="P447" s="32"/>
      <c r="Q447" s="32"/>
      <c r="R447" s="32"/>
      <c r="S447" s="32"/>
      <c r="T447" s="32"/>
      <c r="U447" s="29"/>
      <c r="V447" s="29"/>
      <c r="W447" s="24"/>
      <c r="X447" s="18"/>
      <c r="Y447" s="18"/>
      <c r="Z447" s="18"/>
      <c r="AA447" s="18"/>
      <c r="AB447" s="18"/>
      <c r="AC447" s="18"/>
      <c r="AD447" s="18"/>
      <c r="AE447" s="19"/>
      <c r="AF447" s="20"/>
      <c r="AG447" s="21"/>
      <c r="AH447" s="21"/>
      <c r="AI447" s="19"/>
      <c r="AJ447" s="29"/>
      <c r="AK447" s="29"/>
      <c r="AL447" s="29"/>
    </row>
    <row r="448" spans="2:38" s="28" customFormat="1" x14ac:dyDescent="0.3">
      <c r="B448" s="24"/>
      <c r="C448" s="37"/>
      <c r="D448" s="37"/>
      <c r="E448" s="37"/>
      <c r="F448" s="35"/>
      <c r="G448" s="35"/>
      <c r="H448" s="35"/>
      <c r="I448" s="35"/>
      <c r="J448" s="35"/>
      <c r="K448" s="35"/>
      <c r="L448" s="35"/>
      <c r="M448" s="31"/>
      <c r="N448" s="32"/>
      <c r="O448" s="32"/>
      <c r="P448" s="32"/>
      <c r="Q448" s="32"/>
      <c r="R448" s="32"/>
      <c r="S448" s="32"/>
      <c r="T448" s="32"/>
      <c r="U448" s="29"/>
      <c r="V448" s="29"/>
      <c r="W448" s="24"/>
      <c r="X448" s="18"/>
      <c r="Y448" s="18"/>
      <c r="Z448" s="18"/>
      <c r="AA448" s="18"/>
      <c r="AB448" s="18"/>
      <c r="AC448" s="18"/>
      <c r="AD448" s="18"/>
      <c r="AE448" s="19"/>
      <c r="AF448" s="20"/>
      <c r="AG448" s="21"/>
      <c r="AH448" s="21"/>
      <c r="AI448" s="19"/>
      <c r="AJ448" s="29"/>
      <c r="AK448" s="29"/>
      <c r="AL448" s="29"/>
    </row>
    <row r="449" spans="2:38" s="28" customFormat="1" x14ac:dyDescent="0.3">
      <c r="B449" s="24"/>
      <c r="C449" s="37"/>
      <c r="D449" s="37"/>
      <c r="E449" s="37"/>
      <c r="F449" s="35"/>
      <c r="G449" s="35"/>
      <c r="H449" s="35"/>
      <c r="I449" s="35"/>
      <c r="J449" s="35"/>
      <c r="K449" s="35"/>
      <c r="L449" s="35"/>
      <c r="M449" s="31"/>
      <c r="N449" s="32"/>
      <c r="O449" s="32"/>
      <c r="P449" s="32"/>
      <c r="Q449" s="32"/>
      <c r="R449" s="32"/>
      <c r="S449" s="32"/>
      <c r="T449" s="32"/>
      <c r="U449" s="29"/>
      <c r="V449" s="29"/>
      <c r="W449" s="24"/>
      <c r="X449" s="18"/>
      <c r="Y449" s="18"/>
      <c r="Z449" s="18"/>
      <c r="AA449" s="18"/>
      <c r="AB449" s="18"/>
      <c r="AC449" s="18"/>
      <c r="AD449" s="18"/>
      <c r="AE449" s="19"/>
      <c r="AF449" s="20"/>
      <c r="AG449" s="21"/>
      <c r="AH449" s="21"/>
      <c r="AI449" s="19"/>
      <c r="AJ449" s="29"/>
      <c r="AK449" s="29"/>
      <c r="AL449" s="29"/>
    </row>
    <row r="450" spans="2:38" s="28" customFormat="1" x14ac:dyDescent="0.3">
      <c r="B450" s="24"/>
      <c r="C450" s="37"/>
      <c r="D450" s="37"/>
      <c r="E450" s="37"/>
      <c r="F450" s="35"/>
      <c r="G450" s="35"/>
      <c r="H450" s="35"/>
      <c r="I450" s="35"/>
      <c r="J450" s="35"/>
      <c r="K450" s="35"/>
      <c r="L450" s="35"/>
      <c r="M450" s="31"/>
      <c r="N450" s="32"/>
      <c r="O450" s="32"/>
      <c r="P450" s="32"/>
      <c r="Q450" s="32"/>
      <c r="R450" s="32"/>
      <c r="S450" s="32"/>
      <c r="T450" s="32"/>
      <c r="U450" s="29"/>
      <c r="V450" s="29"/>
      <c r="W450" s="24"/>
      <c r="X450" s="18"/>
      <c r="Y450" s="18"/>
      <c r="Z450" s="18"/>
      <c r="AA450" s="18"/>
      <c r="AB450" s="18"/>
      <c r="AC450" s="18"/>
      <c r="AD450" s="18"/>
      <c r="AE450" s="19"/>
      <c r="AF450" s="20"/>
      <c r="AG450" s="21"/>
      <c r="AH450" s="21"/>
      <c r="AI450" s="19"/>
      <c r="AJ450" s="29"/>
      <c r="AK450" s="29"/>
      <c r="AL450" s="29"/>
    </row>
    <row r="451" spans="2:38" s="28" customFormat="1" x14ac:dyDescent="0.3">
      <c r="B451" s="24"/>
      <c r="C451" s="37"/>
      <c r="D451" s="37"/>
      <c r="E451" s="37"/>
      <c r="F451" s="35"/>
      <c r="G451" s="35"/>
      <c r="H451" s="35"/>
      <c r="I451" s="35"/>
      <c r="J451" s="35"/>
      <c r="K451" s="35"/>
      <c r="L451" s="35"/>
      <c r="M451" s="31"/>
      <c r="N451" s="32"/>
      <c r="O451" s="32"/>
      <c r="P451" s="32"/>
      <c r="Q451" s="32"/>
      <c r="R451" s="32"/>
      <c r="S451" s="32"/>
      <c r="T451" s="32"/>
      <c r="U451" s="29"/>
      <c r="V451" s="29"/>
      <c r="W451" s="24"/>
      <c r="X451" s="18"/>
      <c r="Y451" s="18"/>
      <c r="Z451" s="18"/>
      <c r="AA451" s="18"/>
      <c r="AB451" s="18"/>
      <c r="AC451" s="18"/>
      <c r="AD451" s="18"/>
      <c r="AE451" s="19"/>
      <c r="AF451" s="20"/>
      <c r="AG451" s="21"/>
      <c r="AH451" s="21"/>
      <c r="AI451" s="19"/>
      <c r="AJ451" s="29"/>
      <c r="AK451" s="29"/>
      <c r="AL451" s="29"/>
    </row>
    <row r="452" spans="2:38" s="28" customFormat="1" x14ac:dyDescent="0.3">
      <c r="B452" s="24"/>
      <c r="C452" s="37"/>
      <c r="D452" s="37"/>
      <c r="E452" s="37"/>
      <c r="F452" s="35"/>
      <c r="G452" s="35"/>
      <c r="H452" s="35"/>
      <c r="I452" s="35"/>
      <c r="J452" s="35"/>
      <c r="K452" s="35"/>
      <c r="L452" s="35"/>
      <c r="M452" s="31"/>
      <c r="N452" s="32"/>
      <c r="O452" s="32"/>
      <c r="P452" s="32"/>
      <c r="Q452" s="32"/>
      <c r="R452" s="32"/>
      <c r="S452" s="32"/>
      <c r="T452" s="32"/>
      <c r="U452" s="29"/>
      <c r="V452" s="29"/>
      <c r="W452" s="24"/>
      <c r="X452" s="18"/>
      <c r="Y452" s="18"/>
      <c r="Z452" s="18"/>
      <c r="AA452" s="18"/>
      <c r="AB452" s="18"/>
      <c r="AC452" s="18"/>
      <c r="AD452" s="18"/>
      <c r="AE452" s="19"/>
      <c r="AF452" s="20"/>
      <c r="AG452" s="21"/>
      <c r="AH452" s="21"/>
      <c r="AI452" s="19"/>
      <c r="AJ452" s="29"/>
      <c r="AK452" s="29"/>
      <c r="AL452" s="29"/>
    </row>
    <row r="453" spans="2:38" s="28" customFormat="1" x14ac:dyDescent="0.3">
      <c r="B453" s="24"/>
      <c r="C453" s="37"/>
      <c r="D453" s="37"/>
      <c r="E453" s="37"/>
      <c r="F453" s="35"/>
      <c r="G453" s="35"/>
      <c r="H453" s="35"/>
      <c r="I453" s="35"/>
      <c r="J453" s="35"/>
      <c r="K453" s="35"/>
      <c r="L453" s="35"/>
      <c r="M453" s="31"/>
      <c r="N453" s="32"/>
      <c r="O453" s="32"/>
      <c r="P453" s="32"/>
      <c r="Q453" s="32"/>
      <c r="R453" s="32"/>
      <c r="S453" s="32"/>
      <c r="T453" s="32"/>
      <c r="U453" s="29"/>
      <c r="V453" s="29"/>
      <c r="W453" s="24"/>
      <c r="X453" s="18"/>
      <c r="Y453" s="18"/>
      <c r="Z453" s="18"/>
      <c r="AA453" s="18"/>
      <c r="AB453" s="18"/>
      <c r="AC453" s="18"/>
      <c r="AD453" s="18"/>
      <c r="AE453" s="19"/>
      <c r="AF453" s="20"/>
      <c r="AG453" s="21"/>
      <c r="AH453" s="21"/>
      <c r="AI453" s="19"/>
      <c r="AJ453" s="29"/>
      <c r="AK453" s="29"/>
      <c r="AL453" s="29"/>
    </row>
    <row r="454" spans="2:38" s="28" customFormat="1" x14ac:dyDescent="0.3">
      <c r="B454" s="24"/>
      <c r="C454" s="37"/>
      <c r="D454" s="37"/>
      <c r="E454" s="37"/>
      <c r="F454" s="35"/>
      <c r="G454" s="35"/>
      <c r="H454" s="35"/>
      <c r="I454" s="35"/>
      <c r="J454" s="35"/>
      <c r="K454" s="35"/>
      <c r="L454" s="35"/>
      <c r="M454" s="31"/>
      <c r="N454" s="32"/>
      <c r="O454" s="32"/>
      <c r="P454" s="32"/>
      <c r="Q454" s="32"/>
      <c r="R454" s="32"/>
      <c r="S454" s="32"/>
      <c r="T454" s="32"/>
      <c r="U454" s="29"/>
      <c r="V454" s="29"/>
      <c r="W454" s="24"/>
      <c r="X454" s="18"/>
      <c r="Y454" s="18"/>
      <c r="Z454" s="18"/>
      <c r="AA454" s="18"/>
      <c r="AB454" s="18"/>
      <c r="AC454" s="18"/>
      <c r="AD454" s="18"/>
      <c r="AE454" s="19"/>
      <c r="AF454" s="20"/>
      <c r="AG454" s="21"/>
      <c r="AH454" s="21"/>
      <c r="AI454" s="19"/>
      <c r="AJ454" s="29"/>
      <c r="AK454" s="29"/>
      <c r="AL454" s="29"/>
    </row>
    <row r="455" spans="2:38" s="28" customFormat="1" x14ac:dyDescent="0.3">
      <c r="B455" s="24"/>
      <c r="C455" s="37"/>
      <c r="D455" s="37"/>
      <c r="E455" s="37"/>
      <c r="F455" s="35"/>
      <c r="G455" s="35"/>
      <c r="H455" s="35"/>
      <c r="I455" s="35"/>
      <c r="J455" s="35"/>
      <c r="K455" s="35"/>
      <c r="L455" s="35"/>
      <c r="M455" s="31"/>
      <c r="N455" s="32"/>
      <c r="O455" s="32"/>
      <c r="P455" s="32"/>
      <c r="Q455" s="32"/>
      <c r="R455" s="32"/>
      <c r="S455" s="32"/>
      <c r="T455" s="32"/>
      <c r="U455" s="29"/>
      <c r="V455" s="29"/>
      <c r="W455" s="24"/>
      <c r="X455" s="18"/>
      <c r="Y455" s="18"/>
      <c r="Z455" s="18"/>
      <c r="AA455" s="18"/>
      <c r="AB455" s="18"/>
      <c r="AC455" s="18"/>
      <c r="AD455" s="18"/>
      <c r="AE455" s="19"/>
      <c r="AF455" s="20"/>
      <c r="AG455" s="21"/>
      <c r="AH455" s="21"/>
      <c r="AI455" s="19"/>
      <c r="AJ455" s="29"/>
      <c r="AK455" s="29"/>
      <c r="AL455" s="29"/>
    </row>
    <row r="456" spans="2:38" s="28" customFormat="1" x14ac:dyDescent="0.3">
      <c r="B456" s="24"/>
      <c r="C456" s="37"/>
      <c r="D456" s="37"/>
      <c r="E456" s="37"/>
      <c r="F456" s="35"/>
      <c r="G456" s="35"/>
      <c r="H456" s="35"/>
      <c r="I456" s="35"/>
      <c r="J456" s="35"/>
      <c r="K456" s="35"/>
      <c r="L456" s="35"/>
      <c r="M456" s="31"/>
      <c r="N456" s="32"/>
      <c r="O456" s="32"/>
      <c r="P456" s="32"/>
      <c r="Q456" s="32"/>
      <c r="R456" s="32"/>
      <c r="S456" s="32"/>
      <c r="T456" s="32"/>
      <c r="U456" s="29"/>
      <c r="V456" s="29"/>
      <c r="W456" s="24"/>
      <c r="X456" s="18"/>
      <c r="Y456" s="18"/>
      <c r="Z456" s="18"/>
      <c r="AA456" s="18"/>
      <c r="AB456" s="18"/>
      <c r="AC456" s="18"/>
      <c r="AD456" s="18"/>
      <c r="AE456" s="19"/>
      <c r="AF456" s="20"/>
      <c r="AG456" s="21"/>
      <c r="AH456" s="21"/>
      <c r="AI456" s="19"/>
      <c r="AJ456" s="29"/>
      <c r="AK456" s="29"/>
      <c r="AL456" s="29"/>
    </row>
    <row r="457" spans="2:38" s="28" customFormat="1" x14ac:dyDescent="0.3">
      <c r="B457" s="24"/>
      <c r="C457" s="37"/>
      <c r="D457" s="37"/>
      <c r="E457" s="37"/>
      <c r="F457" s="35"/>
      <c r="G457" s="35"/>
      <c r="H457" s="35"/>
      <c r="I457" s="35"/>
      <c r="J457" s="35"/>
      <c r="K457" s="35"/>
      <c r="L457" s="35"/>
      <c r="M457" s="31"/>
      <c r="N457" s="32"/>
      <c r="O457" s="32"/>
      <c r="P457" s="32"/>
      <c r="Q457" s="32"/>
      <c r="R457" s="32"/>
      <c r="S457" s="32"/>
      <c r="T457" s="32"/>
      <c r="U457" s="29"/>
      <c r="V457" s="29"/>
      <c r="W457" s="24"/>
      <c r="X457" s="18"/>
      <c r="Y457" s="18"/>
      <c r="Z457" s="18"/>
      <c r="AA457" s="18"/>
      <c r="AB457" s="18"/>
      <c r="AC457" s="18"/>
      <c r="AD457" s="18"/>
      <c r="AE457" s="19"/>
      <c r="AF457" s="20"/>
      <c r="AG457" s="21"/>
      <c r="AH457" s="21"/>
      <c r="AI457" s="19"/>
      <c r="AJ457" s="29"/>
      <c r="AK457" s="29"/>
      <c r="AL457" s="29"/>
    </row>
    <row r="458" spans="2:38" s="28" customFormat="1" x14ac:dyDescent="0.3">
      <c r="B458" s="24"/>
      <c r="C458" s="37"/>
      <c r="D458" s="37"/>
      <c r="E458" s="37"/>
      <c r="F458" s="35"/>
      <c r="G458" s="35"/>
      <c r="H458" s="35"/>
      <c r="I458" s="35"/>
      <c r="J458" s="35"/>
      <c r="K458" s="35"/>
      <c r="L458" s="35"/>
      <c r="M458" s="31"/>
      <c r="N458" s="32"/>
      <c r="O458" s="32"/>
      <c r="P458" s="32"/>
      <c r="Q458" s="32"/>
      <c r="R458" s="32"/>
      <c r="S458" s="32"/>
      <c r="T458" s="32"/>
      <c r="U458" s="29"/>
      <c r="V458" s="29"/>
      <c r="W458" s="24"/>
      <c r="X458" s="18"/>
      <c r="Y458" s="18"/>
      <c r="Z458" s="18"/>
      <c r="AA458" s="18"/>
      <c r="AB458" s="18"/>
      <c r="AC458" s="18"/>
      <c r="AD458" s="18"/>
      <c r="AE458" s="19"/>
      <c r="AF458" s="20"/>
      <c r="AG458" s="21"/>
      <c r="AH458" s="21"/>
      <c r="AI458" s="19"/>
      <c r="AJ458" s="29"/>
      <c r="AK458" s="29"/>
      <c r="AL458" s="29"/>
    </row>
    <row r="459" spans="2:38" s="28" customFormat="1" x14ac:dyDescent="0.3">
      <c r="B459" s="24"/>
      <c r="C459" s="37"/>
      <c r="D459" s="37"/>
      <c r="E459" s="37"/>
      <c r="F459" s="35"/>
      <c r="G459" s="35"/>
      <c r="H459" s="35"/>
      <c r="I459" s="35"/>
      <c r="J459" s="35"/>
      <c r="K459" s="35"/>
      <c r="L459" s="35"/>
      <c r="M459" s="31"/>
      <c r="N459" s="32"/>
      <c r="O459" s="32"/>
      <c r="P459" s="32"/>
      <c r="Q459" s="32"/>
      <c r="R459" s="32"/>
      <c r="S459" s="32"/>
      <c r="T459" s="32"/>
      <c r="U459" s="29"/>
      <c r="V459" s="29"/>
      <c r="W459" s="24"/>
      <c r="X459" s="18"/>
      <c r="Y459" s="18"/>
      <c r="Z459" s="18"/>
      <c r="AA459" s="18"/>
      <c r="AB459" s="18"/>
      <c r="AC459" s="18"/>
      <c r="AD459" s="18"/>
      <c r="AE459" s="19"/>
      <c r="AF459" s="20"/>
      <c r="AG459" s="21"/>
      <c r="AH459" s="21"/>
      <c r="AI459" s="19"/>
      <c r="AJ459" s="29"/>
      <c r="AK459" s="29"/>
      <c r="AL459" s="29"/>
    </row>
    <row r="460" spans="2:38" s="28" customFormat="1" x14ac:dyDescent="0.3">
      <c r="B460" s="24"/>
      <c r="C460" s="37"/>
      <c r="D460" s="37"/>
      <c r="E460" s="37"/>
      <c r="F460" s="35"/>
      <c r="G460" s="35"/>
      <c r="H460" s="35"/>
      <c r="I460" s="35"/>
      <c r="J460" s="35"/>
      <c r="K460" s="35"/>
      <c r="L460" s="35"/>
      <c r="M460" s="31"/>
      <c r="N460" s="32"/>
      <c r="O460" s="32"/>
      <c r="P460" s="32"/>
      <c r="Q460" s="32"/>
      <c r="R460" s="32"/>
      <c r="S460" s="32"/>
      <c r="T460" s="32"/>
      <c r="U460" s="29"/>
      <c r="V460" s="29"/>
      <c r="W460" s="24"/>
      <c r="X460" s="18"/>
      <c r="Y460" s="18"/>
      <c r="Z460" s="18"/>
      <c r="AA460" s="18"/>
      <c r="AB460" s="18"/>
      <c r="AC460" s="18"/>
      <c r="AD460" s="18"/>
      <c r="AE460" s="19"/>
      <c r="AF460" s="20"/>
      <c r="AG460" s="21"/>
      <c r="AH460" s="21"/>
      <c r="AI460" s="19"/>
      <c r="AJ460" s="29"/>
      <c r="AK460" s="29"/>
      <c r="AL460" s="29"/>
    </row>
    <row r="461" spans="2:38" s="28" customFormat="1" x14ac:dyDescent="0.3">
      <c r="B461" s="24"/>
      <c r="C461" s="37"/>
      <c r="D461" s="37"/>
      <c r="E461" s="37"/>
      <c r="F461" s="35"/>
      <c r="G461" s="35"/>
      <c r="H461" s="35"/>
      <c r="I461" s="35"/>
      <c r="J461" s="35"/>
      <c r="K461" s="35"/>
      <c r="L461" s="35"/>
      <c r="M461" s="31"/>
      <c r="N461" s="32"/>
      <c r="O461" s="32"/>
      <c r="P461" s="32"/>
      <c r="Q461" s="32"/>
      <c r="R461" s="32"/>
      <c r="S461" s="32"/>
      <c r="T461" s="32"/>
      <c r="U461" s="29"/>
      <c r="V461" s="29"/>
      <c r="W461" s="24"/>
      <c r="X461" s="18"/>
      <c r="Y461" s="18"/>
      <c r="Z461" s="18"/>
      <c r="AA461" s="18"/>
      <c r="AB461" s="18"/>
      <c r="AC461" s="18"/>
      <c r="AD461" s="18"/>
      <c r="AE461" s="19"/>
      <c r="AF461" s="20"/>
      <c r="AG461" s="21"/>
      <c r="AH461" s="21"/>
      <c r="AI461" s="19"/>
      <c r="AJ461" s="29"/>
      <c r="AK461" s="29"/>
      <c r="AL461" s="29"/>
    </row>
    <row r="462" spans="2:38" s="28" customFormat="1" x14ac:dyDescent="0.3">
      <c r="B462" s="24"/>
      <c r="C462" s="37"/>
      <c r="D462" s="37"/>
      <c r="E462" s="37"/>
      <c r="F462" s="35"/>
      <c r="G462" s="35"/>
      <c r="H462" s="35"/>
      <c r="I462" s="35"/>
      <c r="J462" s="35"/>
      <c r="K462" s="35"/>
      <c r="L462" s="35"/>
      <c r="M462" s="31"/>
      <c r="N462" s="32"/>
      <c r="O462" s="32"/>
      <c r="P462" s="32"/>
      <c r="Q462" s="32"/>
      <c r="R462" s="32"/>
      <c r="S462" s="32"/>
      <c r="T462" s="32"/>
      <c r="U462" s="29"/>
      <c r="V462" s="29"/>
      <c r="W462" s="24"/>
      <c r="X462" s="18"/>
      <c r="Y462" s="18"/>
      <c r="Z462" s="18"/>
      <c r="AA462" s="18"/>
      <c r="AB462" s="18"/>
      <c r="AC462" s="18"/>
      <c r="AD462" s="18"/>
      <c r="AE462" s="19"/>
      <c r="AF462" s="20"/>
      <c r="AG462" s="21"/>
      <c r="AH462" s="21"/>
      <c r="AI462" s="19"/>
      <c r="AJ462" s="29"/>
      <c r="AK462" s="29"/>
      <c r="AL462" s="29"/>
    </row>
    <row r="463" spans="2:38" s="28" customFormat="1" x14ac:dyDescent="0.3">
      <c r="B463" s="24"/>
      <c r="C463" s="37"/>
      <c r="D463" s="37"/>
      <c r="E463" s="37"/>
      <c r="F463" s="35"/>
      <c r="G463" s="35"/>
      <c r="H463" s="35"/>
      <c r="I463" s="35"/>
      <c r="J463" s="35"/>
      <c r="K463" s="35"/>
      <c r="L463" s="35"/>
      <c r="M463" s="31"/>
      <c r="N463" s="32"/>
      <c r="O463" s="32"/>
      <c r="P463" s="32"/>
      <c r="Q463" s="32"/>
      <c r="R463" s="32"/>
      <c r="S463" s="32"/>
      <c r="T463" s="32"/>
      <c r="U463" s="29"/>
      <c r="V463" s="29"/>
      <c r="W463" s="24"/>
      <c r="X463" s="18"/>
      <c r="Y463" s="18"/>
      <c r="Z463" s="18"/>
      <c r="AA463" s="18"/>
      <c r="AB463" s="18"/>
      <c r="AC463" s="18"/>
      <c r="AD463" s="18"/>
      <c r="AE463" s="19"/>
      <c r="AF463" s="20"/>
      <c r="AG463" s="21"/>
      <c r="AH463" s="21"/>
      <c r="AI463" s="19"/>
      <c r="AJ463" s="29"/>
      <c r="AK463" s="29"/>
      <c r="AL463" s="29"/>
    </row>
    <row r="464" spans="2:38" s="28" customFormat="1" x14ac:dyDescent="0.3">
      <c r="B464" s="24"/>
      <c r="C464" s="37"/>
      <c r="D464" s="37"/>
      <c r="E464" s="37"/>
      <c r="F464" s="35"/>
      <c r="G464" s="35"/>
      <c r="H464" s="35"/>
      <c r="I464" s="35"/>
      <c r="J464" s="35"/>
      <c r="K464" s="35"/>
      <c r="L464" s="35"/>
      <c r="M464" s="31"/>
      <c r="N464" s="32"/>
      <c r="O464" s="32"/>
      <c r="P464" s="32"/>
      <c r="Q464" s="32"/>
      <c r="R464" s="32"/>
      <c r="S464" s="32"/>
      <c r="T464" s="32"/>
      <c r="U464" s="29"/>
      <c r="V464" s="29"/>
      <c r="W464" s="24"/>
      <c r="X464" s="18"/>
      <c r="Y464" s="18"/>
      <c r="Z464" s="18"/>
      <c r="AA464" s="18"/>
      <c r="AB464" s="18"/>
      <c r="AC464" s="18"/>
      <c r="AD464" s="18"/>
      <c r="AE464" s="19"/>
      <c r="AF464" s="20"/>
      <c r="AG464" s="21"/>
      <c r="AH464" s="21"/>
      <c r="AI464" s="19"/>
      <c r="AJ464" s="29"/>
      <c r="AK464" s="29"/>
      <c r="AL464" s="29"/>
    </row>
    <row r="465" spans="2:38" s="28" customFormat="1" x14ac:dyDescent="0.3">
      <c r="B465" s="24"/>
      <c r="C465" s="37"/>
      <c r="D465" s="37"/>
      <c r="E465" s="37"/>
      <c r="F465" s="35"/>
      <c r="G465" s="35"/>
      <c r="H465" s="35"/>
      <c r="I465" s="35"/>
      <c r="J465" s="35"/>
      <c r="K465" s="35"/>
      <c r="L465" s="35"/>
      <c r="M465" s="31"/>
      <c r="N465" s="32"/>
      <c r="O465" s="32"/>
      <c r="P465" s="32"/>
      <c r="Q465" s="32"/>
      <c r="R465" s="32"/>
      <c r="S465" s="32"/>
      <c r="T465" s="32"/>
      <c r="U465" s="29"/>
      <c r="V465" s="29"/>
      <c r="W465" s="24"/>
      <c r="X465" s="18"/>
      <c r="Y465" s="18"/>
      <c r="Z465" s="18"/>
      <c r="AA465" s="18"/>
      <c r="AB465" s="18"/>
      <c r="AC465" s="18"/>
      <c r="AD465" s="18"/>
      <c r="AE465" s="19"/>
      <c r="AF465" s="20"/>
      <c r="AG465" s="21"/>
      <c r="AH465" s="21"/>
      <c r="AI465" s="19"/>
      <c r="AJ465" s="29"/>
      <c r="AK465" s="29"/>
      <c r="AL465" s="29"/>
    </row>
    <row r="466" spans="2:38" s="28" customFormat="1" x14ac:dyDescent="0.3">
      <c r="B466" s="24"/>
      <c r="C466" s="37"/>
      <c r="D466" s="37"/>
      <c r="E466" s="37"/>
      <c r="F466" s="35"/>
      <c r="G466" s="35"/>
      <c r="H466" s="35"/>
      <c r="I466" s="35"/>
      <c r="J466" s="35"/>
      <c r="K466" s="35"/>
      <c r="L466" s="35"/>
      <c r="M466" s="31"/>
      <c r="N466" s="32"/>
      <c r="O466" s="32"/>
      <c r="P466" s="32"/>
      <c r="Q466" s="32"/>
      <c r="R466" s="32"/>
      <c r="S466" s="32"/>
      <c r="T466" s="32"/>
      <c r="U466" s="29"/>
      <c r="V466" s="29"/>
      <c r="W466" s="24"/>
      <c r="X466" s="18"/>
      <c r="Y466" s="18"/>
      <c r="Z466" s="18"/>
      <c r="AA466" s="18"/>
      <c r="AB466" s="18"/>
      <c r="AC466" s="18"/>
      <c r="AD466" s="18"/>
      <c r="AE466" s="19"/>
      <c r="AF466" s="20"/>
      <c r="AG466" s="21"/>
      <c r="AH466" s="21"/>
      <c r="AI466" s="19"/>
      <c r="AJ466" s="29"/>
      <c r="AK466" s="29"/>
      <c r="AL466" s="29"/>
    </row>
    <row r="467" spans="2:38" s="28" customFormat="1" x14ac:dyDescent="0.3">
      <c r="B467" s="24"/>
      <c r="C467" s="37"/>
      <c r="D467" s="37"/>
      <c r="E467" s="37"/>
      <c r="F467" s="35"/>
      <c r="G467" s="35"/>
      <c r="H467" s="35"/>
      <c r="I467" s="35"/>
      <c r="J467" s="35"/>
      <c r="K467" s="35"/>
      <c r="L467" s="35"/>
      <c r="M467" s="31"/>
      <c r="N467" s="32"/>
      <c r="O467" s="32"/>
      <c r="P467" s="32"/>
      <c r="Q467" s="32"/>
      <c r="R467" s="32"/>
      <c r="S467" s="32"/>
      <c r="T467" s="32"/>
      <c r="U467" s="29"/>
      <c r="V467" s="29"/>
      <c r="W467" s="24"/>
      <c r="X467" s="18"/>
      <c r="Y467" s="18"/>
      <c r="Z467" s="18"/>
      <c r="AA467" s="18"/>
      <c r="AB467" s="18"/>
      <c r="AC467" s="18"/>
      <c r="AD467" s="18"/>
      <c r="AE467" s="19"/>
      <c r="AF467" s="20"/>
      <c r="AG467" s="21"/>
      <c r="AH467" s="21"/>
      <c r="AI467" s="19"/>
      <c r="AJ467" s="29"/>
      <c r="AK467" s="29"/>
      <c r="AL467" s="29"/>
    </row>
    <row r="468" spans="2:38" s="28" customFormat="1" x14ac:dyDescent="0.3">
      <c r="B468" s="24"/>
      <c r="C468" s="37"/>
      <c r="D468" s="37"/>
      <c r="E468" s="37"/>
      <c r="F468" s="35"/>
      <c r="G468" s="35"/>
      <c r="H468" s="35"/>
      <c r="I468" s="35"/>
      <c r="J468" s="35"/>
      <c r="K468" s="35"/>
      <c r="L468" s="35"/>
      <c r="M468" s="31"/>
      <c r="N468" s="32"/>
      <c r="O468" s="32"/>
      <c r="P468" s="32"/>
      <c r="Q468" s="32"/>
      <c r="R468" s="32"/>
      <c r="S468" s="32"/>
      <c r="T468" s="32"/>
      <c r="U468" s="29"/>
      <c r="V468" s="29"/>
      <c r="W468" s="24"/>
      <c r="X468" s="18"/>
      <c r="Y468" s="18"/>
      <c r="Z468" s="18"/>
      <c r="AA468" s="18"/>
      <c r="AB468" s="18"/>
      <c r="AC468" s="18"/>
      <c r="AD468" s="18"/>
      <c r="AE468" s="19"/>
      <c r="AF468" s="20"/>
      <c r="AG468" s="21"/>
      <c r="AH468" s="21"/>
      <c r="AI468" s="19"/>
      <c r="AJ468" s="29"/>
      <c r="AK468" s="29"/>
      <c r="AL468" s="29"/>
    </row>
    <row r="469" spans="2:38" s="28" customFormat="1" x14ac:dyDescent="0.3">
      <c r="B469" s="24"/>
      <c r="C469" s="37"/>
      <c r="D469" s="37"/>
      <c r="E469" s="37"/>
      <c r="F469" s="35"/>
      <c r="G469" s="35"/>
      <c r="H469" s="35"/>
      <c r="I469" s="35"/>
      <c r="J469" s="35"/>
      <c r="K469" s="35"/>
      <c r="L469" s="35"/>
      <c r="M469" s="31"/>
      <c r="N469" s="32"/>
      <c r="O469" s="32"/>
      <c r="P469" s="32"/>
      <c r="Q469" s="32"/>
      <c r="R469" s="32"/>
      <c r="S469" s="32"/>
      <c r="T469" s="32"/>
      <c r="U469" s="29"/>
      <c r="V469" s="29"/>
      <c r="W469" s="24"/>
      <c r="X469" s="18"/>
      <c r="Y469" s="18"/>
      <c r="Z469" s="18"/>
      <c r="AA469" s="18"/>
      <c r="AB469" s="18"/>
      <c r="AC469" s="18"/>
      <c r="AD469" s="18"/>
      <c r="AE469" s="19"/>
      <c r="AF469" s="20"/>
      <c r="AG469" s="21"/>
      <c r="AH469" s="21"/>
      <c r="AI469" s="19"/>
      <c r="AJ469" s="29"/>
      <c r="AK469" s="29"/>
      <c r="AL469" s="29"/>
    </row>
    <row r="470" spans="2:38" s="28" customFormat="1" x14ac:dyDescent="0.3">
      <c r="B470" s="24"/>
      <c r="C470" s="37"/>
      <c r="D470" s="37"/>
      <c r="E470" s="37"/>
      <c r="F470" s="35"/>
      <c r="G470" s="35"/>
      <c r="H470" s="35"/>
      <c r="I470" s="35"/>
      <c r="J470" s="35"/>
      <c r="K470" s="35"/>
      <c r="L470" s="35"/>
      <c r="M470" s="31"/>
      <c r="N470" s="32"/>
      <c r="O470" s="32"/>
      <c r="P470" s="32"/>
      <c r="Q470" s="32"/>
      <c r="R470" s="32"/>
      <c r="S470" s="32"/>
      <c r="T470" s="32"/>
      <c r="U470" s="29"/>
      <c r="V470" s="29"/>
      <c r="W470" s="24"/>
      <c r="X470" s="18"/>
      <c r="Y470" s="18"/>
      <c r="Z470" s="18"/>
      <c r="AA470" s="18"/>
      <c r="AB470" s="18"/>
      <c r="AC470" s="18"/>
      <c r="AD470" s="18"/>
      <c r="AE470" s="19"/>
      <c r="AF470" s="20"/>
      <c r="AG470" s="21"/>
      <c r="AH470" s="21"/>
      <c r="AI470" s="19"/>
      <c r="AJ470" s="29"/>
      <c r="AK470" s="29"/>
      <c r="AL470" s="29"/>
    </row>
    <row r="471" spans="2:38" s="28" customFormat="1" x14ac:dyDescent="0.3">
      <c r="B471" s="24"/>
      <c r="C471" s="37"/>
      <c r="D471" s="37"/>
      <c r="E471" s="37"/>
      <c r="F471" s="35"/>
      <c r="G471" s="35"/>
      <c r="H471" s="35"/>
      <c r="I471" s="35"/>
      <c r="J471" s="35"/>
      <c r="K471" s="35"/>
      <c r="L471" s="35"/>
      <c r="M471" s="31"/>
      <c r="N471" s="32"/>
      <c r="O471" s="32"/>
      <c r="P471" s="32"/>
      <c r="Q471" s="32"/>
      <c r="R471" s="32"/>
      <c r="S471" s="32"/>
      <c r="T471" s="32"/>
      <c r="U471" s="29"/>
      <c r="V471" s="29"/>
      <c r="W471" s="24"/>
      <c r="X471" s="18"/>
      <c r="Y471" s="18"/>
      <c r="Z471" s="18"/>
      <c r="AA471" s="18"/>
      <c r="AB471" s="18"/>
      <c r="AC471" s="18"/>
      <c r="AD471" s="18"/>
      <c r="AE471" s="19"/>
      <c r="AF471" s="20"/>
      <c r="AG471" s="21"/>
      <c r="AH471" s="21"/>
      <c r="AI471" s="19"/>
      <c r="AJ471" s="29"/>
      <c r="AK471" s="29"/>
      <c r="AL471" s="29"/>
    </row>
    <row r="472" spans="2:38" s="28" customFormat="1" x14ac:dyDescent="0.3">
      <c r="B472" s="24"/>
      <c r="C472" s="37"/>
      <c r="D472" s="37"/>
      <c r="E472" s="37"/>
      <c r="F472" s="35"/>
      <c r="G472" s="35"/>
      <c r="H472" s="35"/>
      <c r="I472" s="35"/>
      <c r="J472" s="35"/>
      <c r="K472" s="35"/>
      <c r="L472" s="35"/>
      <c r="M472" s="31"/>
      <c r="N472" s="32"/>
      <c r="O472" s="32"/>
      <c r="P472" s="32"/>
      <c r="Q472" s="32"/>
      <c r="R472" s="32"/>
      <c r="S472" s="32"/>
      <c r="T472" s="32"/>
      <c r="U472" s="29"/>
      <c r="V472" s="29"/>
      <c r="W472" s="24"/>
      <c r="X472" s="18"/>
      <c r="Y472" s="18"/>
      <c r="Z472" s="18"/>
      <c r="AA472" s="18"/>
      <c r="AB472" s="18"/>
      <c r="AC472" s="18"/>
      <c r="AD472" s="18"/>
      <c r="AE472" s="19"/>
      <c r="AF472" s="20"/>
      <c r="AG472" s="21"/>
      <c r="AH472" s="21"/>
      <c r="AI472" s="19"/>
      <c r="AJ472" s="29"/>
      <c r="AK472" s="29"/>
      <c r="AL472" s="29"/>
    </row>
    <row r="473" spans="2:38" s="28" customFormat="1" x14ac:dyDescent="0.3">
      <c r="B473" s="24"/>
      <c r="C473" s="37"/>
      <c r="D473" s="37"/>
      <c r="E473" s="37"/>
      <c r="F473" s="35"/>
      <c r="G473" s="35"/>
      <c r="H473" s="35"/>
      <c r="I473" s="35"/>
      <c r="J473" s="35"/>
      <c r="K473" s="35"/>
      <c r="L473" s="35"/>
      <c r="M473" s="31"/>
      <c r="N473" s="32"/>
      <c r="O473" s="32"/>
      <c r="P473" s="32"/>
      <c r="Q473" s="32"/>
      <c r="R473" s="32"/>
      <c r="S473" s="32"/>
      <c r="T473" s="32"/>
      <c r="U473" s="29"/>
      <c r="V473" s="29"/>
      <c r="W473" s="24"/>
      <c r="X473" s="18"/>
      <c r="Y473" s="18"/>
      <c r="Z473" s="18"/>
      <c r="AA473" s="18"/>
      <c r="AB473" s="18"/>
      <c r="AC473" s="18"/>
      <c r="AD473" s="18"/>
      <c r="AE473" s="19"/>
      <c r="AF473" s="20"/>
      <c r="AG473" s="21"/>
      <c r="AH473" s="21"/>
      <c r="AI473" s="19"/>
      <c r="AJ473" s="29"/>
      <c r="AK473" s="29"/>
      <c r="AL473" s="29"/>
    </row>
    <row r="474" spans="2:38" s="28" customFormat="1" x14ac:dyDescent="0.3">
      <c r="B474" s="24"/>
      <c r="C474" s="37"/>
      <c r="D474" s="37"/>
      <c r="E474" s="37"/>
      <c r="F474" s="35"/>
      <c r="G474" s="35"/>
      <c r="H474" s="35"/>
      <c r="I474" s="35"/>
      <c r="J474" s="35"/>
      <c r="K474" s="35"/>
      <c r="L474" s="35"/>
      <c r="M474" s="31"/>
      <c r="N474" s="32"/>
      <c r="O474" s="32"/>
      <c r="P474" s="32"/>
      <c r="Q474" s="32"/>
      <c r="R474" s="32"/>
      <c r="S474" s="32"/>
      <c r="T474" s="32"/>
      <c r="U474" s="29"/>
      <c r="V474" s="29"/>
      <c r="W474" s="24"/>
      <c r="X474" s="18"/>
      <c r="Y474" s="18"/>
      <c r="Z474" s="18"/>
      <c r="AA474" s="18"/>
      <c r="AB474" s="18"/>
      <c r="AC474" s="18"/>
      <c r="AD474" s="18"/>
      <c r="AE474" s="19"/>
      <c r="AF474" s="20"/>
      <c r="AG474" s="21"/>
      <c r="AH474" s="21"/>
      <c r="AI474" s="19"/>
      <c r="AJ474" s="29"/>
      <c r="AK474" s="29"/>
      <c r="AL474" s="29"/>
    </row>
    <row r="475" spans="2:38" s="28" customFormat="1" x14ac:dyDescent="0.3">
      <c r="B475" s="24"/>
      <c r="C475" s="37"/>
      <c r="D475" s="37"/>
      <c r="E475" s="37"/>
      <c r="F475" s="35"/>
      <c r="G475" s="35"/>
      <c r="H475" s="35"/>
      <c r="I475" s="35"/>
      <c r="J475" s="35"/>
      <c r="K475" s="35"/>
      <c r="L475" s="35"/>
      <c r="M475" s="31"/>
      <c r="N475" s="32"/>
      <c r="O475" s="32"/>
      <c r="P475" s="32"/>
      <c r="Q475" s="32"/>
      <c r="R475" s="32"/>
      <c r="S475" s="32"/>
      <c r="T475" s="32"/>
      <c r="U475" s="29"/>
      <c r="V475" s="29"/>
      <c r="W475" s="24"/>
      <c r="X475" s="18"/>
      <c r="Y475" s="18"/>
      <c r="Z475" s="18"/>
      <c r="AA475" s="18"/>
      <c r="AB475" s="18"/>
      <c r="AC475" s="18"/>
      <c r="AD475" s="18"/>
      <c r="AE475" s="19"/>
      <c r="AF475" s="20"/>
      <c r="AG475" s="21"/>
      <c r="AH475" s="21"/>
      <c r="AI475" s="19"/>
      <c r="AJ475" s="29"/>
      <c r="AK475" s="29"/>
      <c r="AL475" s="29"/>
    </row>
    <row r="476" spans="2:38" s="28" customFormat="1" x14ac:dyDescent="0.3">
      <c r="B476" s="24"/>
      <c r="C476" s="37"/>
      <c r="D476" s="37"/>
      <c r="E476" s="37"/>
      <c r="F476" s="35"/>
      <c r="G476" s="35"/>
      <c r="H476" s="35"/>
      <c r="I476" s="35"/>
      <c r="J476" s="35"/>
      <c r="K476" s="35"/>
      <c r="L476" s="35"/>
      <c r="M476" s="31"/>
      <c r="N476" s="32"/>
      <c r="O476" s="32"/>
      <c r="P476" s="32"/>
      <c r="Q476" s="32"/>
      <c r="R476" s="32"/>
      <c r="S476" s="32"/>
      <c r="T476" s="32"/>
      <c r="U476" s="29"/>
      <c r="V476" s="29"/>
      <c r="W476" s="24"/>
      <c r="X476" s="18"/>
      <c r="Y476" s="18"/>
      <c r="Z476" s="18"/>
      <c r="AA476" s="18"/>
      <c r="AB476" s="18"/>
      <c r="AC476" s="18"/>
      <c r="AD476" s="18"/>
      <c r="AE476" s="19"/>
      <c r="AF476" s="20"/>
      <c r="AG476" s="21"/>
      <c r="AH476" s="21"/>
      <c r="AI476" s="19"/>
      <c r="AJ476" s="29"/>
      <c r="AK476" s="29"/>
      <c r="AL476" s="29"/>
    </row>
    <row r="477" spans="2:38" s="28" customFormat="1" x14ac:dyDescent="0.3">
      <c r="B477" s="24"/>
      <c r="C477" s="37"/>
      <c r="D477" s="37"/>
      <c r="E477" s="37"/>
      <c r="F477" s="35"/>
      <c r="G477" s="35"/>
      <c r="H477" s="35"/>
      <c r="I477" s="35"/>
      <c r="J477" s="35"/>
      <c r="K477" s="35"/>
      <c r="L477" s="35"/>
      <c r="M477" s="31"/>
      <c r="N477" s="32"/>
      <c r="O477" s="32"/>
      <c r="P477" s="32"/>
      <c r="Q477" s="32"/>
      <c r="R477" s="32"/>
      <c r="S477" s="32"/>
      <c r="T477" s="32"/>
      <c r="U477" s="29"/>
      <c r="V477" s="29"/>
      <c r="W477" s="24"/>
      <c r="X477" s="18"/>
      <c r="Y477" s="18"/>
      <c r="Z477" s="18"/>
      <c r="AA477" s="18"/>
      <c r="AB477" s="18"/>
      <c r="AC477" s="18"/>
      <c r="AD477" s="18"/>
      <c r="AE477" s="19"/>
      <c r="AF477" s="20"/>
      <c r="AG477" s="21"/>
      <c r="AH477" s="21"/>
      <c r="AI477" s="19"/>
      <c r="AJ477" s="29"/>
      <c r="AK477" s="29"/>
      <c r="AL477" s="29"/>
    </row>
    <row r="478" spans="2:38" s="28" customFormat="1" x14ac:dyDescent="0.3">
      <c r="B478" s="24"/>
      <c r="C478" s="37"/>
      <c r="D478" s="37"/>
      <c r="E478" s="37"/>
      <c r="F478" s="35"/>
      <c r="G478" s="35"/>
      <c r="H478" s="35"/>
      <c r="I478" s="35"/>
      <c r="J478" s="35"/>
      <c r="K478" s="35"/>
      <c r="L478" s="35"/>
      <c r="M478" s="31"/>
      <c r="N478" s="32"/>
      <c r="O478" s="32"/>
      <c r="P478" s="32"/>
      <c r="Q478" s="32"/>
      <c r="R478" s="32"/>
      <c r="S478" s="32"/>
      <c r="T478" s="32"/>
      <c r="U478" s="29"/>
      <c r="V478" s="29"/>
      <c r="W478" s="24"/>
      <c r="X478" s="18"/>
      <c r="Y478" s="18"/>
      <c r="Z478" s="18"/>
      <c r="AA478" s="18"/>
      <c r="AB478" s="18"/>
      <c r="AC478" s="18"/>
      <c r="AD478" s="18"/>
      <c r="AE478" s="19"/>
      <c r="AF478" s="20"/>
      <c r="AG478" s="21"/>
      <c r="AH478" s="21"/>
      <c r="AI478" s="19"/>
      <c r="AJ478" s="29"/>
      <c r="AK478" s="29"/>
      <c r="AL478" s="29"/>
    </row>
    <row r="479" spans="2:38" s="28" customFormat="1" x14ac:dyDescent="0.3">
      <c r="B479" s="24"/>
      <c r="C479" s="37"/>
      <c r="D479" s="37"/>
      <c r="E479" s="37"/>
      <c r="F479" s="35"/>
      <c r="G479" s="35"/>
      <c r="H479" s="35"/>
      <c r="I479" s="35"/>
      <c r="J479" s="35"/>
      <c r="K479" s="35"/>
      <c r="L479" s="35"/>
      <c r="M479" s="31"/>
      <c r="N479" s="32"/>
      <c r="O479" s="32"/>
      <c r="P479" s="32"/>
      <c r="Q479" s="32"/>
      <c r="R479" s="32"/>
      <c r="S479" s="32"/>
      <c r="T479" s="32"/>
      <c r="U479" s="29"/>
      <c r="V479" s="29"/>
      <c r="W479" s="24"/>
      <c r="X479" s="18"/>
      <c r="Y479" s="18"/>
      <c r="Z479" s="18"/>
      <c r="AA479" s="18"/>
      <c r="AB479" s="18"/>
      <c r="AC479" s="18"/>
      <c r="AD479" s="18"/>
      <c r="AE479" s="19"/>
      <c r="AF479" s="20"/>
      <c r="AG479" s="21"/>
      <c r="AH479" s="21"/>
      <c r="AI479" s="19"/>
      <c r="AJ479" s="29"/>
      <c r="AK479" s="29"/>
      <c r="AL479" s="29"/>
    </row>
    <row r="480" spans="2:38" s="28" customFormat="1" x14ac:dyDescent="0.3">
      <c r="B480" s="24"/>
      <c r="C480" s="37"/>
      <c r="D480" s="37"/>
      <c r="E480" s="37"/>
      <c r="F480" s="35"/>
      <c r="G480" s="35"/>
      <c r="H480" s="35"/>
      <c r="I480" s="35"/>
      <c r="J480" s="35"/>
      <c r="K480" s="35"/>
      <c r="L480" s="35"/>
      <c r="M480" s="31"/>
      <c r="N480" s="32"/>
      <c r="O480" s="32"/>
      <c r="P480" s="32"/>
      <c r="Q480" s="32"/>
      <c r="R480" s="32"/>
      <c r="S480" s="32"/>
      <c r="T480" s="32"/>
      <c r="U480" s="29"/>
      <c r="V480" s="29"/>
      <c r="W480" s="24"/>
      <c r="X480" s="18"/>
      <c r="Y480" s="18"/>
      <c r="Z480" s="18"/>
      <c r="AA480" s="18"/>
      <c r="AB480" s="18"/>
      <c r="AC480" s="18"/>
      <c r="AD480" s="18"/>
      <c r="AE480" s="19"/>
      <c r="AF480" s="20"/>
      <c r="AG480" s="21"/>
      <c r="AH480" s="21"/>
      <c r="AI480" s="19"/>
      <c r="AJ480" s="29"/>
      <c r="AK480" s="29"/>
      <c r="AL480" s="29"/>
    </row>
    <row r="481" spans="2:38" s="28" customFormat="1" x14ac:dyDescent="0.3">
      <c r="B481" s="24"/>
      <c r="C481" s="37"/>
      <c r="D481" s="37"/>
      <c r="E481" s="37"/>
      <c r="F481" s="35"/>
      <c r="G481" s="35"/>
      <c r="H481" s="35"/>
      <c r="I481" s="35"/>
      <c r="J481" s="35"/>
      <c r="K481" s="35"/>
      <c r="L481" s="35"/>
      <c r="M481" s="31"/>
      <c r="N481" s="32"/>
      <c r="O481" s="32"/>
      <c r="P481" s="32"/>
      <c r="Q481" s="32"/>
      <c r="R481" s="32"/>
      <c r="S481" s="32"/>
      <c r="T481" s="32"/>
      <c r="U481" s="29"/>
      <c r="V481" s="29"/>
      <c r="W481" s="24"/>
      <c r="X481" s="18"/>
      <c r="Y481" s="18"/>
      <c r="Z481" s="18"/>
      <c r="AA481" s="18"/>
      <c r="AB481" s="18"/>
      <c r="AC481" s="18"/>
      <c r="AD481" s="18"/>
      <c r="AE481" s="19"/>
      <c r="AF481" s="20"/>
      <c r="AG481" s="21"/>
      <c r="AH481" s="21"/>
      <c r="AI481" s="19"/>
      <c r="AJ481" s="29"/>
      <c r="AK481" s="29"/>
      <c r="AL481" s="29"/>
    </row>
    <row r="482" spans="2:38" s="28" customFormat="1" x14ac:dyDescent="0.3">
      <c r="B482" s="24"/>
      <c r="C482" s="37"/>
      <c r="D482" s="37"/>
      <c r="E482" s="37"/>
      <c r="F482" s="35"/>
      <c r="G482" s="35"/>
      <c r="H482" s="35"/>
      <c r="I482" s="35"/>
      <c r="J482" s="35"/>
      <c r="K482" s="35"/>
      <c r="L482" s="35"/>
      <c r="M482" s="31"/>
      <c r="N482" s="32"/>
      <c r="O482" s="32"/>
      <c r="P482" s="32"/>
      <c r="Q482" s="32"/>
      <c r="R482" s="32"/>
      <c r="S482" s="32"/>
      <c r="T482" s="32"/>
      <c r="U482" s="29"/>
      <c r="V482" s="29"/>
      <c r="W482" s="24"/>
      <c r="X482" s="18"/>
      <c r="Y482" s="18"/>
      <c r="Z482" s="18"/>
      <c r="AA482" s="18"/>
      <c r="AB482" s="18"/>
      <c r="AC482" s="18"/>
      <c r="AD482" s="18"/>
      <c r="AE482" s="19"/>
      <c r="AF482" s="20"/>
      <c r="AG482" s="21"/>
      <c r="AH482" s="21"/>
      <c r="AI482" s="19"/>
      <c r="AJ482" s="29"/>
      <c r="AK482" s="29"/>
      <c r="AL482" s="29"/>
    </row>
    <row r="483" spans="2:38" s="28" customFormat="1" x14ac:dyDescent="0.3">
      <c r="B483" s="24"/>
      <c r="C483" s="37"/>
      <c r="D483" s="37"/>
      <c r="E483" s="37"/>
      <c r="F483" s="35"/>
      <c r="G483" s="35"/>
      <c r="H483" s="35"/>
      <c r="I483" s="35"/>
      <c r="J483" s="35"/>
      <c r="K483" s="35"/>
      <c r="L483" s="35"/>
      <c r="M483" s="31"/>
      <c r="N483" s="32"/>
      <c r="O483" s="32"/>
      <c r="P483" s="32"/>
      <c r="Q483" s="32"/>
      <c r="R483" s="32"/>
      <c r="S483" s="32"/>
      <c r="T483" s="32"/>
      <c r="U483" s="29"/>
      <c r="V483" s="29"/>
      <c r="W483" s="24"/>
      <c r="X483" s="18"/>
      <c r="Y483" s="18"/>
      <c r="Z483" s="18"/>
      <c r="AA483" s="18"/>
      <c r="AB483" s="18"/>
      <c r="AC483" s="18"/>
      <c r="AD483" s="18"/>
      <c r="AE483" s="19"/>
      <c r="AF483" s="20"/>
      <c r="AG483" s="21"/>
      <c r="AH483" s="21"/>
      <c r="AI483" s="19"/>
      <c r="AJ483" s="29"/>
      <c r="AK483" s="29"/>
      <c r="AL483" s="29"/>
    </row>
    <row r="484" spans="2:38" s="28" customFormat="1" x14ac:dyDescent="0.3">
      <c r="B484" s="24"/>
      <c r="C484" s="37"/>
      <c r="D484" s="37"/>
      <c r="E484" s="37"/>
      <c r="F484" s="35"/>
      <c r="G484" s="35"/>
      <c r="H484" s="35"/>
      <c r="I484" s="35"/>
      <c r="J484" s="35"/>
      <c r="K484" s="35"/>
      <c r="L484" s="35"/>
      <c r="M484" s="31"/>
      <c r="N484" s="32"/>
      <c r="O484" s="32"/>
      <c r="P484" s="32"/>
      <c r="Q484" s="32"/>
      <c r="R484" s="32"/>
      <c r="S484" s="32"/>
      <c r="T484" s="32"/>
      <c r="U484" s="29"/>
      <c r="V484" s="29"/>
      <c r="W484" s="24"/>
      <c r="X484" s="18"/>
      <c r="Y484" s="18"/>
      <c r="Z484" s="18"/>
      <c r="AA484" s="18"/>
      <c r="AB484" s="18"/>
      <c r="AC484" s="18"/>
      <c r="AD484" s="18"/>
      <c r="AE484" s="19"/>
      <c r="AF484" s="20"/>
      <c r="AG484" s="21"/>
      <c r="AH484" s="21"/>
      <c r="AI484" s="19"/>
      <c r="AJ484" s="29"/>
      <c r="AK484" s="29"/>
      <c r="AL484" s="29"/>
    </row>
    <row r="485" spans="2:38" s="28" customFormat="1" x14ac:dyDescent="0.3">
      <c r="B485" s="24"/>
      <c r="C485" s="37"/>
      <c r="D485" s="37"/>
      <c r="E485" s="37"/>
      <c r="F485" s="35"/>
      <c r="G485" s="35"/>
      <c r="H485" s="35"/>
      <c r="I485" s="35"/>
      <c r="J485" s="35"/>
      <c r="K485" s="35"/>
      <c r="L485" s="35"/>
      <c r="M485" s="31"/>
      <c r="N485" s="32"/>
      <c r="O485" s="32"/>
      <c r="P485" s="32"/>
      <c r="Q485" s="32"/>
      <c r="R485" s="32"/>
      <c r="S485" s="32"/>
      <c r="T485" s="32"/>
      <c r="U485" s="29"/>
      <c r="V485" s="29"/>
      <c r="W485" s="24"/>
      <c r="X485" s="18"/>
      <c r="Y485" s="18"/>
      <c r="Z485" s="18"/>
      <c r="AA485" s="18"/>
      <c r="AB485" s="18"/>
      <c r="AC485" s="18"/>
      <c r="AD485" s="18"/>
      <c r="AE485" s="19"/>
      <c r="AF485" s="20"/>
      <c r="AG485" s="21"/>
      <c r="AH485" s="21"/>
      <c r="AI485" s="19"/>
      <c r="AJ485" s="29"/>
      <c r="AK485" s="29"/>
      <c r="AL485" s="29"/>
    </row>
    <row r="486" spans="2:38" s="28" customFormat="1" x14ac:dyDescent="0.3">
      <c r="B486" s="24"/>
      <c r="C486" s="37"/>
      <c r="D486" s="37"/>
      <c r="E486" s="37"/>
      <c r="F486" s="35"/>
      <c r="G486" s="35"/>
      <c r="H486" s="35"/>
      <c r="I486" s="35"/>
      <c r="J486" s="35"/>
      <c r="K486" s="35"/>
      <c r="L486" s="35"/>
      <c r="M486" s="31"/>
      <c r="N486" s="32"/>
      <c r="O486" s="32"/>
      <c r="P486" s="32"/>
      <c r="Q486" s="32"/>
      <c r="R486" s="32"/>
      <c r="S486" s="32"/>
      <c r="T486" s="32"/>
      <c r="U486" s="29"/>
      <c r="V486" s="29"/>
      <c r="W486" s="24"/>
      <c r="X486" s="18"/>
      <c r="Y486" s="18"/>
      <c r="Z486" s="18"/>
      <c r="AA486" s="18"/>
      <c r="AB486" s="18"/>
      <c r="AC486" s="18"/>
      <c r="AD486" s="18"/>
      <c r="AE486" s="19"/>
      <c r="AF486" s="20"/>
      <c r="AG486" s="21"/>
      <c r="AH486" s="21"/>
      <c r="AI486" s="19"/>
      <c r="AJ486" s="29"/>
      <c r="AK486" s="29"/>
      <c r="AL486" s="29"/>
    </row>
    <row r="487" spans="2:38" s="28" customFormat="1" x14ac:dyDescent="0.3">
      <c r="B487" s="24"/>
      <c r="C487" s="37"/>
      <c r="D487" s="37"/>
      <c r="E487" s="37"/>
      <c r="F487" s="35"/>
      <c r="G487" s="35"/>
      <c r="H487" s="35"/>
      <c r="I487" s="35"/>
      <c r="J487" s="35"/>
      <c r="K487" s="35"/>
      <c r="L487" s="35"/>
      <c r="M487" s="31"/>
      <c r="N487" s="32"/>
      <c r="O487" s="32"/>
      <c r="P487" s="32"/>
      <c r="Q487" s="32"/>
      <c r="R487" s="32"/>
      <c r="S487" s="32"/>
      <c r="T487" s="32"/>
      <c r="U487" s="29"/>
      <c r="V487" s="29"/>
      <c r="W487" s="24"/>
      <c r="X487" s="18"/>
      <c r="Y487" s="18"/>
      <c r="Z487" s="18"/>
      <c r="AA487" s="18"/>
      <c r="AB487" s="18"/>
      <c r="AC487" s="18"/>
      <c r="AD487" s="18"/>
      <c r="AE487" s="19"/>
      <c r="AF487" s="20"/>
      <c r="AG487" s="21"/>
      <c r="AH487" s="21"/>
      <c r="AI487" s="19"/>
      <c r="AJ487" s="29"/>
      <c r="AK487" s="29"/>
      <c r="AL487" s="29"/>
    </row>
    <row r="488" spans="2:38" s="28" customFormat="1" x14ac:dyDescent="0.3">
      <c r="B488" s="24"/>
      <c r="C488" s="37"/>
      <c r="D488" s="37"/>
      <c r="E488" s="37"/>
      <c r="F488" s="35"/>
      <c r="G488" s="35"/>
      <c r="H488" s="35"/>
      <c r="I488" s="35"/>
      <c r="J488" s="35"/>
      <c r="K488" s="35"/>
      <c r="L488" s="35"/>
      <c r="M488" s="31"/>
      <c r="N488" s="32"/>
      <c r="O488" s="32"/>
      <c r="P488" s="32"/>
      <c r="Q488" s="32"/>
      <c r="R488" s="32"/>
      <c r="S488" s="32"/>
      <c r="T488" s="32"/>
      <c r="U488" s="29"/>
      <c r="V488" s="29"/>
      <c r="W488" s="24"/>
      <c r="X488" s="18"/>
      <c r="Y488" s="18"/>
      <c r="Z488" s="18"/>
      <c r="AA488" s="18"/>
      <c r="AB488" s="18"/>
      <c r="AC488" s="18"/>
      <c r="AD488" s="18"/>
      <c r="AE488" s="19"/>
      <c r="AF488" s="20"/>
      <c r="AG488" s="21"/>
      <c r="AH488" s="21"/>
      <c r="AI488" s="19"/>
      <c r="AJ488" s="29"/>
      <c r="AK488" s="29"/>
      <c r="AL488" s="29"/>
    </row>
    <row r="489" spans="2:38" s="28" customFormat="1" x14ac:dyDescent="0.3">
      <c r="B489" s="24"/>
      <c r="C489" s="37"/>
      <c r="D489" s="37"/>
      <c r="E489" s="37"/>
      <c r="F489" s="35"/>
      <c r="G489" s="35"/>
      <c r="H489" s="35"/>
      <c r="I489" s="35"/>
      <c r="J489" s="35"/>
      <c r="K489" s="35"/>
      <c r="L489" s="35"/>
      <c r="M489" s="31"/>
      <c r="N489" s="32"/>
      <c r="O489" s="32"/>
      <c r="P489" s="32"/>
      <c r="Q489" s="32"/>
      <c r="R489" s="32"/>
      <c r="S489" s="32"/>
      <c r="T489" s="32"/>
      <c r="U489" s="29"/>
      <c r="V489" s="29"/>
      <c r="W489" s="24"/>
      <c r="X489" s="18"/>
      <c r="Y489" s="18"/>
      <c r="Z489" s="18"/>
      <c r="AA489" s="18"/>
      <c r="AB489" s="18"/>
      <c r="AC489" s="18"/>
      <c r="AD489" s="18"/>
      <c r="AE489" s="19"/>
      <c r="AF489" s="20"/>
      <c r="AG489" s="21"/>
      <c r="AH489" s="21"/>
      <c r="AI489" s="19"/>
      <c r="AJ489" s="29"/>
      <c r="AK489" s="29"/>
      <c r="AL489" s="29"/>
    </row>
    <row r="490" spans="2:38" s="28" customFormat="1" x14ac:dyDescent="0.3">
      <c r="B490" s="24"/>
      <c r="C490" s="37"/>
      <c r="D490" s="37"/>
      <c r="E490" s="37"/>
      <c r="F490" s="35"/>
      <c r="G490" s="35"/>
      <c r="H490" s="35"/>
      <c r="I490" s="35"/>
      <c r="J490" s="35"/>
      <c r="K490" s="35"/>
      <c r="L490" s="35"/>
      <c r="M490" s="31"/>
      <c r="N490" s="32"/>
      <c r="O490" s="32"/>
      <c r="P490" s="32"/>
      <c r="Q490" s="32"/>
      <c r="R490" s="32"/>
      <c r="S490" s="32"/>
      <c r="T490" s="32"/>
      <c r="U490" s="29"/>
      <c r="V490" s="29"/>
      <c r="W490" s="24"/>
      <c r="X490" s="18"/>
      <c r="Y490" s="18"/>
      <c r="Z490" s="18"/>
      <c r="AA490" s="18"/>
      <c r="AB490" s="18"/>
      <c r="AC490" s="18"/>
      <c r="AD490" s="18"/>
      <c r="AE490" s="19"/>
      <c r="AF490" s="20"/>
      <c r="AG490" s="21"/>
      <c r="AH490" s="21"/>
      <c r="AI490" s="19"/>
      <c r="AJ490" s="29"/>
      <c r="AK490" s="29"/>
      <c r="AL490" s="29"/>
    </row>
    <row r="491" spans="2:38" s="28" customFormat="1" x14ac:dyDescent="0.3">
      <c r="B491" s="24"/>
      <c r="C491" s="37"/>
      <c r="D491" s="37"/>
      <c r="E491" s="37"/>
      <c r="F491" s="35"/>
      <c r="G491" s="35"/>
      <c r="H491" s="35"/>
      <c r="I491" s="35"/>
      <c r="J491" s="35"/>
      <c r="K491" s="35"/>
      <c r="L491" s="35"/>
      <c r="M491" s="31"/>
      <c r="N491" s="32"/>
      <c r="O491" s="32"/>
      <c r="P491" s="32"/>
      <c r="Q491" s="32"/>
      <c r="R491" s="32"/>
      <c r="S491" s="32"/>
      <c r="T491" s="32"/>
      <c r="U491" s="29"/>
      <c r="V491" s="29"/>
      <c r="W491" s="24"/>
      <c r="X491" s="18"/>
      <c r="Y491" s="18"/>
      <c r="Z491" s="18"/>
      <c r="AA491" s="18"/>
      <c r="AB491" s="18"/>
      <c r="AC491" s="18"/>
      <c r="AD491" s="18"/>
      <c r="AE491" s="19"/>
      <c r="AF491" s="20"/>
      <c r="AG491" s="21"/>
      <c r="AH491" s="21"/>
      <c r="AI491" s="19"/>
      <c r="AJ491" s="29"/>
      <c r="AK491" s="29"/>
      <c r="AL491" s="29"/>
    </row>
    <row r="492" spans="2:38" s="28" customFormat="1" x14ac:dyDescent="0.3">
      <c r="B492" s="24"/>
      <c r="C492" s="37"/>
      <c r="D492" s="37"/>
      <c r="E492" s="37"/>
      <c r="F492" s="35"/>
      <c r="G492" s="35"/>
      <c r="H492" s="35"/>
      <c r="I492" s="35"/>
      <c r="J492" s="35"/>
      <c r="K492" s="35"/>
      <c r="L492" s="35"/>
      <c r="M492" s="31"/>
      <c r="N492" s="32"/>
      <c r="O492" s="32"/>
      <c r="P492" s="32"/>
      <c r="Q492" s="32"/>
      <c r="R492" s="32"/>
      <c r="S492" s="32"/>
      <c r="T492" s="32"/>
      <c r="U492" s="29"/>
      <c r="V492" s="29"/>
      <c r="W492" s="24"/>
      <c r="X492" s="18"/>
      <c r="Y492" s="18"/>
      <c r="Z492" s="18"/>
      <c r="AA492" s="18"/>
      <c r="AB492" s="18"/>
      <c r="AC492" s="18"/>
      <c r="AD492" s="18"/>
      <c r="AE492" s="19"/>
      <c r="AF492" s="20"/>
      <c r="AG492" s="21"/>
      <c r="AH492" s="21"/>
      <c r="AI492" s="19"/>
      <c r="AJ492" s="29"/>
      <c r="AK492" s="29"/>
      <c r="AL492" s="29"/>
    </row>
    <row r="493" spans="2:38" s="28" customFormat="1" x14ac:dyDescent="0.3">
      <c r="B493" s="24"/>
      <c r="C493" s="37"/>
      <c r="D493" s="37"/>
      <c r="E493" s="37"/>
      <c r="F493" s="35"/>
      <c r="G493" s="35"/>
      <c r="H493" s="35"/>
      <c r="I493" s="35"/>
      <c r="J493" s="35"/>
      <c r="K493" s="35"/>
      <c r="L493" s="35"/>
      <c r="M493" s="31"/>
      <c r="N493" s="32"/>
      <c r="O493" s="32"/>
      <c r="P493" s="32"/>
      <c r="Q493" s="32"/>
      <c r="R493" s="32"/>
      <c r="S493" s="32"/>
      <c r="T493" s="32"/>
      <c r="U493" s="29"/>
      <c r="V493" s="29"/>
      <c r="W493" s="24"/>
      <c r="X493" s="18"/>
      <c r="Y493" s="18"/>
      <c r="Z493" s="18"/>
      <c r="AA493" s="18"/>
      <c r="AB493" s="18"/>
      <c r="AC493" s="18"/>
      <c r="AD493" s="18"/>
      <c r="AE493" s="19"/>
      <c r="AF493" s="20"/>
      <c r="AG493" s="21"/>
      <c r="AH493" s="21"/>
      <c r="AI493" s="19"/>
      <c r="AJ493" s="29"/>
      <c r="AK493" s="29"/>
      <c r="AL493" s="29"/>
    </row>
    <row r="494" spans="2:38" s="28" customFormat="1" x14ac:dyDescent="0.3">
      <c r="B494" s="24"/>
      <c r="C494" s="37"/>
      <c r="D494" s="37"/>
      <c r="E494" s="37"/>
      <c r="F494" s="35"/>
      <c r="G494" s="35"/>
      <c r="H494" s="35"/>
      <c r="I494" s="35"/>
      <c r="J494" s="35"/>
      <c r="K494" s="35"/>
      <c r="L494" s="35"/>
      <c r="M494" s="31"/>
      <c r="N494" s="32"/>
      <c r="O494" s="32"/>
      <c r="P494" s="32"/>
      <c r="Q494" s="32"/>
      <c r="R494" s="32"/>
      <c r="S494" s="32"/>
      <c r="T494" s="32"/>
      <c r="U494" s="29"/>
      <c r="V494" s="29"/>
      <c r="W494" s="24"/>
      <c r="X494" s="18"/>
      <c r="Y494" s="18"/>
      <c r="Z494" s="18"/>
      <c r="AA494" s="18"/>
      <c r="AB494" s="18"/>
      <c r="AC494" s="18"/>
      <c r="AD494" s="18"/>
      <c r="AE494" s="19"/>
      <c r="AF494" s="20"/>
      <c r="AG494" s="21"/>
      <c r="AH494" s="21"/>
      <c r="AI494" s="19"/>
      <c r="AJ494" s="29"/>
      <c r="AK494" s="29"/>
      <c r="AL494" s="29"/>
    </row>
    <row r="495" spans="2:38" s="28" customFormat="1" x14ac:dyDescent="0.3">
      <c r="B495" s="24"/>
      <c r="C495" s="37"/>
      <c r="D495" s="37"/>
      <c r="E495" s="37"/>
      <c r="F495" s="35"/>
      <c r="G495" s="35"/>
      <c r="H495" s="35"/>
      <c r="I495" s="35"/>
      <c r="J495" s="35"/>
      <c r="K495" s="35"/>
      <c r="L495" s="35"/>
      <c r="M495" s="31"/>
      <c r="N495" s="32"/>
      <c r="O495" s="32"/>
      <c r="P495" s="32"/>
      <c r="Q495" s="32"/>
      <c r="R495" s="32"/>
      <c r="S495" s="32"/>
      <c r="T495" s="32"/>
      <c r="U495" s="29"/>
      <c r="V495" s="29"/>
      <c r="W495" s="24"/>
      <c r="X495" s="18"/>
      <c r="Y495" s="18"/>
      <c r="Z495" s="18"/>
      <c r="AA495" s="18"/>
      <c r="AB495" s="18"/>
      <c r="AC495" s="18"/>
      <c r="AD495" s="18"/>
      <c r="AE495" s="19"/>
      <c r="AF495" s="20"/>
      <c r="AG495" s="21"/>
      <c r="AH495" s="21"/>
      <c r="AI495" s="19"/>
      <c r="AJ495" s="29"/>
      <c r="AK495" s="29"/>
      <c r="AL495" s="29"/>
    </row>
    <row r="496" spans="2:38" s="28" customFormat="1" x14ac:dyDescent="0.3">
      <c r="B496" s="24"/>
      <c r="C496" s="37"/>
      <c r="D496" s="37"/>
      <c r="E496" s="37"/>
      <c r="F496" s="35"/>
      <c r="G496" s="35"/>
      <c r="H496" s="35"/>
      <c r="I496" s="35"/>
      <c r="J496" s="35"/>
      <c r="K496" s="35"/>
      <c r="L496" s="35"/>
      <c r="M496" s="31"/>
      <c r="N496" s="32"/>
      <c r="O496" s="32"/>
      <c r="P496" s="32"/>
      <c r="Q496" s="32"/>
      <c r="R496" s="32"/>
      <c r="S496" s="32"/>
      <c r="T496" s="32"/>
      <c r="U496" s="29"/>
      <c r="V496" s="29"/>
      <c r="W496" s="24"/>
      <c r="X496" s="18"/>
      <c r="Y496" s="18"/>
      <c r="Z496" s="18"/>
      <c r="AA496" s="18"/>
      <c r="AB496" s="18"/>
      <c r="AC496" s="18"/>
      <c r="AD496" s="18"/>
      <c r="AE496" s="19"/>
      <c r="AF496" s="20"/>
      <c r="AG496" s="21"/>
      <c r="AH496" s="21"/>
      <c r="AI496" s="19"/>
      <c r="AJ496" s="29"/>
      <c r="AK496" s="29"/>
      <c r="AL496" s="29"/>
    </row>
    <row r="497" spans="2:38" s="28" customFormat="1" x14ac:dyDescent="0.3">
      <c r="B497" s="24"/>
      <c r="C497" s="37"/>
      <c r="D497" s="37"/>
      <c r="E497" s="37"/>
      <c r="F497" s="35"/>
      <c r="G497" s="35"/>
      <c r="H497" s="35"/>
      <c r="I497" s="35"/>
      <c r="J497" s="35"/>
      <c r="K497" s="35"/>
      <c r="L497" s="35"/>
      <c r="M497" s="31"/>
      <c r="N497" s="32"/>
      <c r="O497" s="32"/>
      <c r="P497" s="32"/>
      <c r="Q497" s="32"/>
      <c r="R497" s="32"/>
      <c r="S497" s="32"/>
      <c r="T497" s="32"/>
      <c r="U497" s="29"/>
      <c r="V497" s="29"/>
      <c r="W497" s="24"/>
      <c r="X497" s="18"/>
      <c r="Y497" s="18"/>
      <c r="Z497" s="18"/>
      <c r="AA497" s="18"/>
      <c r="AB497" s="18"/>
      <c r="AC497" s="18"/>
      <c r="AD497" s="18"/>
      <c r="AE497" s="19"/>
      <c r="AF497" s="20"/>
      <c r="AG497" s="21"/>
      <c r="AH497" s="21"/>
      <c r="AI497" s="19"/>
      <c r="AJ497" s="29"/>
      <c r="AK497" s="29"/>
      <c r="AL497" s="29"/>
    </row>
    <row r="498" spans="2:38" s="28" customFormat="1" x14ac:dyDescent="0.3">
      <c r="B498" s="24"/>
      <c r="C498" s="37"/>
      <c r="D498" s="37"/>
      <c r="E498" s="37"/>
      <c r="F498" s="35"/>
      <c r="G498" s="35"/>
      <c r="H498" s="35"/>
      <c r="I498" s="35"/>
      <c r="J498" s="35"/>
      <c r="K498" s="35"/>
      <c r="L498" s="35"/>
      <c r="M498" s="31"/>
      <c r="N498" s="32"/>
      <c r="O498" s="32"/>
      <c r="P498" s="32"/>
      <c r="Q498" s="32"/>
      <c r="R498" s="32"/>
      <c r="S498" s="32"/>
      <c r="T498" s="32"/>
      <c r="U498" s="29"/>
      <c r="V498" s="29"/>
      <c r="W498" s="24"/>
      <c r="X498" s="18"/>
      <c r="Y498" s="18"/>
      <c r="Z498" s="18"/>
      <c r="AA498" s="18"/>
      <c r="AB498" s="18"/>
      <c r="AC498" s="18"/>
      <c r="AD498" s="18"/>
      <c r="AE498" s="19"/>
      <c r="AF498" s="20"/>
      <c r="AG498" s="21"/>
      <c r="AH498" s="21"/>
      <c r="AI498" s="19"/>
      <c r="AJ498" s="29"/>
      <c r="AK498" s="29"/>
      <c r="AL498" s="29"/>
    </row>
    <row r="499" spans="2:38" s="28" customFormat="1" x14ac:dyDescent="0.3">
      <c r="B499" s="24"/>
      <c r="C499" s="37"/>
      <c r="D499" s="37"/>
      <c r="E499" s="37"/>
      <c r="F499" s="35"/>
      <c r="G499" s="35"/>
      <c r="H499" s="35"/>
      <c r="I499" s="35"/>
      <c r="J499" s="35"/>
      <c r="K499" s="35"/>
      <c r="L499" s="35"/>
      <c r="M499" s="31"/>
      <c r="N499" s="32"/>
      <c r="O499" s="32"/>
      <c r="P499" s="32"/>
      <c r="Q499" s="32"/>
      <c r="R499" s="32"/>
      <c r="S499" s="32"/>
      <c r="T499" s="32"/>
      <c r="U499" s="29"/>
      <c r="V499" s="29"/>
      <c r="W499" s="24"/>
      <c r="X499" s="18"/>
      <c r="Y499" s="18"/>
      <c r="Z499" s="18"/>
      <c r="AA499" s="18"/>
      <c r="AB499" s="18"/>
      <c r="AC499" s="18"/>
      <c r="AD499" s="18"/>
      <c r="AE499" s="19"/>
      <c r="AF499" s="20"/>
      <c r="AG499" s="21"/>
      <c r="AH499" s="21"/>
      <c r="AI499" s="19"/>
      <c r="AJ499" s="29"/>
      <c r="AK499" s="29"/>
      <c r="AL499" s="29"/>
    </row>
    <row r="500" spans="2:38" s="28" customFormat="1" x14ac:dyDescent="0.3">
      <c r="B500" s="24"/>
      <c r="C500" s="37"/>
      <c r="D500" s="37"/>
      <c r="E500" s="37"/>
      <c r="F500" s="35"/>
      <c r="G500" s="35"/>
      <c r="H500" s="35"/>
      <c r="I500" s="35"/>
      <c r="J500" s="35"/>
      <c r="K500" s="35"/>
      <c r="L500" s="35"/>
      <c r="M500" s="31"/>
      <c r="N500" s="32"/>
      <c r="O500" s="32"/>
      <c r="P500" s="32"/>
      <c r="Q500" s="32"/>
      <c r="R500" s="32"/>
      <c r="S500" s="32"/>
      <c r="T500" s="32"/>
      <c r="U500" s="29"/>
      <c r="V500" s="29"/>
      <c r="W500" s="24"/>
      <c r="X500" s="18"/>
      <c r="Y500" s="18"/>
      <c r="Z500" s="18"/>
      <c r="AA500" s="18"/>
      <c r="AB500" s="18"/>
      <c r="AC500" s="18"/>
      <c r="AD500" s="18"/>
      <c r="AE500" s="19"/>
      <c r="AF500" s="20"/>
      <c r="AG500" s="21"/>
      <c r="AH500" s="21"/>
      <c r="AI500" s="19"/>
      <c r="AJ500" s="29"/>
      <c r="AK500" s="29"/>
      <c r="AL500" s="29"/>
    </row>
    <row r="501" spans="2:38" s="28" customFormat="1" x14ac:dyDescent="0.3">
      <c r="B501" s="24"/>
      <c r="C501" s="37"/>
      <c r="D501" s="37"/>
      <c r="E501" s="37"/>
      <c r="F501" s="35"/>
      <c r="G501" s="35"/>
      <c r="H501" s="35"/>
      <c r="I501" s="35"/>
      <c r="J501" s="35"/>
      <c r="K501" s="35"/>
      <c r="L501" s="35"/>
      <c r="M501" s="31"/>
      <c r="N501" s="32"/>
      <c r="O501" s="32"/>
      <c r="P501" s="32"/>
      <c r="Q501" s="32"/>
      <c r="R501" s="32"/>
      <c r="S501" s="32"/>
      <c r="T501" s="32"/>
      <c r="U501" s="29"/>
      <c r="V501" s="29"/>
      <c r="W501" s="24"/>
      <c r="X501" s="18"/>
      <c r="Y501" s="18"/>
      <c r="Z501" s="18"/>
      <c r="AA501" s="18"/>
      <c r="AB501" s="18"/>
      <c r="AC501" s="18"/>
      <c r="AD501" s="18"/>
      <c r="AE501" s="19"/>
      <c r="AF501" s="20"/>
      <c r="AG501" s="21"/>
      <c r="AH501" s="21"/>
      <c r="AI501" s="19"/>
      <c r="AJ501" s="29"/>
      <c r="AK501" s="29"/>
      <c r="AL501" s="29"/>
    </row>
    <row r="502" spans="2:38" s="28" customFormat="1" x14ac:dyDescent="0.3">
      <c r="B502" s="24"/>
      <c r="C502" s="37"/>
      <c r="D502" s="37"/>
      <c r="E502" s="37"/>
      <c r="F502" s="35"/>
      <c r="G502" s="35"/>
      <c r="H502" s="35"/>
      <c r="I502" s="35"/>
      <c r="J502" s="35"/>
      <c r="K502" s="35"/>
      <c r="L502" s="35"/>
      <c r="M502" s="31"/>
      <c r="N502" s="32"/>
      <c r="O502" s="32"/>
      <c r="P502" s="32"/>
      <c r="Q502" s="32"/>
      <c r="R502" s="32"/>
      <c r="S502" s="32"/>
      <c r="T502" s="32"/>
      <c r="U502" s="29"/>
      <c r="V502" s="29"/>
      <c r="W502" s="24"/>
      <c r="X502" s="18"/>
      <c r="Y502" s="18"/>
      <c r="Z502" s="18"/>
      <c r="AA502" s="18"/>
      <c r="AB502" s="18"/>
      <c r="AC502" s="18"/>
      <c r="AD502" s="18"/>
      <c r="AE502" s="19"/>
      <c r="AF502" s="20"/>
      <c r="AG502" s="21"/>
      <c r="AH502" s="21"/>
      <c r="AI502" s="19"/>
      <c r="AJ502" s="29"/>
      <c r="AK502" s="29"/>
      <c r="AL502" s="29"/>
    </row>
    <row r="503" spans="2:38" s="28" customFormat="1" x14ac:dyDescent="0.3">
      <c r="B503" s="24"/>
      <c r="C503" s="37"/>
      <c r="D503" s="37"/>
      <c r="E503" s="37"/>
      <c r="F503" s="35"/>
      <c r="G503" s="35"/>
      <c r="H503" s="35"/>
      <c r="I503" s="35"/>
      <c r="J503" s="35"/>
      <c r="K503" s="35"/>
      <c r="L503" s="35"/>
      <c r="M503" s="31"/>
      <c r="N503" s="32"/>
      <c r="O503" s="32"/>
      <c r="P503" s="32"/>
      <c r="Q503" s="32"/>
      <c r="R503" s="32"/>
      <c r="S503" s="32"/>
      <c r="T503" s="32"/>
      <c r="U503" s="29"/>
      <c r="V503" s="29"/>
      <c r="W503" s="24"/>
      <c r="X503" s="18"/>
      <c r="Y503" s="18"/>
      <c r="Z503" s="18"/>
      <c r="AA503" s="18"/>
      <c r="AB503" s="18"/>
      <c r="AC503" s="18"/>
      <c r="AD503" s="18"/>
      <c r="AE503" s="19"/>
      <c r="AF503" s="20"/>
      <c r="AG503" s="21"/>
      <c r="AH503" s="21"/>
      <c r="AI503" s="19"/>
      <c r="AJ503" s="29"/>
      <c r="AK503" s="29"/>
      <c r="AL503" s="29"/>
    </row>
    <row r="504" spans="2:38" s="28" customFormat="1" x14ac:dyDescent="0.3">
      <c r="B504" s="24"/>
      <c r="C504" s="37"/>
      <c r="D504" s="37"/>
      <c r="E504" s="37"/>
      <c r="F504" s="35"/>
      <c r="G504" s="35"/>
      <c r="H504" s="35"/>
      <c r="I504" s="35"/>
      <c r="J504" s="35"/>
      <c r="K504" s="35"/>
      <c r="L504" s="35"/>
      <c r="M504" s="31"/>
      <c r="N504" s="32"/>
      <c r="O504" s="32"/>
      <c r="P504" s="32"/>
      <c r="Q504" s="32"/>
      <c r="R504" s="32"/>
      <c r="S504" s="32"/>
      <c r="T504" s="32"/>
      <c r="U504" s="29"/>
      <c r="V504" s="29"/>
      <c r="W504" s="24"/>
      <c r="X504" s="18"/>
      <c r="Y504" s="18"/>
      <c r="Z504" s="18"/>
      <c r="AA504" s="18"/>
      <c r="AB504" s="18"/>
      <c r="AC504" s="18"/>
      <c r="AD504" s="18"/>
      <c r="AE504" s="19"/>
      <c r="AF504" s="20"/>
      <c r="AG504" s="21"/>
      <c r="AH504" s="21"/>
      <c r="AI504" s="19"/>
      <c r="AJ504" s="29"/>
      <c r="AK504" s="29"/>
      <c r="AL504" s="29"/>
    </row>
    <row r="505" spans="2:38" s="28" customFormat="1" x14ac:dyDescent="0.3">
      <c r="B505" s="24"/>
      <c r="C505" s="37"/>
      <c r="D505" s="37"/>
      <c r="E505" s="37"/>
      <c r="F505" s="35"/>
      <c r="G505" s="35"/>
      <c r="H505" s="35"/>
      <c r="I505" s="35"/>
      <c r="J505" s="35"/>
      <c r="K505" s="35"/>
      <c r="L505" s="35"/>
      <c r="M505" s="31"/>
      <c r="N505" s="32"/>
      <c r="O505" s="32"/>
      <c r="P505" s="32"/>
      <c r="Q505" s="32"/>
      <c r="R505" s="32"/>
      <c r="S505" s="32"/>
      <c r="T505" s="32"/>
      <c r="U505" s="29"/>
      <c r="V505" s="29"/>
      <c r="W505" s="24"/>
      <c r="X505" s="18"/>
      <c r="Y505" s="18"/>
      <c r="Z505" s="18"/>
      <c r="AA505" s="18"/>
      <c r="AB505" s="18"/>
      <c r="AC505" s="18"/>
      <c r="AD505" s="18"/>
      <c r="AE505" s="19"/>
      <c r="AF505" s="20"/>
      <c r="AG505" s="21"/>
      <c r="AH505" s="21"/>
      <c r="AI505" s="19"/>
      <c r="AJ505" s="29"/>
      <c r="AK505" s="29"/>
      <c r="AL505" s="29"/>
    </row>
    <row r="506" spans="2:38" s="28" customFormat="1" x14ac:dyDescent="0.3">
      <c r="B506" s="24"/>
      <c r="C506" s="37"/>
      <c r="D506" s="37"/>
      <c r="E506" s="37"/>
      <c r="F506" s="35"/>
      <c r="G506" s="35"/>
      <c r="H506" s="35"/>
      <c r="I506" s="35"/>
      <c r="J506" s="35"/>
      <c r="K506" s="35"/>
      <c r="L506" s="35"/>
      <c r="M506" s="31"/>
      <c r="N506" s="32"/>
      <c r="O506" s="32"/>
      <c r="P506" s="32"/>
      <c r="Q506" s="32"/>
      <c r="R506" s="32"/>
      <c r="S506" s="32"/>
      <c r="T506" s="32"/>
      <c r="U506" s="29"/>
      <c r="V506" s="29"/>
      <c r="W506" s="24"/>
      <c r="X506" s="18"/>
      <c r="Y506" s="18"/>
      <c r="Z506" s="18"/>
      <c r="AA506" s="18"/>
      <c r="AB506" s="18"/>
      <c r="AC506" s="18"/>
      <c r="AD506" s="18"/>
      <c r="AE506" s="19"/>
      <c r="AF506" s="20"/>
      <c r="AG506" s="21"/>
      <c r="AH506" s="21"/>
      <c r="AI506" s="19"/>
      <c r="AJ506" s="29"/>
      <c r="AK506" s="29"/>
      <c r="AL506" s="29"/>
    </row>
    <row r="507" spans="2:38" s="28" customFormat="1" x14ac:dyDescent="0.3">
      <c r="B507" s="24"/>
      <c r="C507" s="37"/>
      <c r="D507" s="37"/>
      <c r="E507" s="37"/>
      <c r="F507" s="35"/>
      <c r="G507" s="35"/>
      <c r="H507" s="35"/>
      <c r="I507" s="35"/>
      <c r="J507" s="35"/>
      <c r="K507" s="35"/>
      <c r="L507" s="35"/>
      <c r="M507" s="31"/>
      <c r="N507" s="32"/>
      <c r="O507" s="32"/>
      <c r="P507" s="32"/>
      <c r="Q507" s="32"/>
      <c r="R507" s="32"/>
      <c r="S507" s="32"/>
      <c r="T507" s="32"/>
      <c r="U507" s="29"/>
      <c r="V507" s="29"/>
      <c r="W507" s="24"/>
      <c r="X507" s="18"/>
      <c r="Y507" s="18"/>
      <c r="Z507" s="18"/>
      <c r="AA507" s="18"/>
      <c r="AB507" s="18"/>
      <c r="AC507" s="18"/>
      <c r="AD507" s="18"/>
      <c r="AE507" s="19"/>
      <c r="AF507" s="20"/>
      <c r="AG507" s="21"/>
      <c r="AH507" s="21"/>
      <c r="AI507" s="19"/>
      <c r="AJ507" s="29"/>
      <c r="AK507" s="29"/>
      <c r="AL507" s="29"/>
    </row>
    <row r="508" spans="2:38" s="28" customFormat="1" x14ac:dyDescent="0.3">
      <c r="B508" s="24"/>
      <c r="C508" s="37"/>
      <c r="D508" s="37"/>
      <c r="E508" s="37"/>
      <c r="F508" s="35"/>
      <c r="G508" s="35"/>
      <c r="H508" s="35"/>
      <c r="I508" s="35"/>
      <c r="J508" s="35"/>
      <c r="K508" s="35"/>
      <c r="L508" s="35"/>
      <c r="M508" s="31"/>
      <c r="N508" s="32"/>
      <c r="O508" s="32"/>
      <c r="P508" s="32"/>
      <c r="Q508" s="32"/>
      <c r="R508" s="32"/>
      <c r="S508" s="32"/>
      <c r="T508" s="32"/>
      <c r="U508" s="29"/>
      <c r="V508" s="29"/>
      <c r="W508" s="24"/>
      <c r="X508" s="18"/>
      <c r="Y508" s="18"/>
      <c r="Z508" s="18"/>
      <c r="AA508" s="18"/>
      <c r="AB508" s="18"/>
      <c r="AC508" s="18"/>
      <c r="AD508" s="18"/>
      <c r="AE508" s="19"/>
      <c r="AF508" s="20"/>
      <c r="AG508" s="21"/>
      <c r="AH508" s="21"/>
      <c r="AI508" s="19"/>
      <c r="AJ508" s="29"/>
      <c r="AK508" s="29"/>
      <c r="AL508" s="29"/>
    </row>
    <row r="509" spans="2:38" s="28" customFormat="1" x14ac:dyDescent="0.3">
      <c r="B509" s="24"/>
      <c r="C509" s="37"/>
      <c r="D509" s="37"/>
      <c r="E509" s="37"/>
      <c r="F509" s="35"/>
      <c r="G509" s="35"/>
      <c r="H509" s="35"/>
      <c r="I509" s="35"/>
      <c r="J509" s="35"/>
      <c r="K509" s="35"/>
      <c r="L509" s="35"/>
      <c r="M509" s="31"/>
      <c r="N509" s="32"/>
      <c r="O509" s="32"/>
      <c r="P509" s="32"/>
      <c r="Q509" s="32"/>
      <c r="R509" s="32"/>
      <c r="S509" s="32"/>
      <c r="T509" s="32"/>
      <c r="U509" s="29"/>
      <c r="V509" s="29"/>
      <c r="W509" s="24"/>
      <c r="X509" s="18"/>
      <c r="Y509" s="18"/>
      <c r="Z509" s="18"/>
      <c r="AA509" s="18"/>
      <c r="AB509" s="18"/>
      <c r="AC509" s="18"/>
      <c r="AD509" s="18"/>
      <c r="AE509" s="19"/>
      <c r="AF509" s="20"/>
      <c r="AG509" s="21"/>
      <c r="AH509" s="21"/>
      <c r="AI509" s="19"/>
      <c r="AJ509" s="29"/>
      <c r="AK509" s="29"/>
      <c r="AL509" s="29"/>
    </row>
    <row r="510" spans="2:38" s="28" customFormat="1" x14ac:dyDescent="0.3">
      <c r="B510" s="24"/>
      <c r="C510" s="37"/>
      <c r="D510" s="37"/>
      <c r="E510" s="37"/>
      <c r="F510" s="35"/>
      <c r="G510" s="35"/>
      <c r="H510" s="35"/>
      <c r="I510" s="35"/>
      <c r="J510" s="35"/>
      <c r="K510" s="35"/>
      <c r="L510" s="35"/>
      <c r="M510" s="31"/>
      <c r="N510" s="32"/>
      <c r="O510" s="32"/>
      <c r="P510" s="32"/>
      <c r="Q510" s="32"/>
      <c r="R510" s="32"/>
      <c r="S510" s="32"/>
      <c r="T510" s="32"/>
      <c r="U510" s="29"/>
      <c r="V510" s="29"/>
      <c r="W510" s="24"/>
      <c r="X510" s="18"/>
      <c r="Y510" s="18"/>
      <c r="Z510" s="18"/>
      <c r="AA510" s="18"/>
      <c r="AB510" s="18"/>
      <c r="AC510" s="18"/>
      <c r="AD510" s="18"/>
      <c r="AE510" s="19"/>
      <c r="AF510" s="20"/>
      <c r="AG510" s="21"/>
      <c r="AH510" s="21"/>
      <c r="AI510" s="19"/>
      <c r="AJ510" s="29"/>
      <c r="AK510" s="29"/>
      <c r="AL510" s="29"/>
    </row>
    <row r="511" spans="2:38" s="28" customFormat="1" x14ac:dyDescent="0.3">
      <c r="B511" s="24"/>
      <c r="C511" s="37"/>
      <c r="D511" s="37"/>
      <c r="E511" s="37"/>
      <c r="F511" s="35"/>
      <c r="G511" s="35"/>
      <c r="H511" s="35"/>
      <c r="I511" s="35"/>
      <c r="J511" s="35"/>
      <c r="K511" s="35"/>
      <c r="L511" s="35"/>
      <c r="M511" s="31"/>
      <c r="N511" s="32"/>
      <c r="O511" s="32"/>
      <c r="P511" s="32"/>
      <c r="Q511" s="32"/>
      <c r="R511" s="32"/>
      <c r="S511" s="32"/>
      <c r="T511" s="32"/>
      <c r="U511" s="29"/>
      <c r="V511" s="29"/>
      <c r="W511" s="24"/>
      <c r="X511" s="18"/>
      <c r="Y511" s="18"/>
      <c r="Z511" s="18"/>
      <c r="AA511" s="18"/>
      <c r="AB511" s="18"/>
      <c r="AC511" s="18"/>
      <c r="AD511" s="18"/>
      <c r="AE511" s="19"/>
      <c r="AF511" s="20"/>
      <c r="AG511" s="21"/>
      <c r="AH511" s="21"/>
      <c r="AI511" s="19"/>
      <c r="AJ511" s="29"/>
      <c r="AK511" s="29"/>
      <c r="AL511" s="29"/>
    </row>
    <row r="512" spans="2:38" s="28" customFormat="1" x14ac:dyDescent="0.3">
      <c r="B512" s="24"/>
      <c r="C512" s="37"/>
      <c r="D512" s="37"/>
      <c r="E512" s="37"/>
      <c r="F512" s="35"/>
      <c r="G512" s="35"/>
      <c r="H512" s="35"/>
      <c r="I512" s="35"/>
      <c r="J512" s="35"/>
      <c r="K512" s="35"/>
      <c r="L512" s="35"/>
      <c r="M512" s="31"/>
      <c r="N512" s="32"/>
      <c r="O512" s="32"/>
      <c r="P512" s="32"/>
      <c r="Q512" s="32"/>
      <c r="R512" s="32"/>
      <c r="S512" s="32"/>
      <c r="T512" s="32"/>
      <c r="U512" s="29"/>
      <c r="V512" s="29"/>
      <c r="W512" s="24"/>
      <c r="X512" s="18"/>
      <c r="Y512" s="18"/>
      <c r="Z512" s="18"/>
      <c r="AA512" s="18"/>
      <c r="AB512" s="18"/>
      <c r="AC512" s="18"/>
      <c r="AD512" s="18"/>
      <c r="AE512" s="19"/>
      <c r="AF512" s="20"/>
      <c r="AG512" s="21"/>
      <c r="AH512" s="21"/>
      <c r="AI512" s="19"/>
      <c r="AJ512" s="29"/>
      <c r="AK512" s="29"/>
      <c r="AL512" s="29"/>
    </row>
    <row r="513" spans="2:38" s="28" customFormat="1" x14ac:dyDescent="0.3">
      <c r="B513" s="24"/>
      <c r="C513" s="37"/>
      <c r="D513" s="37"/>
      <c r="E513" s="37"/>
      <c r="F513" s="35"/>
      <c r="G513" s="35"/>
      <c r="H513" s="35"/>
      <c r="I513" s="35"/>
      <c r="J513" s="35"/>
      <c r="K513" s="35"/>
      <c r="L513" s="35"/>
      <c r="M513" s="31"/>
      <c r="N513" s="32"/>
      <c r="O513" s="32"/>
      <c r="P513" s="32"/>
      <c r="Q513" s="32"/>
      <c r="R513" s="32"/>
      <c r="S513" s="32"/>
      <c r="T513" s="32"/>
      <c r="U513" s="29"/>
      <c r="V513" s="29"/>
      <c r="W513" s="24"/>
      <c r="X513" s="18"/>
      <c r="Y513" s="18"/>
      <c r="Z513" s="18"/>
      <c r="AA513" s="18"/>
      <c r="AB513" s="18"/>
      <c r="AC513" s="18"/>
      <c r="AD513" s="18"/>
      <c r="AE513" s="19"/>
      <c r="AF513" s="20"/>
      <c r="AG513" s="21"/>
      <c r="AH513" s="21"/>
      <c r="AI513" s="19"/>
      <c r="AJ513" s="29"/>
      <c r="AK513" s="29"/>
      <c r="AL513" s="29"/>
    </row>
    <row r="514" spans="2:38" s="28" customFormat="1" x14ac:dyDescent="0.3">
      <c r="B514" s="24"/>
      <c r="C514" s="37"/>
      <c r="D514" s="37"/>
      <c r="E514" s="37"/>
      <c r="F514" s="35"/>
      <c r="G514" s="35"/>
      <c r="H514" s="35"/>
      <c r="I514" s="35"/>
      <c r="J514" s="35"/>
      <c r="K514" s="35"/>
      <c r="L514" s="35"/>
      <c r="M514" s="31"/>
      <c r="N514" s="32"/>
      <c r="O514" s="32"/>
      <c r="P514" s="32"/>
      <c r="Q514" s="32"/>
      <c r="R514" s="32"/>
      <c r="S514" s="32"/>
      <c r="T514" s="32"/>
      <c r="U514" s="29"/>
      <c r="V514" s="29"/>
      <c r="W514" s="24"/>
      <c r="X514" s="18"/>
      <c r="Y514" s="18"/>
      <c r="Z514" s="18"/>
      <c r="AA514" s="18"/>
      <c r="AB514" s="18"/>
      <c r="AC514" s="18"/>
      <c r="AD514" s="18"/>
      <c r="AE514" s="19"/>
      <c r="AF514" s="20"/>
      <c r="AG514" s="21"/>
      <c r="AH514" s="21"/>
      <c r="AI514" s="19"/>
      <c r="AJ514" s="29"/>
      <c r="AK514" s="29"/>
      <c r="AL514" s="29"/>
    </row>
    <row r="515" spans="2:38" s="28" customFormat="1" x14ac:dyDescent="0.3">
      <c r="B515" s="24"/>
      <c r="C515" s="37"/>
      <c r="D515" s="37"/>
      <c r="E515" s="37"/>
      <c r="F515" s="35"/>
      <c r="G515" s="35"/>
      <c r="H515" s="35"/>
      <c r="I515" s="35"/>
      <c r="J515" s="35"/>
      <c r="K515" s="35"/>
      <c r="L515" s="35"/>
      <c r="M515" s="31"/>
      <c r="N515" s="32"/>
      <c r="O515" s="32"/>
      <c r="P515" s="32"/>
      <c r="Q515" s="32"/>
      <c r="R515" s="32"/>
      <c r="S515" s="32"/>
      <c r="T515" s="32"/>
      <c r="U515" s="29"/>
      <c r="V515" s="29"/>
      <c r="W515" s="24"/>
      <c r="X515" s="18"/>
      <c r="Y515" s="18"/>
      <c r="Z515" s="18"/>
      <c r="AA515" s="18"/>
      <c r="AB515" s="18"/>
      <c r="AC515" s="18"/>
      <c r="AD515" s="18"/>
      <c r="AE515" s="19"/>
      <c r="AF515" s="20"/>
      <c r="AG515" s="21"/>
      <c r="AH515" s="21"/>
      <c r="AI515" s="19"/>
      <c r="AJ515" s="29"/>
      <c r="AK515" s="29"/>
      <c r="AL515" s="29"/>
    </row>
    <row r="516" spans="2:38" s="28" customFormat="1" x14ac:dyDescent="0.3">
      <c r="B516" s="24"/>
      <c r="C516" s="37"/>
      <c r="D516" s="37"/>
      <c r="E516" s="37"/>
      <c r="F516" s="35"/>
      <c r="G516" s="35"/>
      <c r="H516" s="35"/>
      <c r="I516" s="35"/>
      <c r="J516" s="35"/>
      <c r="K516" s="35"/>
      <c r="L516" s="35"/>
      <c r="M516" s="31"/>
      <c r="N516" s="32"/>
      <c r="O516" s="32"/>
      <c r="P516" s="32"/>
      <c r="Q516" s="32"/>
      <c r="R516" s="32"/>
      <c r="S516" s="32"/>
      <c r="T516" s="32"/>
      <c r="U516" s="29"/>
      <c r="V516" s="29"/>
      <c r="W516" s="24"/>
      <c r="X516" s="18"/>
      <c r="Y516" s="18"/>
      <c r="Z516" s="18"/>
      <c r="AA516" s="18"/>
      <c r="AB516" s="18"/>
      <c r="AC516" s="18"/>
      <c r="AD516" s="18"/>
      <c r="AE516" s="19"/>
      <c r="AF516" s="20"/>
      <c r="AG516" s="21"/>
      <c r="AH516" s="21"/>
      <c r="AI516" s="19"/>
      <c r="AJ516" s="29"/>
      <c r="AK516" s="29"/>
      <c r="AL516" s="29"/>
    </row>
    <row r="517" spans="2:38" s="28" customFormat="1" x14ac:dyDescent="0.3">
      <c r="B517" s="24"/>
      <c r="C517" s="37"/>
      <c r="D517" s="37"/>
      <c r="E517" s="37"/>
      <c r="F517" s="35"/>
      <c r="G517" s="35"/>
      <c r="H517" s="35"/>
      <c r="I517" s="35"/>
      <c r="J517" s="35"/>
      <c r="K517" s="35"/>
      <c r="L517" s="35"/>
      <c r="M517" s="31"/>
      <c r="N517" s="32"/>
      <c r="O517" s="32"/>
      <c r="P517" s="32"/>
      <c r="Q517" s="32"/>
      <c r="R517" s="32"/>
      <c r="S517" s="32"/>
      <c r="T517" s="32"/>
      <c r="U517" s="29"/>
      <c r="V517" s="29"/>
      <c r="W517" s="24"/>
      <c r="X517" s="18"/>
      <c r="Y517" s="18"/>
      <c r="Z517" s="18"/>
      <c r="AA517" s="18"/>
      <c r="AB517" s="18"/>
      <c r="AC517" s="18"/>
      <c r="AD517" s="18"/>
      <c r="AE517" s="19"/>
      <c r="AF517" s="20"/>
      <c r="AG517" s="21"/>
      <c r="AH517" s="21"/>
      <c r="AI517" s="19"/>
      <c r="AJ517" s="29"/>
      <c r="AK517" s="29"/>
      <c r="AL517" s="29"/>
    </row>
    <row r="518" spans="2:38" s="28" customFormat="1" x14ac:dyDescent="0.3">
      <c r="B518" s="24"/>
      <c r="C518" s="37"/>
      <c r="D518" s="37"/>
      <c r="E518" s="37"/>
      <c r="F518" s="35"/>
      <c r="G518" s="35"/>
      <c r="H518" s="35"/>
      <c r="I518" s="35"/>
      <c r="J518" s="35"/>
      <c r="K518" s="35"/>
      <c r="L518" s="35"/>
      <c r="M518" s="31"/>
      <c r="N518" s="32"/>
      <c r="O518" s="32"/>
      <c r="P518" s="32"/>
      <c r="Q518" s="32"/>
      <c r="R518" s="32"/>
      <c r="S518" s="32"/>
      <c r="T518" s="32"/>
      <c r="U518" s="29"/>
      <c r="V518" s="29"/>
      <c r="W518" s="24"/>
      <c r="X518" s="18"/>
      <c r="Y518" s="18"/>
      <c r="Z518" s="18"/>
      <c r="AA518" s="18"/>
      <c r="AB518" s="18"/>
      <c r="AC518" s="18"/>
      <c r="AD518" s="18"/>
      <c r="AE518" s="19"/>
      <c r="AF518" s="20"/>
      <c r="AG518" s="21"/>
      <c r="AH518" s="21"/>
      <c r="AI518" s="19"/>
      <c r="AJ518" s="29"/>
      <c r="AK518" s="29"/>
      <c r="AL518" s="29"/>
    </row>
    <row r="519" spans="2:38" s="28" customFormat="1" x14ac:dyDescent="0.3">
      <c r="B519" s="24"/>
      <c r="C519" s="37"/>
      <c r="D519" s="37"/>
      <c r="E519" s="37"/>
      <c r="F519" s="35"/>
      <c r="G519" s="35"/>
      <c r="H519" s="35"/>
      <c r="I519" s="35"/>
      <c r="J519" s="35"/>
      <c r="K519" s="35"/>
      <c r="L519" s="35"/>
      <c r="M519" s="31"/>
      <c r="N519" s="32"/>
      <c r="O519" s="32"/>
      <c r="P519" s="32"/>
      <c r="Q519" s="32"/>
      <c r="R519" s="32"/>
      <c r="S519" s="32"/>
      <c r="T519" s="32"/>
      <c r="U519" s="29"/>
      <c r="V519" s="29"/>
      <c r="W519" s="24"/>
      <c r="X519" s="18"/>
      <c r="Y519" s="18"/>
      <c r="Z519" s="18"/>
      <c r="AA519" s="18"/>
      <c r="AB519" s="18"/>
      <c r="AC519" s="18"/>
      <c r="AD519" s="18"/>
      <c r="AE519" s="19"/>
      <c r="AF519" s="20"/>
      <c r="AG519" s="21"/>
      <c r="AH519" s="21"/>
      <c r="AI519" s="19"/>
      <c r="AJ519" s="29"/>
      <c r="AK519" s="29"/>
      <c r="AL519" s="29"/>
    </row>
    <row r="520" spans="2:38" s="28" customFormat="1" x14ac:dyDescent="0.3">
      <c r="B520" s="24"/>
      <c r="C520" s="37"/>
      <c r="D520" s="37"/>
      <c r="E520" s="37"/>
      <c r="F520" s="35"/>
      <c r="G520" s="35"/>
      <c r="H520" s="35"/>
      <c r="I520" s="35"/>
      <c r="J520" s="35"/>
      <c r="K520" s="35"/>
      <c r="L520" s="35"/>
      <c r="M520" s="31"/>
      <c r="N520" s="32"/>
      <c r="O520" s="32"/>
      <c r="P520" s="32"/>
      <c r="Q520" s="32"/>
      <c r="R520" s="32"/>
      <c r="S520" s="32"/>
      <c r="T520" s="32"/>
      <c r="U520" s="29"/>
      <c r="V520" s="29"/>
      <c r="W520" s="24"/>
      <c r="X520" s="18"/>
      <c r="Y520" s="18"/>
      <c r="Z520" s="18"/>
      <c r="AA520" s="18"/>
      <c r="AB520" s="18"/>
      <c r="AC520" s="18"/>
      <c r="AD520" s="18"/>
      <c r="AE520" s="19"/>
      <c r="AF520" s="20"/>
      <c r="AG520" s="21"/>
      <c r="AH520" s="21"/>
      <c r="AI520" s="19"/>
      <c r="AJ520" s="29"/>
      <c r="AK520" s="29"/>
      <c r="AL520" s="29"/>
    </row>
    <row r="521" spans="2:38" s="28" customFormat="1" x14ac:dyDescent="0.3">
      <c r="B521" s="24"/>
      <c r="C521" s="37"/>
      <c r="D521" s="37"/>
      <c r="E521" s="37"/>
      <c r="F521" s="35"/>
      <c r="G521" s="35"/>
      <c r="H521" s="35"/>
      <c r="I521" s="35"/>
      <c r="J521" s="35"/>
      <c r="K521" s="35"/>
      <c r="L521" s="35"/>
      <c r="M521" s="31"/>
      <c r="N521" s="32"/>
      <c r="O521" s="32"/>
      <c r="P521" s="32"/>
      <c r="Q521" s="32"/>
      <c r="R521" s="32"/>
      <c r="S521" s="32"/>
      <c r="T521" s="32"/>
      <c r="U521" s="29"/>
      <c r="V521" s="29"/>
      <c r="W521" s="24"/>
      <c r="X521" s="18"/>
      <c r="Y521" s="18"/>
      <c r="Z521" s="18"/>
      <c r="AA521" s="18"/>
      <c r="AB521" s="18"/>
      <c r="AC521" s="18"/>
      <c r="AD521" s="18"/>
      <c r="AE521" s="19"/>
      <c r="AF521" s="20"/>
      <c r="AG521" s="21"/>
      <c r="AH521" s="21"/>
      <c r="AI521" s="19"/>
      <c r="AJ521" s="29"/>
      <c r="AK521" s="29"/>
      <c r="AL521" s="29"/>
    </row>
    <row r="522" spans="2:38" s="28" customFormat="1" x14ac:dyDescent="0.3">
      <c r="B522" s="24"/>
      <c r="C522" s="37"/>
      <c r="D522" s="37"/>
      <c r="E522" s="37"/>
      <c r="F522" s="35"/>
      <c r="G522" s="35"/>
      <c r="H522" s="35"/>
      <c r="I522" s="35"/>
      <c r="J522" s="35"/>
      <c r="K522" s="35"/>
      <c r="L522" s="35"/>
      <c r="M522" s="31"/>
      <c r="N522" s="32"/>
      <c r="O522" s="32"/>
      <c r="P522" s="32"/>
      <c r="Q522" s="32"/>
      <c r="R522" s="32"/>
      <c r="S522" s="32"/>
      <c r="T522" s="32"/>
      <c r="U522" s="29"/>
      <c r="V522" s="29"/>
      <c r="W522" s="24"/>
      <c r="X522" s="18"/>
      <c r="Y522" s="18"/>
      <c r="Z522" s="18"/>
      <c r="AA522" s="18"/>
      <c r="AB522" s="18"/>
      <c r="AC522" s="18"/>
      <c r="AD522" s="18"/>
      <c r="AE522" s="19"/>
      <c r="AF522" s="20"/>
      <c r="AG522" s="21"/>
      <c r="AH522" s="21"/>
      <c r="AI522" s="19"/>
      <c r="AJ522" s="29"/>
      <c r="AK522" s="29"/>
      <c r="AL522" s="29"/>
    </row>
    <row r="523" spans="2:38" s="28" customFormat="1" x14ac:dyDescent="0.3">
      <c r="B523" s="24"/>
      <c r="C523" s="37"/>
      <c r="D523" s="37"/>
      <c r="E523" s="37"/>
      <c r="F523" s="35"/>
      <c r="G523" s="35"/>
      <c r="H523" s="35"/>
      <c r="I523" s="35"/>
      <c r="J523" s="35"/>
      <c r="K523" s="35"/>
      <c r="L523" s="35"/>
      <c r="M523" s="31"/>
      <c r="N523" s="32"/>
      <c r="O523" s="32"/>
      <c r="P523" s="32"/>
      <c r="Q523" s="32"/>
      <c r="R523" s="32"/>
      <c r="S523" s="32"/>
      <c r="T523" s="32"/>
      <c r="U523" s="29"/>
      <c r="V523" s="29"/>
      <c r="W523" s="24"/>
      <c r="X523" s="18"/>
      <c r="Y523" s="18"/>
      <c r="Z523" s="18"/>
      <c r="AA523" s="18"/>
      <c r="AB523" s="18"/>
      <c r="AC523" s="18"/>
      <c r="AD523" s="18"/>
      <c r="AE523" s="19"/>
      <c r="AF523" s="20"/>
      <c r="AG523" s="21"/>
      <c r="AH523" s="21"/>
      <c r="AI523" s="19"/>
      <c r="AJ523" s="29"/>
      <c r="AK523" s="29"/>
      <c r="AL523" s="29"/>
    </row>
    <row r="524" spans="2:38" s="28" customFormat="1" x14ac:dyDescent="0.3">
      <c r="B524" s="24"/>
      <c r="C524" s="37"/>
      <c r="D524" s="37"/>
      <c r="E524" s="37"/>
      <c r="F524" s="35"/>
      <c r="G524" s="35"/>
      <c r="H524" s="35"/>
      <c r="I524" s="35"/>
      <c r="J524" s="35"/>
      <c r="K524" s="35"/>
      <c r="L524" s="35"/>
      <c r="M524" s="31"/>
      <c r="N524" s="32"/>
      <c r="O524" s="32"/>
      <c r="P524" s="32"/>
      <c r="Q524" s="32"/>
      <c r="R524" s="32"/>
      <c r="S524" s="32"/>
      <c r="T524" s="32"/>
      <c r="U524" s="29"/>
      <c r="V524" s="29"/>
      <c r="W524" s="24"/>
      <c r="X524" s="18"/>
      <c r="Y524" s="18"/>
      <c r="Z524" s="18"/>
      <c r="AA524" s="18"/>
      <c r="AB524" s="18"/>
      <c r="AC524" s="18"/>
      <c r="AD524" s="18"/>
      <c r="AE524" s="19"/>
      <c r="AF524" s="20"/>
      <c r="AG524" s="21"/>
      <c r="AH524" s="21"/>
      <c r="AI524" s="19"/>
      <c r="AJ524" s="29"/>
      <c r="AK524" s="29"/>
      <c r="AL524" s="29"/>
    </row>
    <row r="525" spans="2:38" s="28" customFormat="1" x14ac:dyDescent="0.3">
      <c r="B525" s="24"/>
      <c r="C525" s="37"/>
      <c r="D525" s="37"/>
      <c r="E525" s="37"/>
      <c r="F525" s="35"/>
      <c r="G525" s="35"/>
      <c r="H525" s="35"/>
      <c r="I525" s="35"/>
      <c r="J525" s="35"/>
      <c r="K525" s="35"/>
      <c r="L525" s="35"/>
      <c r="M525" s="31"/>
      <c r="N525" s="32"/>
      <c r="O525" s="32"/>
      <c r="P525" s="32"/>
      <c r="Q525" s="32"/>
      <c r="R525" s="32"/>
      <c r="S525" s="32"/>
      <c r="T525" s="32"/>
      <c r="U525" s="29"/>
      <c r="V525" s="29"/>
      <c r="W525" s="24"/>
      <c r="X525" s="18"/>
      <c r="Y525" s="18"/>
      <c r="Z525" s="18"/>
      <c r="AA525" s="18"/>
      <c r="AB525" s="18"/>
      <c r="AC525" s="18"/>
      <c r="AD525" s="18"/>
      <c r="AE525" s="19"/>
      <c r="AF525" s="20"/>
      <c r="AG525" s="21"/>
      <c r="AH525" s="21"/>
      <c r="AI525" s="19"/>
      <c r="AJ525" s="29"/>
      <c r="AK525" s="29"/>
      <c r="AL525" s="29"/>
    </row>
    <row r="526" spans="2:38" s="28" customFormat="1" x14ac:dyDescent="0.3">
      <c r="B526" s="24"/>
      <c r="C526" s="37"/>
      <c r="D526" s="37"/>
      <c r="E526" s="37"/>
      <c r="F526" s="35"/>
      <c r="G526" s="35"/>
      <c r="H526" s="35"/>
      <c r="I526" s="35"/>
      <c r="J526" s="35"/>
      <c r="K526" s="35"/>
      <c r="L526" s="35"/>
      <c r="M526" s="31"/>
      <c r="N526" s="32"/>
      <c r="O526" s="32"/>
      <c r="P526" s="32"/>
      <c r="Q526" s="32"/>
      <c r="R526" s="32"/>
      <c r="S526" s="32"/>
      <c r="T526" s="32"/>
      <c r="U526" s="29"/>
      <c r="V526" s="29"/>
      <c r="W526" s="24"/>
      <c r="X526" s="18"/>
      <c r="Y526" s="18"/>
      <c r="Z526" s="18"/>
      <c r="AA526" s="18"/>
      <c r="AB526" s="18"/>
      <c r="AC526" s="18"/>
      <c r="AD526" s="18"/>
      <c r="AE526" s="19"/>
      <c r="AF526" s="20"/>
      <c r="AG526" s="21"/>
      <c r="AH526" s="21"/>
      <c r="AI526" s="19"/>
      <c r="AJ526" s="29"/>
      <c r="AK526" s="29"/>
      <c r="AL526" s="29"/>
    </row>
    <row r="527" spans="2:38" s="28" customFormat="1" x14ac:dyDescent="0.3">
      <c r="B527" s="24"/>
      <c r="C527" s="37"/>
      <c r="D527" s="37"/>
      <c r="E527" s="37"/>
      <c r="F527" s="35"/>
      <c r="G527" s="35"/>
      <c r="H527" s="35"/>
      <c r="I527" s="35"/>
      <c r="J527" s="35"/>
      <c r="K527" s="35"/>
      <c r="L527" s="35"/>
      <c r="M527" s="31"/>
      <c r="N527" s="32"/>
      <c r="O527" s="32"/>
      <c r="P527" s="32"/>
      <c r="Q527" s="32"/>
      <c r="R527" s="32"/>
      <c r="S527" s="32"/>
      <c r="T527" s="32"/>
      <c r="U527" s="29"/>
      <c r="V527" s="29"/>
      <c r="W527" s="24"/>
      <c r="X527" s="18"/>
      <c r="Y527" s="18"/>
      <c r="Z527" s="18"/>
      <c r="AA527" s="18"/>
      <c r="AB527" s="18"/>
      <c r="AC527" s="18"/>
      <c r="AD527" s="18"/>
      <c r="AE527" s="19"/>
      <c r="AF527" s="20"/>
      <c r="AG527" s="21"/>
      <c r="AH527" s="21"/>
      <c r="AI527" s="19"/>
      <c r="AJ527" s="29"/>
      <c r="AK527" s="29"/>
      <c r="AL527" s="29"/>
    </row>
    <row r="528" spans="2:38" s="28" customFormat="1" x14ac:dyDescent="0.3">
      <c r="B528" s="24"/>
      <c r="C528" s="37"/>
      <c r="D528" s="37"/>
      <c r="E528" s="37"/>
      <c r="F528" s="35"/>
      <c r="G528" s="35"/>
      <c r="H528" s="35"/>
      <c r="I528" s="35"/>
      <c r="J528" s="35"/>
      <c r="K528" s="35"/>
      <c r="L528" s="35"/>
      <c r="M528" s="31"/>
      <c r="N528" s="32"/>
      <c r="O528" s="32"/>
      <c r="P528" s="32"/>
      <c r="Q528" s="32"/>
      <c r="R528" s="32"/>
      <c r="S528" s="32"/>
      <c r="T528" s="32"/>
      <c r="U528" s="29"/>
      <c r="V528" s="29"/>
      <c r="W528" s="24"/>
      <c r="X528" s="18"/>
      <c r="Y528" s="18"/>
      <c r="Z528" s="18"/>
      <c r="AA528" s="18"/>
      <c r="AB528" s="18"/>
      <c r="AC528" s="18"/>
      <c r="AD528" s="18"/>
      <c r="AE528" s="19"/>
      <c r="AF528" s="20"/>
      <c r="AG528" s="21"/>
      <c r="AH528" s="21"/>
      <c r="AI528" s="19"/>
      <c r="AJ528" s="29"/>
      <c r="AK528" s="29"/>
      <c r="AL528" s="29"/>
    </row>
    <row r="529" spans="2:38" s="28" customFormat="1" x14ac:dyDescent="0.3">
      <c r="B529" s="24"/>
      <c r="C529" s="37"/>
      <c r="D529" s="37"/>
      <c r="E529" s="37"/>
      <c r="F529" s="35"/>
      <c r="G529" s="35"/>
      <c r="H529" s="35"/>
      <c r="I529" s="35"/>
      <c r="J529" s="35"/>
      <c r="K529" s="35"/>
      <c r="L529" s="35"/>
      <c r="M529" s="31"/>
      <c r="N529" s="32"/>
      <c r="O529" s="32"/>
      <c r="P529" s="32"/>
      <c r="Q529" s="32"/>
      <c r="R529" s="32"/>
      <c r="S529" s="32"/>
      <c r="T529" s="32"/>
      <c r="U529" s="29"/>
      <c r="V529" s="29"/>
      <c r="W529" s="24"/>
      <c r="X529" s="18"/>
      <c r="Y529" s="18"/>
      <c r="Z529" s="18"/>
      <c r="AA529" s="18"/>
      <c r="AB529" s="18"/>
      <c r="AC529" s="18"/>
      <c r="AD529" s="18"/>
      <c r="AE529" s="19"/>
      <c r="AF529" s="20"/>
      <c r="AG529" s="21"/>
      <c r="AH529" s="21"/>
      <c r="AI529" s="19"/>
      <c r="AJ529" s="29"/>
      <c r="AK529" s="29"/>
      <c r="AL529" s="29"/>
    </row>
    <row r="530" spans="2:38" s="28" customFormat="1" x14ac:dyDescent="0.3">
      <c r="B530" s="24"/>
      <c r="C530" s="37"/>
      <c r="D530" s="37"/>
      <c r="E530" s="37"/>
      <c r="F530" s="35"/>
      <c r="G530" s="35"/>
      <c r="H530" s="35"/>
      <c r="I530" s="35"/>
      <c r="J530" s="35"/>
      <c r="K530" s="35"/>
      <c r="L530" s="35"/>
      <c r="M530" s="31"/>
      <c r="N530" s="32"/>
      <c r="O530" s="32"/>
      <c r="P530" s="32"/>
      <c r="Q530" s="32"/>
      <c r="R530" s="32"/>
      <c r="S530" s="32"/>
      <c r="T530" s="32"/>
      <c r="U530" s="29"/>
      <c r="V530" s="29"/>
      <c r="W530" s="24"/>
      <c r="X530" s="18"/>
      <c r="Y530" s="18"/>
      <c r="Z530" s="18"/>
      <c r="AA530" s="18"/>
      <c r="AB530" s="18"/>
      <c r="AC530" s="18"/>
      <c r="AD530" s="18"/>
      <c r="AE530" s="19"/>
      <c r="AF530" s="20"/>
      <c r="AG530" s="21"/>
      <c r="AH530" s="21"/>
      <c r="AI530" s="19"/>
      <c r="AJ530" s="29"/>
      <c r="AK530" s="29"/>
      <c r="AL530" s="29"/>
    </row>
    <row r="531" spans="2:38" s="28" customFormat="1" x14ac:dyDescent="0.3">
      <c r="B531" s="24"/>
      <c r="C531" s="37"/>
      <c r="D531" s="37"/>
      <c r="E531" s="37"/>
      <c r="F531" s="35"/>
      <c r="G531" s="35"/>
      <c r="H531" s="35"/>
      <c r="I531" s="35"/>
      <c r="J531" s="35"/>
      <c r="K531" s="35"/>
      <c r="L531" s="35"/>
      <c r="M531" s="31"/>
      <c r="N531" s="32"/>
      <c r="O531" s="32"/>
      <c r="P531" s="32"/>
      <c r="Q531" s="32"/>
      <c r="R531" s="32"/>
      <c r="S531" s="32"/>
      <c r="T531" s="32"/>
      <c r="U531" s="29"/>
      <c r="V531" s="29"/>
      <c r="W531" s="24"/>
      <c r="X531" s="18"/>
      <c r="Y531" s="18"/>
      <c r="Z531" s="18"/>
      <c r="AA531" s="18"/>
      <c r="AB531" s="18"/>
      <c r="AC531" s="18"/>
      <c r="AD531" s="18"/>
      <c r="AE531" s="19"/>
      <c r="AF531" s="20"/>
      <c r="AG531" s="21"/>
      <c r="AH531" s="21"/>
      <c r="AI531" s="19"/>
      <c r="AJ531" s="29"/>
      <c r="AK531" s="29"/>
      <c r="AL531" s="29"/>
    </row>
    <row r="532" spans="2:38" s="28" customFormat="1" x14ac:dyDescent="0.3">
      <c r="B532" s="24"/>
      <c r="C532" s="37"/>
      <c r="D532" s="37"/>
      <c r="E532" s="37"/>
      <c r="F532" s="35"/>
      <c r="G532" s="35"/>
      <c r="H532" s="35"/>
      <c r="I532" s="35"/>
      <c r="J532" s="35"/>
      <c r="K532" s="35"/>
      <c r="L532" s="35"/>
      <c r="M532" s="31"/>
      <c r="N532" s="32"/>
      <c r="O532" s="32"/>
      <c r="P532" s="32"/>
      <c r="Q532" s="32"/>
      <c r="R532" s="32"/>
      <c r="S532" s="32"/>
      <c r="T532" s="32"/>
      <c r="U532" s="29"/>
      <c r="V532" s="29"/>
      <c r="W532" s="24"/>
      <c r="X532" s="18"/>
      <c r="Y532" s="18"/>
      <c r="Z532" s="18"/>
      <c r="AA532" s="18"/>
      <c r="AB532" s="18"/>
      <c r="AC532" s="18"/>
      <c r="AD532" s="18"/>
      <c r="AE532" s="19"/>
      <c r="AF532" s="20"/>
      <c r="AG532" s="21"/>
      <c r="AH532" s="21"/>
      <c r="AI532" s="19"/>
      <c r="AJ532" s="29"/>
      <c r="AK532" s="29"/>
      <c r="AL532" s="29"/>
    </row>
    <row r="533" spans="2:38" s="28" customFormat="1" x14ac:dyDescent="0.3">
      <c r="B533" s="24"/>
      <c r="C533" s="37"/>
      <c r="D533" s="37"/>
      <c r="E533" s="37"/>
      <c r="F533" s="35"/>
      <c r="G533" s="35"/>
      <c r="H533" s="35"/>
      <c r="I533" s="35"/>
      <c r="J533" s="35"/>
      <c r="K533" s="35"/>
      <c r="L533" s="35"/>
      <c r="M533" s="31"/>
      <c r="N533" s="32"/>
      <c r="O533" s="32"/>
      <c r="P533" s="32"/>
      <c r="Q533" s="32"/>
      <c r="R533" s="32"/>
      <c r="S533" s="32"/>
      <c r="T533" s="32"/>
      <c r="U533" s="29"/>
      <c r="V533" s="29"/>
      <c r="W533" s="24"/>
      <c r="X533" s="18"/>
      <c r="Y533" s="18"/>
      <c r="Z533" s="18"/>
      <c r="AA533" s="18"/>
      <c r="AB533" s="18"/>
      <c r="AC533" s="18"/>
      <c r="AD533" s="18"/>
      <c r="AE533" s="19"/>
      <c r="AF533" s="20"/>
      <c r="AG533" s="21"/>
      <c r="AH533" s="21"/>
      <c r="AI533" s="19"/>
      <c r="AJ533" s="29"/>
      <c r="AK533" s="29"/>
      <c r="AL533" s="29"/>
    </row>
    <row r="534" spans="2:38" s="28" customFormat="1" x14ac:dyDescent="0.3">
      <c r="B534" s="24"/>
      <c r="C534" s="37"/>
      <c r="D534" s="37"/>
      <c r="E534" s="37"/>
      <c r="F534" s="35"/>
      <c r="G534" s="35"/>
      <c r="H534" s="35"/>
      <c r="I534" s="35"/>
      <c r="J534" s="35"/>
      <c r="K534" s="35"/>
      <c r="L534" s="35"/>
      <c r="M534" s="31"/>
      <c r="N534" s="32"/>
      <c r="O534" s="32"/>
      <c r="P534" s="32"/>
      <c r="Q534" s="32"/>
      <c r="R534" s="32"/>
      <c r="S534" s="32"/>
      <c r="T534" s="32"/>
      <c r="U534" s="29"/>
      <c r="V534" s="29"/>
      <c r="W534" s="24"/>
      <c r="X534" s="18"/>
      <c r="Y534" s="18"/>
      <c r="Z534" s="18"/>
      <c r="AA534" s="18"/>
      <c r="AB534" s="18"/>
      <c r="AC534" s="18"/>
      <c r="AD534" s="18"/>
      <c r="AE534" s="19"/>
      <c r="AF534" s="20"/>
      <c r="AG534" s="21"/>
      <c r="AH534" s="21"/>
      <c r="AI534" s="19"/>
      <c r="AJ534" s="29"/>
      <c r="AK534" s="29"/>
      <c r="AL534" s="29"/>
    </row>
    <row r="535" spans="2:38" s="28" customFormat="1" x14ac:dyDescent="0.3">
      <c r="B535" s="24"/>
      <c r="C535" s="37"/>
      <c r="D535" s="37"/>
      <c r="E535" s="37"/>
      <c r="F535" s="35"/>
      <c r="G535" s="35"/>
      <c r="H535" s="35"/>
      <c r="I535" s="35"/>
      <c r="J535" s="35"/>
      <c r="K535" s="35"/>
      <c r="L535" s="35"/>
      <c r="M535" s="31"/>
      <c r="N535" s="32"/>
      <c r="O535" s="32"/>
      <c r="P535" s="32"/>
      <c r="Q535" s="32"/>
      <c r="R535" s="32"/>
      <c r="S535" s="32"/>
      <c r="T535" s="32"/>
      <c r="U535" s="29"/>
      <c r="V535" s="29"/>
      <c r="W535" s="24"/>
      <c r="X535" s="18"/>
      <c r="Y535" s="18"/>
      <c r="Z535" s="18"/>
      <c r="AA535" s="18"/>
      <c r="AB535" s="18"/>
      <c r="AC535" s="18"/>
      <c r="AD535" s="18"/>
      <c r="AE535" s="19"/>
      <c r="AF535" s="20"/>
      <c r="AG535" s="21"/>
      <c r="AH535" s="21"/>
      <c r="AI535" s="19"/>
      <c r="AJ535" s="29"/>
      <c r="AK535" s="29"/>
      <c r="AL535" s="29"/>
    </row>
    <row r="536" spans="2:38" s="28" customFormat="1" x14ac:dyDescent="0.3">
      <c r="B536" s="24"/>
      <c r="C536" s="37"/>
      <c r="D536" s="37"/>
      <c r="E536" s="37"/>
      <c r="F536" s="35"/>
      <c r="G536" s="35"/>
      <c r="H536" s="35"/>
      <c r="I536" s="35"/>
      <c r="J536" s="35"/>
      <c r="K536" s="35"/>
      <c r="L536" s="35"/>
      <c r="M536" s="31"/>
      <c r="N536" s="32"/>
      <c r="O536" s="32"/>
      <c r="P536" s="32"/>
      <c r="Q536" s="32"/>
      <c r="R536" s="32"/>
      <c r="S536" s="32"/>
      <c r="T536" s="32"/>
      <c r="U536" s="29"/>
      <c r="V536" s="29"/>
      <c r="W536" s="24"/>
      <c r="X536" s="18"/>
      <c r="Y536" s="18"/>
      <c r="Z536" s="18"/>
      <c r="AA536" s="18"/>
      <c r="AB536" s="18"/>
      <c r="AC536" s="18"/>
      <c r="AD536" s="18"/>
      <c r="AE536" s="19"/>
      <c r="AF536" s="20"/>
      <c r="AG536" s="21"/>
      <c r="AH536" s="21"/>
      <c r="AI536" s="19"/>
      <c r="AJ536" s="29"/>
      <c r="AK536" s="29"/>
      <c r="AL536" s="29"/>
    </row>
    <row r="537" spans="2:38" s="28" customFormat="1" x14ac:dyDescent="0.3">
      <c r="B537" s="24"/>
      <c r="C537" s="37"/>
      <c r="D537" s="37"/>
      <c r="E537" s="37"/>
      <c r="F537" s="35"/>
      <c r="G537" s="35"/>
      <c r="H537" s="35"/>
      <c r="I537" s="35"/>
      <c r="J537" s="35"/>
      <c r="K537" s="35"/>
      <c r="L537" s="35"/>
      <c r="M537" s="31"/>
      <c r="N537" s="32"/>
      <c r="O537" s="32"/>
      <c r="P537" s="32"/>
      <c r="Q537" s="32"/>
      <c r="R537" s="32"/>
      <c r="S537" s="32"/>
      <c r="T537" s="32"/>
      <c r="U537" s="29"/>
      <c r="V537" s="29"/>
      <c r="W537" s="24"/>
      <c r="X537" s="18"/>
      <c r="Y537" s="18"/>
      <c r="Z537" s="18"/>
      <c r="AA537" s="18"/>
      <c r="AB537" s="18"/>
      <c r="AC537" s="18"/>
      <c r="AD537" s="18"/>
      <c r="AE537" s="19"/>
      <c r="AF537" s="20"/>
      <c r="AG537" s="21"/>
      <c r="AH537" s="21"/>
      <c r="AI537" s="19"/>
      <c r="AJ537" s="29"/>
      <c r="AK537" s="29"/>
      <c r="AL537" s="29"/>
    </row>
    <row r="538" spans="2:38" s="28" customFormat="1" x14ac:dyDescent="0.3">
      <c r="B538" s="24"/>
      <c r="C538" s="37"/>
      <c r="D538" s="37"/>
      <c r="E538" s="37"/>
      <c r="F538" s="35"/>
      <c r="G538" s="35"/>
      <c r="H538" s="35"/>
      <c r="I538" s="35"/>
      <c r="J538" s="35"/>
      <c r="K538" s="35"/>
      <c r="L538" s="35"/>
      <c r="M538" s="31"/>
      <c r="N538" s="32"/>
      <c r="O538" s="32"/>
      <c r="P538" s="32"/>
      <c r="Q538" s="32"/>
      <c r="R538" s="32"/>
      <c r="S538" s="32"/>
      <c r="T538" s="32"/>
      <c r="U538" s="29"/>
      <c r="V538" s="29"/>
      <c r="W538" s="24"/>
      <c r="X538" s="18"/>
      <c r="Y538" s="18"/>
      <c r="Z538" s="18"/>
      <c r="AA538" s="18"/>
      <c r="AB538" s="18"/>
      <c r="AC538" s="18"/>
      <c r="AD538" s="18"/>
      <c r="AE538" s="19"/>
      <c r="AF538" s="20"/>
      <c r="AG538" s="21"/>
      <c r="AH538" s="21"/>
      <c r="AI538" s="19"/>
      <c r="AJ538" s="29"/>
      <c r="AK538" s="29"/>
      <c r="AL538" s="29"/>
    </row>
    <row r="539" spans="2:38" s="28" customFormat="1" x14ac:dyDescent="0.3">
      <c r="B539" s="24"/>
      <c r="C539" s="37"/>
      <c r="D539" s="37"/>
      <c r="E539" s="37"/>
      <c r="F539" s="35"/>
      <c r="G539" s="35"/>
      <c r="H539" s="35"/>
      <c r="I539" s="35"/>
      <c r="J539" s="35"/>
      <c r="K539" s="35"/>
      <c r="L539" s="35"/>
      <c r="M539" s="31"/>
      <c r="N539" s="32"/>
      <c r="O539" s="32"/>
      <c r="P539" s="32"/>
      <c r="Q539" s="32"/>
      <c r="R539" s="32"/>
      <c r="S539" s="32"/>
      <c r="T539" s="32"/>
      <c r="U539" s="29"/>
      <c r="V539" s="29"/>
      <c r="W539" s="24"/>
      <c r="X539" s="18"/>
      <c r="Y539" s="18"/>
      <c r="Z539" s="18"/>
      <c r="AA539" s="18"/>
      <c r="AB539" s="18"/>
      <c r="AC539" s="18"/>
      <c r="AD539" s="18"/>
      <c r="AE539" s="19"/>
      <c r="AF539" s="20"/>
      <c r="AG539" s="21"/>
      <c r="AH539" s="21"/>
      <c r="AI539" s="19"/>
      <c r="AJ539" s="29"/>
      <c r="AK539" s="29"/>
      <c r="AL539" s="29"/>
    </row>
    <row r="540" spans="2:38" s="28" customFormat="1" x14ac:dyDescent="0.3">
      <c r="B540" s="24"/>
      <c r="C540" s="37"/>
      <c r="D540" s="37"/>
      <c r="E540" s="37"/>
      <c r="F540" s="35"/>
      <c r="G540" s="35"/>
      <c r="H540" s="35"/>
      <c r="I540" s="35"/>
      <c r="J540" s="35"/>
      <c r="K540" s="35"/>
      <c r="L540" s="35"/>
      <c r="M540" s="31"/>
      <c r="N540" s="32"/>
      <c r="O540" s="32"/>
      <c r="P540" s="32"/>
      <c r="Q540" s="32"/>
      <c r="R540" s="32"/>
      <c r="S540" s="32"/>
      <c r="T540" s="32"/>
      <c r="U540" s="29"/>
      <c r="V540" s="29"/>
      <c r="W540" s="24"/>
      <c r="X540" s="18"/>
      <c r="Y540" s="18"/>
      <c r="Z540" s="18"/>
      <c r="AA540" s="18"/>
      <c r="AB540" s="18"/>
      <c r="AC540" s="18"/>
      <c r="AD540" s="18"/>
      <c r="AE540" s="19"/>
      <c r="AF540" s="20"/>
      <c r="AG540" s="21"/>
      <c r="AH540" s="21"/>
      <c r="AI540" s="19"/>
      <c r="AJ540" s="29"/>
      <c r="AK540" s="29"/>
      <c r="AL540" s="29"/>
    </row>
    <row r="541" spans="2:38" s="28" customFormat="1" x14ac:dyDescent="0.3">
      <c r="B541" s="24"/>
      <c r="C541" s="37"/>
      <c r="D541" s="37"/>
      <c r="E541" s="37"/>
      <c r="F541" s="35"/>
      <c r="G541" s="35"/>
      <c r="H541" s="35"/>
      <c r="I541" s="35"/>
      <c r="J541" s="35"/>
      <c r="K541" s="35"/>
      <c r="L541" s="35"/>
      <c r="M541" s="31"/>
      <c r="N541" s="32"/>
      <c r="O541" s="32"/>
      <c r="P541" s="32"/>
      <c r="Q541" s="32"/>
      <c r="R541" s="32"/>
      <c r="S541" s="32"/>
      <c r="T541" s="32"/>
      <c r="U541" s="29"/>
      <c r="V541" s="29"/>
      <c r="W541" s="24"/>
      <c r="X541" s="18"/>
      <c r="Y541" s="18"/>
      <c r="Z541" s="18"/>
      <c r="AA541" s="18"/>
      <c r="AB541" s="18"/>
      <c r="AC541" s="18"/>
      <c r="AD541" s="18"/>
      <c r="AE541" s="19"/>
      <c r="AF541" s="20"/>
      <c r="AG541" s="21"/>
      <c r="AH541" s="21"/>
      <c r="AI541" s="19"/>
      <c r="AJ541" s="29"/>
      <c r="AK541" s="29"/>
      <c r="AL541" s="29"/>
    </row>
    <row r="542" spans="2:38" s="28" customFormat="1" x14ac:dyDescent="0.3">
      <c r="B542" s="24"/>
      <c r="C542" s="37"/>
      <c r="D542" s="37"/>
      <c r="E542" s="37"/>
      <c r="F542" s="35"/>
      <c r="G542" s="35"/>
      <c r="H542" s="35"/>
      <c r="I542" s="35"/>
      <c r="J542" s="35"/>
      <c r="K542" s="35"/>
      <c r="L542" s="35"/>
      <c r="M542" s="31"/>
      <c r="N542" s="32"/>
      <c r="O542" s="32"/>
      <c r="P542" s="32"/>
      <c r="Q542" s="32"/>
      <c r="R542" s="32"/>
      <c r="S542" s="32"/>
      <c r="T542" s="32"/>
      <c r="U542" s="29"/>
      <c r="V542" s="29"/>
      <c r="W542" s="24"/>
      <c r="X542" s="18"/>
      <c r="Y542" s="18"/>
      <c r="Z542" s="18"/>
      <c r="AA542" s="18"/>
      <c r="AB542" s="18"/>
      <c r="AC542" s="18"/>
      <c r="AD542" s="18"/>
      <c r="AE542" s="19"/>
      <c r="AF542" s="20"/>
      <c r="AG542" s="21"/>
      <c r="AH542" s="21"/>
      <c r="AI542" s="19"/>
      <c r="AJ542" s="29"/>
      <c r="AK542" s="29"/>
      <c r="AL542" s="29"/>
    </row>
    <row r="543" spans="2:38" s="28" customFormat="1" x14ac:dyDescent="0.3">
      <c r="B543" s="24"/>
      <c r="C543" s="37"/>
      <c r="D543" s="37"/>
      <c r="E543" s="37"/>
      <c r="F543" s="35"/>
      <c r="G543" s="35"/>
      <c r="H543" s="35"/>
      <c r="I543" s="35"/>
      <c r="J543" s="35"/>
      <c r="K543" s="35"/>
      <c r="L543" s="35"/>
      <c r="M543" s="31"/>
      <c r="N543" s="32"/>
      <c r="O543" s="32"/>
      <c r="P543" s="32"/>
      <c r="Q543" s="32"/>
      <c r="R543" s="32"/>
      <c r="S543" s="32"/>
      <c r="T543" s="32"/>
      <c r="U543" s="29"/>
      <c r="V543" s="29"/>
      <c r="W543" s="24"/>
      <c r="X543" s="18"/>
      <c r="Y543" s="18"/>
      <c r="Z543" s="18"/>
      <c r="AA543" s="18"/>
      <c r="AB543" s="18"/>
      <c r="AC543" s="18"/>
      <c r="AD543" s="18"/>
      <c r="AE543" s="19"/>
      <c r="AF543" s="20"/>
      <c r="AG543" s="21"/>
      <c r="AH543" s="21"/>
      <c r="AI543" s="19"/>
      <c r="AJ543" s="29"/>
      <c r="AK543" s="29"/>
      <c r="AL543" s="29"/>
    </row>
    <row r="544" spans="2:38" s="28" customFormat="1" x14ac:dyDescent="0.3">
      <c r="B544" s="24"/>
      <c r="C544" s="37"/>
      <c r="D544" s="37"/>
      <c r="E544" s="37"/>
      <c r="F544" s="35"/>
      <c r="G544" s="35"/>
      <c r="H544" s="35"/>
      <c r="I544" s="35"/>
      <c r="J544" s="35"/>
      <c r="K544" s="35"/>
      <c r="L544" s="35"/>
      <c r="M544" s="31"/>
      <c r="N544" s="32"/>
      <c r="O544" s="32"/>
      <c r="P544" s="32"/>
      <c r="Q544" s="32"/>
      <c r="R544" s="32"/>
      <c r="S544" s="32"/>
      <c r="T544" s="32"/>
      <c r="U544" s="29"/>
      <c r="V544" s="29"/>
      <c r="W544" s="24"/>
      <c r="X544" s="18"/>
      <c r="Y544" s="18"/>
      <c r="Z544" s="18"/>
      <c r="AA544" s="18"/>
      <c r="AB544" s="18"/>
      <c r="AC544" s="18"/>
      <c r="AD544" s="18"/>
      <c r="AE544" s="19"/>
      <c r="AF544" s="20"/>
      <c r="AG544" s="21"/>
      <c r="AH544" s="21"/>
      <c r="AI544" s="19"/>
      <c r="AJ544" s="29"/>
      <c r="AK544" s="29"/>
      <c r="AL544" s="29"/>
    </row>
    <row r="545" spans="2:38" s="28" customFormat="1" x14ac:dyDescent="0.3">
      <c r="B545" s="24"/>
      <c r="C545" s="37"/>
      <c r="D545" s="37"/>
      <c r="E545" s="37"/>
      <c r="F545" s="35"/>
      <c r="G545" s="35"/>
      <c r="H545" s="35"/>
      <c r="I545" s="35"/>
      <c r="J545" s="35"/>
      <c r="K545" s="35"/>
      <c r="L545" s="35"/>
      <c r="M545" s="31"/>
      <c r="N545" s="32"/>
      <c r="O545" s="32"/>
      <c r="P545" s="32"/>
      <c r="Q545" s="32"/>
      <c r="R545" s="32"/>
      <c r="S545" s="32"/>
      <c r="T545" s="32"/>
      <c r="U545" s="29"/>
      <c r="V545" s="29"/>
      <c r="W545" s="24"/>
      <c r="X545" s="18"/>
      <c r="Y545" s="18"/>
      <c r="Z545" s="18"/>
      <c r="AA545" s="18"/>
      <c r="AB545" s="18"/>
      <c r="AC545" s="18"/>
      <c r="AD545" s="18"/>
      <c r="AE545" s="19"/>
      <c r="AF545" s="20"/>
      <c r="AG545" s="21"/>
      <c r="AH545" s="21"/>
      <c r="AI545" s="19"/>
      <c r="AJ545" s="29"/>
      <c r="AK545" s="29"/>
      <c r="AL545" s="29"/>
    </row>
    <row r="546" spans="2:38" s="28" customFormat="1" x14ac:dyDescent="0.3">
      <c r="B546" s="24"/>
      <c r="C546" s="37"/>
      <c r="D546" s="37"/>
      <c r="E546" s="37"/>
      <c r="F546" s="35"/>
      <c r="G546" s="35"/>
      <c r="H546" s="35"/>
      <c r="I546" s="35"/>
      <c r="J546" s="35"/>
      <c r="K546" s="35"/>
      <c r="L546" s="35"/>
      <c r="M546" s="31"/>
      <c r="N546" s="32"/>
      <c r="O546" s="32"/>
      <c r="P546" s="32"/>
      <c r="Q546" s="32"/>
      <c r="R546" s="32"/>
      <c r="S546" s="32"/>
      <c r="T546" s="32"/>
      <c r="U546" s="29"/>
      <c r="V546" s="29"/>
      <c r="W546" s="24"/>
      <c r="X546" s="18"/>
      <c r="Y546" s="18"/>
      <c r="Z546" s="18"/>
      <c r="AA546" s="18"/>
      <c r="AB546" s="18"/>
      <c r="AC546" s="18"/>
      <c r="AD546" s="18"/>
      <c r="AE546" s="19"/>
      <c r="AF546" s="20"/>
      <c r="AG546" s="21"/>
      <c r="AH546" s="21"/>
      <c r="AI546" s="19"/>
      <c r="AJ546" s="29"/>
      <c r="AK546" s="29"/>
      <c r="AL546" s="29"/>
    </row>
    <row r="547" spans="2:38" s="28" customFormat="1" x14ac:dyDescent="0.3">
      <c r="B547" s="24"/>
      <c r="C547" s="37"/>
      <c r="D547" s="37"/>
      <c r="E547" s="37"/>
      <c r="F547" s="35"/>
      <c r="G547" s="35"/>
      <c r="H547" s="35"/>
      <c r="I547" s="35"/>
      <c r="J547" s="35"/>
      <c r="K547" s="35"/>
      <c r="L547" s="35"/>
      <c r="M547" s="31"/>
      <c r="N547" s="32"/>
      <c r="O547" s="32"/>
      <c r="P547" s="32"/>
      <c r="Q547" s="32"/>
      <c r="R547" s="32"/>
      <c r="S547" s="32"/>
      <c r="T547" s="32"/>
      <c r="U547" s="29"/>
      <c r="V547" s="29"/>
      <c r="W547" s="24"/>
      <c r="X547" s="18"/>
      <c r="Y547" s="18"/>
      <c r="Z547" s="18"/>
      <c r="AA547" s="18"/>
      <c r="AB547" s="18"/>
      <c r="AC547" s="18"/>
      <c r="AD547" s="18"/>
      <c r="AE547" s="19"/>
      <c r="AF547" s="20"/>
      <c r="AG547" s="21"/>
      <c r="AH547" s="21"/>
      <c r="AI547" s="19"/>
      <c r="AJ547" s="29"/>
      <c r="AK547" s="29"/>
      <c r="AL547" s="29"/>
    </row>
    <row r="548" spans="2:38" s="28" customFormat="1" x14ac:dyDescent="0.3">
      <c r="B548" s="24"/>
      <c r="C548" s="37"/>
      <c r="D548" s="37"/>
      <c r="E548" s="37"/>
      <c r="F548" s="35"/>
      <c r="G548" s="35"/>
      <c r="H548" s="35"/>
      <c r="I548" s="35"/>
      <c r="J548" s="35"/>
      <c r="K548" s="35"/>
      <c r="L548" s="35"/>
      <c r="M548" s="31"/>
      <c r="N548" s="32"/>
      <c r="O548" s="32"/>
      <c r="P548" s="32"/>
      <c r="Q548" s="32"/>
      <c r="R548" s="32"/>
      <c r="S548" s="32"/>
      <c r="T548" s="32"/>
      <c r="U548" s="29"/>
      <c r="V548" s="29"/>
      <c r="W548" s="24"/>
      <c r="X548" s="18"/>
      <c r="Y548" s="18"/>
      <c r="Z548" s="18"/>
      <c r="AA548" s="18"/>
      <c r="AB548" s="18"/>
      <c r="AC548" s="18"/>
      <c r="AD548" s="18"/>
      <c r="AE548" s="19"/>
      <c r="AF548" s="20"/>
      <c r="AG548" s="21"/>
      <c r="AH548" s="21"/>
      <c r="AI548" s="19"/>
      <c r="AJ548" s="29"/>
      <c r="AK548" s="29"/>
      <c r="AL548" s="29"/>
    </row>
    <row r="549" spans="2:38" s="28" customFormat="1" x14ac:dyDescent="0.3">
      <c r="B549" s="24"/>
      <c r="C549" s="37"/>
      <c r="D549" s="37"/>
      <c r="E549" s="37"/>
      <c r="F549" s="35"/>
      <c r="G549" s="35"/>
      <c r="H549" s="35"/>
      <c r="I549" s="35"/>
      <c r="J549" s="35"/>
      <c r="K549" s="35"/>
      <c r="L549" s="35"/>
      <c r="M549" s="31"/>
      <c r="N549" s="32"/>
      <c r="O549" s="32"/>
      <c r="P549" s="32"/>
      <c r="Q549" s="32"/>
      <c r="R549" s="32"/>
      <c r="S549" s="32"/>
      <c r="T549" s="32"/>
      <c r="U549" s="29"/>
      <c r="V549" s="29"/>
      <c r="W549" s="24"/>
      <c r="X549" s="18"/>
      <c r="Y549" s="18"/>
      <c r="Z549" s="18"/>
      <c r="AA549" s="18"/>
      <c r="AB549" s="18"/>
      <c r="AC549" s="18"/>
      <c r="AD549" s="18"/>
      <c r="AE549" s="19"/>
      <c r="AF549" s="20"/>
      <c r="AG549" s="21"/>
      <c r="AH549" s="21"/>
      <c r="AI549" s="19"/>
      <c r="AJ549" s="29"/>
      <c r="AK549" s="29"/>
      <c r="AL549" s="29"/>
    </row>
    <row r="550" spans="2:38" s="28" customFormat="1" x14ac:dyDescent="0.3">
      <c r="B550" s="24"/>
      <c r="C550" s="37"/>
      <c r="D550" s="37"/>
      <c r="E550" s="37"/>
      <c r="F550" s="35"/>
      <c r="G550" s="35"/>
      <c r="H550" s="35"/>
      <c r="I550" s="35"/>
      <c r="J550" s="35"/>
      <c r="K550" s="35"/>
      <c r="L550" s="35"/>
      <c r="M550" s="31"/>
      <c r="N550" s="32"/>
      <c r="O550" s="32"/>
      <c r="P550" s="32"/>
      <c r="Q550" s="32"/>
      <c r="R550" s="32"/>
      <c r="S550" s="32"/>
      <c r="T550" s="32"/>
      <c r="U550" s="29"/>
      <c r="V550" s="29"/>
      <c r="W550" s="24"/>
      <c r="X550" s="18"/>
      <c r="Y550" s="18"/>
      <c r="Z550" s="18"/>
      <c r="AA550" s="18"/>
      <c r="AB550" s="18"/>
      <c r="AC550" s="18"/>
      <c r="AD550" s="18"/>
      <c r="AE550" s="19"/>
      <c r="AF550" s="20"/>
      <c r="AG550" s="21"/>
      <c r="AH550" s="21"/>
      <c r="AI550" s="19"/>
      <c r="AJ550" s="29"/>
      <c r="AK550" s="29"/>
      <c r="AL550" s="29"/>
    </row>
    <row r="551" spans="2:38" s="28" customFormat="1" x14ac:dyDescent="0.3">
      <c r="B551" s="24"/>
      <c r="C551" s="37"/>
      <c r="D551" s="37"/>
      <c r="E551" s="37"/>
      <c r="F551" s="35"/>
      <c r="G551" s="35"/>
      <c r="H551" s="35"/>
      <c r="I551" s="35"/>
      <c r="J551" s="35"/>
      <c r="K551" s="35"/>
      <c r="L551" s="35"/>
      <c r="M551" s="31"/>
      <c r="N551" s="32"/>
      <c r="O551" s="32"/>
      <c r="P551" s="32"/>
      <c r="Q551" s="32"/>
      <c r="R551" s="32"/>
      <c r="S551" s="32"/>
      <c r="T551" s="32"/>
      <c r="U551" s="29"/>
      <c r="V551" s="29"/>
      <c r="W551" s="24"/>
      <c r="X551" s="18"/>
      <c r="Y551" s="18"/>
      <c r="Z551" s="18"/>
      <c r="AA551" s="18"/>
      <c r="AB551" s="18"/>
      <c r="AC551" s="18"/>
      <c r="AD551" s="18"/>
      <c r="AE551" s="19"/>
      <c r="AF551" s="20"/>
      <c r="AG551" s="21"/>
      <c r="AH551" s="21"/>
      <c r="AI551" s="19"/>
      <c r="AJ551" s="29"/>
      <c r="AK551" s="29"/>
      <c r="AL551" s="29"/>
    </row>
    <row r="552" spans="2:38" s="28" customFormat="1" x14ac:dyDescent="0.3">
      <c r="B552" s="24"/>
      <c r="C552" s="37"/>
      <c r="D552" s="37"/>
      <c r="E552" s="37"/>
      <c r="F552" s="35"/>
      <c r="G552" s="35"/>
      <c r="H552" s="35"/>
      <c r="I552" s="35"/>
      <c r="J552" s="35"/>
      <c r="K552" s="35"/>
      <c r="L552" s="35"/>
      <c r="M552" s="31"/>
      <c r="N552" s="32"/>
      <c r="O552" s="32"/>
      <c r="P552" s="32"/>
      <c r="Q552" s="32"/>
      <c r="R552" s="32"/>
      <c r="S552" s="32"/>
      <c r="T552" s="32"/>
      <c r="U552" s="29"/>
      <c r="V552" s="29"/>
      <c r="W552" s="24"/>
      <c r="X552" s="18"/>
      <c r="Y552" s="18"/>
      <c r="Z552" s="18"/>
      <c r="AA552" s="18"/>
      <c r="AB552" s="18"/>
      <c r="AC552" s="18"/>
      <c r="AD552" s="18"/>
      <c r="AE552" s="19"/>
      <c r="AF552" s="20"/>
      <c r="AG552" s="21"/>
      <c r="AH552" s="21"/>
      <c r="AI552" s="19"/>
      <c r="AJ552" s="29"/>
      <c r="AK552" s="29"/>
      <c r="AL552" s="29"/>
    </row>
    <row r="553" spans="2:38" s="28" customFormat="1" x14ac:dyDescent="0.3">
      <c r="B553" s="24"/>
      <c r="C553" s="37"/>
      <c r="D553" s="37"/>
      <c r="E553" s="37"/>
      <c r="F553" s="35"/>
      <c r="G553" s="35"/>
      <c r="H553" s="35"/>
      <c r="I553" s="35"/>
      <c r="J553" s="35"/>
      <c r="K553" s="35"/>
      <c r="L553" s="35"/>
      <c r="M553" s="31"/>
      <c r="N553" s="32"/>
      <c r="O553" s="32"/>
      <c r="P553" s="32"/>
      <c r="Q553" s="32"/>
      <c r="R553" s="32"/>
      <c r="S553" s="32"/>
      <c r="T553" s="32"/>
      <c r="U553" s="29"/>
      <c r="V553" s="29"/>
      <c r="W553" s="24"/>
      <c r="X553" s="18"/>
      <c r="Y553" s="18"/>
      <c r="Z553" s="18"/>
      <c r="AA553" s="18"/>
      <c r="AB553" s="18"/>
      <c r="AC553" s="18"/>
      <c r="AD553" s="18"/>
      <c r="AE553" s="19"/>
      <c r="AF553" s="20"/>
      <c r="AG553" s="21"/>
      <c r="AH553" s="21"/>
      <c r="AI553" s="19"/>
      <c r="AJ553" s="29"/>
      <c r="AK553" s="29"/>
      <c r="AL553" s="29"/>
    </row>
    <row r="554" spans="2:38" s="28" customFormat="1" x14ac:dyDescent="0.3">
      <c r="B554" s="24"/>
      <c r="C554" s="37"/>
      <c r="D554" s="37"/>
      <c r="E554" s="37"/>
      <c r="F554" s="35"/>
      <c r="G554" s="35"/>
      <c r="H554" s="35"/>
      <c r="I554" s="35"/>
      <c r="J554" s="35"/>
      <c r="K554" s="35"/>
      <c r="L554" s="35"/>
      <c r="M554" s="31"/>
      <c r="N554" s="32"/>
      <c r="O554" s="32"/>
      <c r="P554" s="32"/>
      <c r="Q554" s="32"/>
      <c r="R554" s="32"/>
      <c r="S554" s="32"/>
      <c r="T554" s="32"/>
      <c r="U554" s="29"/>
      <c r="V554" s="29"/>
      <c r="W554" s="24"/>
      <c r="X554" s="18"/>
      <c r="Y554" s="18"/>
      <c r="Z554" s="18"/>
      <c r="AA554" s="18"/>
      <c r="AB554" s="18"/>
      <c r="AC554" s="18"/>
      <c r="AD554" s="18"/>
      <c r="AE554" s="19"/>
      <c r="AF554" s="20"/>
      <c r="AG554" s="21"/>
      <c r="AH554" s="21"/>
      <c r="AI554" s="19"/>
      <c r="AJ554" s="29"/>
      <c r="AK554" s="29"/>
      <c r="AL554" s="29"/>
    </row>
    <row r="555" spans="2:38" s="28" customFormat="1" x14ac:dyDescent="0.3">
      <c r="B555" s="24"/>
      <c r="C555" s="37"/>
      <c r="D555" s="37"/>
      <c r="E555" s="37"/>
      <c r="F555" s="35"/>
      <c r="G555" s="35"/>
      <c r="H555" s="35"/>
      <c r="I555" s="35"/>
      <c r="J555" s="35"/>
      <c r="K555" s="35"/>
      <c r="L555" s="35"/>
      <c r="M555" s="31"/>
      <c r="N555" s="32"/>
      <c r="O555" s="32"/>
      <c r="P555" s="32"/>
      <c r="Q555" s="32"/>
      <c r="R555" s="32"/>
      <c r="S555" s="32"/>
      <c r="T555" s="32"/>
      <c r="U555" s="29"/>
      <c r="V555" s="29"/>
      <c r="W555" s="24"/>
      <c r="X555" s="18"/>
      <c r="Y555" s="18"/>
      <c r="Z555" s="18"/>
      <c r="AA555" s="18"/>
      <c r="AB555" s="18"/>
      <c r="AC555" s="18"/>
      <c r="AD555" s="18"/>
      <c r="AE555" s="19"/>
      <c r="AF555" s="20"/>
      <c r="AG555" s="21"/>
      <c r="AH555" s="21"/>
      <c r="AI555" s="19"/>
      <c r="AJ555" s="29"/>
      <c r="AK555" s="29"/>
      <c r="AL555" s="29"/>
    </row>
    <row r="556" spans="2:38" s="28" customFormat="1" x14ac:dyDescent="0.3">
      <c r="B556" s="24"/>
      <c r="C556" s="37"/>
      <c r="D556" s="37"/>
      <c r="E556" s="37"/>
      <c r="F556" s="35"/>
      <c r="G556" s="35"/>
      <c r="H556" s="35"/>
      <c r="I556" s="35"/>
      <c r="J556" s="35"/>
      <c r="K556" s="35"/>
      <c r="L556" s="35"/>
      <c r="M556" s="31"/>
      <c r="N556" s="32"/>
      <c r="O556" s="32"/>
      <c r="P556" s="32"/>
      <c r="Q556" s="32"/>
      <c r="R556" s="32"/>
      <c r="S556" s="32"/>
      <c r="T556" s="32"/>
      <c r="U556" s="29"/>
      <c r="V556" s="29"/>
      <c r="W556" s="24"/>
      <c r="X556" s="18"/>
      <c r="Y556" s="18"/>
      <c r="Z556" s="18"/>
      <c r="AA556" s="18"/>
      <c r="AB556" s="18"/>
      <c r="AC556" s="18"/>
      <c r="AD556" s="18"/>
      <c r="AE556" s="19"/>
      <c r="AF556" s="20"/>
      <c r="AG556" s="21"/>
      <c r="AH556" s="21"/>
      <c r="AI556" s="19"/>
      <c r="AJ556" s="29"/>
      <c r="AK556" s="29"/>
      <c r="AL556" s="29"/>
    </row>
    <row r="557" spans="2:38" s="28" customFormat="1" x14ac:dyDescent="0.3">
      <c r="B557" s="24"/>
      <c r="C557" s="37"/>
      <c r="D557" s="37"/>
      <c r="E557" s="37"/>
      <c r="F557" s="35"/>
      <c r="G557" s="35"/>
      <c r="H557" s="35"/>
      <c r="I557" s="35"/>
      <c r="J557" s="35"/>
      <c r="K557" s="35"/>
      <c r="L557" s="35"/>
      <c r="M557" s="31"/>
      <c r="N557" s="32"/>
      <c r="O557" s="32"/>
      <c r="P557" s="32"/>
      <c r="Q557" s="32"/>
      <c r="R557" s="32"/>
      <c r="S557" s="32"/>
      <c r="T557" s="32"/>
      <c r="U557" s="29"/>
      <c r="V557" s="29"/>
      <c r="W557" s="24"/>
      <c r="X557" s="18"/>
      <c r="Y557" s="18"/>
      <c r="Z557" s="18"/>
      <c r="AA557" s="18"/>
      <c r="AB557" s="18"/>
      <c r="AC557" s="18"/>
      <c r="AD557" s="18"/>
      <c r="AE557" s="19"/>
      <c r="AF557" s="20"/>
      <c r="AG557" s="21"/>
      <c r="AH557" s="21"/>
      <c r="AI557" s="19"/>
      <c r="AJ557" s="29"/>
      <c r="AK557" s="29"/>
      <c r="AL557" s="29"/>
    </row>
    <row r="558" spans="2:38" s="28" customFormat="1" x14ac:dyDescent="0.3">
      <c r="B558" s="24"/>
      <c r="C558" s="37"/>
      <c r="D558" s="37"/>
      <c r="E558" s="37"/>
      <c r="F558" s="35"/>
      <c r="G558" s="35"/>
      <c r="H558" s="35"/>
      <c r="I558" s="35"/>
      <c r="J558" s="35"/>
      <c r="K558" s="35"/>
      <c r="L558" s="35"/>
      <c r="M558" s="31"/>
      <c r="N558" s="32"/>
      <c r="O558" s="32"/>
      <c r="P558" s="32"/>
      <c r="Q558" s="32"/>
      <c r="R558" s="32"/>
      <c r="S558" s="32"/>
      <c r="T558" s="32"/>
      <c r="U558" s="29"/>
      <c r="V558" s="29"/>
      <c r="W558" s="24"/>
      <c r="X558" s="18"/>
      <c r="Y558" s="18"/>
      <c r="Z558" s="18"/>
      <c r="AA558" s="18"/>
      <c r="AB558" s="18"/>
      <c r="AC558" s="18"/>
      <c r="AD558" s="18"/>
      <c r="AE558" s="19"/>
      <c r="AF558" s="20"/>
      <c r="AG558" s="21"/>
      <c r="AH558" s="21"/>
      <c r="AI558" s="19"/>
      <c r="AJ558" s="29"/>
      <c r="AK558" s="29"/>
      <c r="AL558" s="29"/>
    </row>
    <row r="559" spans="2:38" s="28" customFormat="1" x14ac:dyDescent="0.3">
      <c r="B559" s="24"/>
      <c r="C559" s="37"/>
      <c r="D559" s="37"/>
      <c r="E559" s="37"/>
      <c r="F559" s="35"/>
      <c r="G559" s="35"/>
      <c r="H559" s="35"/>
      <c r="I559" s="35"/>
      <c r="J559" s="35"/>
      <c r="K559" s="35"/>
      <c r="L559" s="35"/>
      <c r="M559" s="31"/>
      <c r="N559" s="32"/>
      <c r="O559" s="32"/>
      <c r="P559" s="32"/>
      <c r="Q559" s="32"/>
      <c r="R559" s="32"/>
      <c r="S559" s="32"/>
      <c r="T559" s="32"/>
      <c r="U559" s="29"/>
      <c r="V559" s="29"/>
      <c r="W559" s="24"/>
      <c r="X559" s="18"/>
      <c r="Y559" s="18"/>
      <c r="Z559" s="18"/>
      <c r="AA559" s="18"/>
      <c r="AB559" s="18"/>
      <c r="AC559" s="18"/>
      <c r="AD559" s="18"/>
      <c r="AE559" s="19"/>
      <c r="AF559" s="20"/>
      <c r="AG559" s="21"/>
      <c r="AH559" s="21"/>
      <c r="AI559" s="19"/>
      <c r="AJ559" s="29"/>
      <c r="AK559" s="29"/>
      <c r="AL559" s="29"/>
    </row>
    <row r="560" spans="2:38" s="28" customFormat="1" x14ac:dyDescent="0.3">
      <c r="B560" s="24"/>
      <c r="C560" s="37"/>
      <c r="D560" s="37"/>
      <c r="E560" s="37"/>
      <c r="F560" s="35"/>
      <c r="G560" s="35"/>
      <c r="H560" s="35"/>
      <c r="I560" s="35"/>
      <c r="J560" s="35"/>
      <c r="K560" s="35"/>
      <c r="L560" s="35"/>
      <c r="M560" s="31"/>
      <c r="N560" s="32"/>
      <c r="O560" s="32"/>
      <c r="P560" s="32"/>
      <c r="Q560" s="32"/>
      <c r="R560" s="32"/>
      <c r="S560" s="32"/>
      <c r="T560" s="32"/>
      <c r="U560" s="29"/>
      <c r="V560" s="29"/>
      <c r="W560" s="24"/>
      <c r="X560" s="18"/>
      <c r="Y560" s="18"/>
      <c r="Z560" s="18"/>
      <c r="AA560" s="18"/>
      <c r="AB560" s="18"/>
      <c r="AC560" s="18"/>
      <c r="AD560" s="18"/>
      <c r="AE560" s="19"/>
      <c r="AF560" s="20"/>
      <c r="AG560" s="21"/>
      <c r="AH560" s="21"/>
      <c r="AI560" s="19"/>
      <c r="AJ560" s="29"/>
      <c r="AK560" s="29"/>
      <c r="AL560" s="29"/>
    </row>
    <row r="561" spans="2:38" s="28" customFormat="1" x14ac:dyDescent="0.3">
      <c r="B561" s="24"/>
      <c r="C561" s="37"/>
      <c r="D561" s="37"/>
      <c r="E561" s="37"/>
      <c r="F561" s="35"/>
      <c r="G561" s="35"/>
      <c r="H561" s="35"/>
      <c r="I561" s="35"/>
      <c r="J561" s="35"/>
      <c r="K561" s="35"/>
      <c r="L561" s="35"/>
      <c r="M561" s="31"/>
      <c r="N561" s="32"/>
      <c r="O561" s="32"/>
      <c r="P561" s="32"/>
      <c r="Q561" s="32"/>
      <c r="R561" s="32"/>
      <c r="S561" s="32"/>
      <c r="T561" s="32"/>
      <c r="U561" s="29"/>
      <c r="V561" s="29"/>
      <c r="W561" s="24"/>
      <c r="X561" s="18"/>
      <c r="Y561" s="18"/>
      <c r="Z561" s="18"/>
      <c r="AA561" s="18"/>
      <c r="AB561" s="18"/>
      <c r="AC561" s="18"/>
      <c r="AD561" s="18"/>
      <c r="AE561" s="19"/>
      <c r="AF561" s="20"/>
      <c r="AG561" s="21"/>
      <c r="AH561" s="21"/>
      <c r="AI561" s="19"/>
      <c r="AJ561" s="29"/>
      <c r="AK561" s="29"/>
      <c r="AL561" s="29"/>
    </row>
    <row r="562" spans="2:38" s="28" customFormat="1" x14ac:dyDescent="0.3">
      <c r="B562" s="24"/>
      <c r="C562" s="37"/>
      <c r="D562" s="37"/>
      <c r="E562" s="37"/>
      <c r="F562" s="35"/>
      <c r="G562" s="35"/>
      <c r="H562" s="35"/>
      <c r="I562" s="35"/>
      <c r="J562" s="35"/>
      <c r="K562" s="35"/>
      <c r="L562" s="35"/>
      <c r="M562" s="31"/>
      <c r="N562" s="32"/>
      <c r="O562" s="32"/>
      <c r="P562" s="32"/>
      <c r="Q562" s="32"/>
      <c r="R562" s="32"/>
      <c r="S562" s="32"/>
      <c r="T562" s="32"/>
      <c r="U562" s="29"/>
      <c r="V562" s="29"/>
      <c r="W562" s="24"/>
      <c r="X562" s="18"/>
      <c r="Y562" s="18"/>
      <c r="Z562" s="18"/>
      <c r="AA562" s="18"/>
      <c r="AB562" s="18"/>
      <c r="AC562" s="18"/>
      <c r="AD562" s="18"/>
      <c r="AE562" s="19"/>
      <c r="AF562" s="20"/>
      <c r="AG562" s="21"/>
      <c r="AH562" s="21"/>
      <c r="AI562" s="19"/>
      <c r="AJ562" s="29"/>
      <c r="AK562" s="29"/>
      <c r="AL562" s="29"/>
    </row>
    <row r="563" spans="2:38" s="28" customFormat="1" x14ac:dyDescent="0.3">
      <c r="B563" s="24"/>
      <c r="C563" s="37"/>
      <c r="D563" s="37"/>
      <c r="E563" s="37"/>
      <c r="F563" s="35"/>
      <c r="G563" s="35"/>
      <c r="H563" s="35"/>
      <c r="I563" s="35"/>
      <c r="J563" s="35"/>
      <c r="K563" s="35"/>
      <c r="L563" s="35"/>
      <c r="M563" s="31"/>
      <c r="N563" s="32"/>
      <c r="O563" s="32"/>
      <c r="P563" s="32"/>
      <c r="Q563" s="32"/>
      <c r="R563" s="32"/>
      <c r="S563" s="32"/>
      <c r="T563" s="32"/>
      <c r="U563" s="29"/>
      <c r="V563" s="29"/>
      <c r="W563" s="24"/>
      <c r="X563" s="18"/>
      <c r="Y563" s="18"/>
      <c r="Z563" s="18"/>
      <c r="AA563" s="18"/>
      <c r="AB563" s="18"/>
      <c r="AC563" s="18"/>
      <c r="AD563" s="18"/>
      <c r="AE563" s="19"/>
      <c r="AF563" s="20"/>
      <c r="AG563" s="21"/>
      <c r="AH563" s="21"/>
      <c r="AI563" s="19"/>
      <c r="AJ563" s="29"/>
      <c r="AK563" s="29"/>
      <c r="AL563" s="29"/>
    </row>
    <row r="564" spans="2:38" s="28" customFormat="1" x14ac:dyDescent="0.3">
      <c r="B564" s="24"/>
      <c r="C564" s="37"/>
      <c r="D564" s="37"/>
      <c r="E564" s="37"/>
      <c r="F564" s="35"/>
      <c r="G564" s="35"/>
      <c r="H564" s="35"/>
      <c r="I564" s="35"/>
      <c r="J564" s="35"/>
      <c r="K564" s="35"/>
      <c r="L564" s="35"/>
      <c r="M564" s="31"/>
      <c r="N564" s="32"/>
      <c r="O564" s="32"/>
      <c r="P564" s="32"/>
      <c r="Q564" s="32"/>
      <c r="R564" s="32"/>
      <c r="S564" s="32"/>
      <c r="T564" s="32"/>
      <c r="U564" s="29"/>
      <c r="V564" s="29"/>
      <c r="W564" s="24"/>
      <c r="X564" s="18"/>
      <c r="Y564" s="18"/>
      <c r="Z564" s="18"/>
      <c r="AA564" s="18"/>
      <c r="AB564" s="18"/>
      <c r="AC564" s="18"/>
      <c r="AD564" s="18"/>
      <c r="AE564" s="19"/>
      <c r="AF564" s="20"/>
      <c r="AG564" s="21"/>
      <c r="AH564" s="21"/>
      <c r="AI564" s="19"/>
      <c r="AJ564" s="29"/>
      <c r="AK564" s="29"/>
      <c r="AL564" s="29"/>
    </row>
    <row r="565" spans="2:38" s="28" customFormat="1" x14ac:dyDescent="0.3">
      <c r="B565" s="24"/>
      <c r="C565" s="37"/>
      <c r="D565" s="37"/>
      <c r="E565" s="37"/>
      <c r="F565" s="35"/>
      <c r="G565" s="35"/>
      <c r="H565" s="35"/>
      <c r="I565" s="35"/>
      <c r="J565" s="35"/>
      <c r="K565" s="35"/>
      <c r="L565" s="35"/>
      <c r="M565" s="31"/>
      <c r="N565" s="32"/>
      <c r="O565" s="32"/>
      <c r="P565" s="32"/>
      <c r="Q565" s="32"/>
      <c r="R565" s="32"/>
      <c r="S565" s="32"/>
      <c r="T565" s="32"/>
      <c r="U565" s="29"/>
      <c r="V565" s="29"/>
      <c r="W565" s="24"/>
      <c r="X565" s="18"/>
      <c r="Y565" s="18"/>
      <c r="Z565" s="18"/>
      <c r="AA565" s="18"/>
      <c r="AB565" s="18"/>
      <c r="AC565" s="18"/>
      <c r="AD565" s="18"/>
      <c r="AE565" s="19"/>
      <c r="AF565" s="20"/>
      <c r="AG565" s="21"/>
      <c r="AH565" s="21"/>
      <c r="AI565" s="19"/>
      <c r="AJ565" s="29"/>
      <c r="AK565" s="29"/>
      <c r="AL565" s="29"/>
    </row>
    <row r="566" spans="2:38" s="28" customFormat="1" x14ac:dyDescent="0.3">
      <c r="B566" s="24"/>
      <c r="C566" s="37"/>
      <c r="D566" s="37"/>
      <c r="E566" s="37"/>
      <c r="F566" s="35"/>
      <c r="G566" s="35"/>
      <c r="H566" s="35"/>
      <c r="I566" s="35"/>
      <c r="J566" s="35"/>
      <c r="K566" s="35"/>
      <c r="L566" s="35"/>
      <c r="M566" s="31"/>
      <c r="N566" s="32"/>
      <c r="O566" s="32"/>
      <c r="P566" s="32"/>
      <c r="Q566" s="32"/>
      <c r="R566" s="32"/>
      <c r="S566" s="32"/>
      <c r="T566" s="32"/>
      <c r="U566" s="29"/>
      <c r="V566" s="29"/>
      <c r="W566" s="24"/>
      <c r="X566" s="18"/>
      <c r="Y566" s="18"/>
      <c r="Z566" s="18"/>
      <c r="AA566" s="18"/>
      <c r="AB566" s="18"/>
      <c r="AC566" s="18"/>
      <c r="AD566" s="18"/>
      <c r="AE566" s="19"/>
      <c r="AF566" s="20"/>
      <c r="AG566" s="21"/>
      <c r="AH566" s="21"/>
      <c r="AI566" s="19"/>
      <c r="AJ566" s="29"/>
      <c r="AK566" s="29"/>
      <c r="AL566" s="29"/>
    </row>
    <row r="567" spans="2:38" s="28" customFormat="1" x14ac:dyDescent="0.3">
      <c r="B567" s="24"/>
      <c r="C567" s="37"/>
      <c r="D567" s="37"/>
      <c r="E567" s="37"/>
      <c r="F567" s="35"/>
      <c r="G567" s="35"/>
      <c r="H567" s="35"/>
      <c r="I567" s="35"/>
      <c r="J567" s="35"/>
      <c r="K567" s="35"/>
      <c r="L567" s="35"/>
      <c r="M567" s="31"/>
      <c r="N567" s="32"/>
      <c r="O567" s="32"/>
      <c r="P567" s="32"/>
      <c r="Q567" s="32"/>
      <c r="R567" s="32"/>
      <c r="S567" s="32"/>
      <c r="T567" s="32"/>
      <c r="U567" s="29"/>
      <c r="V567" s="29"/>
      <c r="W567" s="24"/>
      <c r="X567" s="18"/>
      <c r="Y567" s="18"/>
      <c r="Z567" s="18"/>
      <c r="AA567" s="18"/>
      <c r="AB567" s="18"/>
      <c r="AC567" s="18"/>
      <c r="AD567" s="18"/>
      <c r="AE567" s="19"/>
      <c r="AF567" s="20"/>
      <c r="AG567" s="21"/>
      <c r="AH567" s="21"/>
      <c r="AI567" s="19"/>
      <c r="AJ567" s="29"/>
      <c r="AK567" s="29"/>
      <c r="AL567" s="29"/>
    </row>
    <row r="568" spans="2:38" s="28" customFormat="1" x14ac:dyDescent="0.3">
      <c r="B568" s="24"/>
      <c r="C568" s="37"/>
      <c r="D568" s="37"/>
      <c r="E568" s="37"/>
      <c r="F568" s="35"/>
      <c r="G568" s="35"/>
      <c r="H568" s="35"/>
      <c r="I568" s="35"/>
      <c r="J568" s="35"/>
      <c r="K568" s="35"/>
      <c r="L568" s="35"/>
      <c r="M568" s="31"/>
      <c r="N568" s="32"/>
      <c r="O568" s="32"/>
      <c r="P568" s="32"/>
      <c r="Q568" s="32"/>
      <c r="R568" s="32"/>
      <c r="S568" s="32"/>
      <c r="T568" s="32"/>
      <c r="U568" s="29"/>
      <c r="V568" s="29"/>
      <c r="W568" s="24"/>
      <c r="X568" s="18"/>
      <c r="Y568" s="18"/>
      <c r="Z568" s="18"/>
      <c r="AA568" s="18"/>
      <c r="AB568" s="18"/>
      <c r="AC568" s="18"/>
      <c r="AD568" s="18"/>
      <c r="AE568" s="19"/>
      <c r="AF568" s="20"/>
      <c r="AG568" s="21"/>
      <c r="AH568" s="21"/>
      <c r="AI568" s="19"/>
      <c r="AJ568" s="29"/>
      <c r="AK568" s="29"/>
      <c r="AL568" s="29"/>
    </row>
    <row r="569" spans="2:38" s="28" customFormat="1" x14ac:dyDescent="0.3">
      <c r="B569" s="24"/>
      <c r="C569" s="37"/>
      <c r="D569" s="37"/>
      <c r="E569" s="37"/>
      <c r="F569" s="35"/>
      <c r="G569" s="35"/>
      <c r="H569" s="35"/>
      <c r="I569" s="35"/>
      <c r="J569" s="35"/>
      <c r="K569" s="35"/>
      <c r="L569" s="35"/>
      <c r="M569" s="31"/>
      <c r="N569" s="32"/>
      <c r="O569" s="32"/>
      <c r="P569" s="32"/>
      <c r="Q569" s="32"/>
      <c r="R569" s="32"/>
      <c r="S569" s="32"/>
      <c r="T569" s="32"/>
      <c r="U569" s="29"/>
      <c r="V569" s="29"/>
      <c r="W569" s="24"/>
      <c r="X569" s="18"/>
      <c r="Y569" s="18"/>
      <c r="Z569" s="18"/>
      <c r="AA569" s="18"/>
      <c r="AB569" s="18"/>
      <c r="AC569" s="18"/>
      <c r="AD569" s="18"/>
      <c r="AE569" s="19"/>
      <c r="AF569" s="20"/>
      <c r="AG569" s="21"/>
      <c r="AH569" s="21"/>
      <c r="AI569" s="19"/>
      <c r="AJ569" s="29"/>
      <c r="AK569" s="29"/>
      <c r="AL569" s="29"/>
    </row>
    <row r="570" spans="2:38" s="28" customFormat="1" x14ac:dyDescent="0.3">
      <c r="B570" s="24"/>
      <c r="C570" s="37"/>
      <c r="D570" s="37"/>
      <c r="E570" s="37"/>
      <c r="F570" s="35"/>
      <c r="G570" s="35"/>
      <c r="H570" s="35"/>
      <c r="I570" s="35"/>
      <c r="J570" s="35"/>
      <c r="K570" s="35"/>
      <c r="L570" s="35"/>
      <c r="M570" s="31"/>
      <c r="N570" s="32"/>
      <c r="O570" s="32"/>
      <c r="P570" s="32"/>
      <c r="Q570" s="32"/>
      <c r="R570" s="32"/>
      <c r="S570" s="32"/>
      <c r="T570" s="32"/>
      <c r="U570" s="29"/>
      <c r="V570" s="29"/>
      <c r="W570" s="24"/>
      <c r="X570" s="18"/>
      <c r="Y570" s="18"/>
      <c r="Z570" s="18"/>
      <c r="AA570" s="18"/>
      <c r="AB570" s="18"/>
      <c r="AC570" s="18"/>
      <c r="AD570" s="18"/>
      <c r="AE570" s="19"/>
      <c r="AF570" s="20"/>
      <c r="AG570" s="21"/>
      <c r="AH570" s="21"/>
      <c r="AI570" s="19"/>
      <c r="AJ570" s="29"/>
      <c r="AK570" s="29"/>
      <c r="AL570" s="29"/>
    </row>
    <row r="571" spans="2:38" s="28" customFormat="1" x14ac:dyDescent="0.3">
      <c r="B571" s="24"/>
      <c r="C571" s="37"/>
      <c r="D571" s="37"/>
      <c r="E571" s="37"/>
      <c r="F571" s="35"/>
      <c r="G571" s="35"/>
      <c r="H571" s="35"/>
      <c r="I571" s="35"/>
      <c r="J571" s="35"/>
      <c r="K571" s="35"/>
      <c r="L571" s="35"/>
      <c r="M571" s="31"/>
      <c r="N571" s="32"/>
      <c r="O571" s="32"/>
      <c r="P571" s="32"/>
      <c r="Q571" s="32"/>
      <c r="R571" s="32"/>
      <c r="S571" s="32"/>
      <c r="T571" s="32"/>
      <c r="U571" s="29"/>
      <c r="V571" s="29"/>
      <c r="W571" s="24"/>
      <c r="X571" s="18"/>
      <c r="Y571" s="18"/>
      <c r="Z571" s="18"/>
      <c r="AA571" s="18"/>
      <c r="AB571" s="18"/>
      <c r="AC571" s="18"/>
      <c r="AD571" s="18"/>
      <c r="AE571" s="19"/>
      <c r="AF571" s="20"/>
      <c r="AG571" s="21"/>
      <c r="AH571" s="21"/>
      <c r="AI571" s="19"/>
      <c r="AJ571" s="29"/>
      <c r="AK571" s="29"/>
      <c r="AL571" s="29"/>
    </row>
    <row r="572" spans="2:38" s="28" customFormat="1" x14ac:dyDescent="0.3">
      <c r="B572" s="24"/>
      <c r="C572" s="37"/>
      <c r="D572" s="37"/>
      <c r="E572" s="37"/>
      <c r="F572" s="35"/>
      <c r="G572" s="35"/>
      <c r="H572" s="35"/>
      <c r="I572" s="35"/>
      <c r="J572" s="35"/>
      <c r="K572" s="35"/>
      <c r="L572" s="35"/>
      <c r="M572" s="31"/>
      <c r="N572" s="32"/>
      <c r="O572" s="32"/>
      <c r="P572" s="32"/>
      <c r="Q572" s="32"/>
      <c r="R572" s="32"/>
      <c r="S572" s="32"/>
      <c r="T572" s="32"/>
      <c r="U572" s="29"/>
      <c r="V572" s="29"/>
      <c r="W572" s="24"/>
      <c r="X572" s="18"/>
      <c r="Y572" s="18"/>
      <c r="Z572" s="18"/>
      <c r="AA572" s="18"/>
      <c r="AB572" s="18"/>
      <c r="AC572" s="18"/>
      <c r="AD572" s="18"/>
      <c r="AE572" s="19"/>
      <c r="AF572" s="20"/>
      <c r="AG572" s="21"/>
      <c r="AH572" s="21"/>
      <c r="AI572" s="19"/>
      <c r="AJ572" s="29"/>
      <c r="AK572" s="29"/>
      <c r="AL572" s="29"/>
    </row>
    <row r="573" spans="2:38" s="28" customFormat="1" x14ac:dyDescent="0.3">
      <c r="B573" s="24"/>
      <c r="C573" s="37"/>
      <c r="D573" s="37"/>
      <c r="E573" s="37"/>
      <c r="F573" s="35"/>
      <c r="G573" s="35"/>
      <c r="H573" s="35"/>
      <c r="I573" s="35"/>
      <c r="J573" s="35"/>
      <c r="K573" s="35"/>
      <c r="L573" s="35"/>
      <c r="M573" s="31"/>
      <c r="N573" s="32"/>
      <c r="O573" s="32"/>
      <c r="P573" s="32"/>
      <c r="Q573" s="32"/>
      <c r="R573" s="32"/>
      <c r="S573" s="32"/>
      <c r="T573" s="32"/>
      <c r="U573" s="29"/>
      <c r="V573" s="29"/>
      <c r="W573" s="24"/>
      <c r="X573" s="18"/>
      <c r="Y573" s="18"/>
      <c r="Z573" s="18"/>
      <c r="AA573" s="18"/>
      <c r="AB573" s="18"/>
      <c r="AC573" s="18"/>
      <c r="AD573" s="18"/>
      <c r="AE573" s="19"/>
      <c r="AF573" s="20"/>
      <c r="AG573" s="21"/>
      <c r="AH573" s="21"/>
      <c r="AI573" s="19"/>
      <c r="AJ573" s="29"/>
      <c r="AK573" s="29"/>
      <c r="AL573" s="29"/>
    </row>
    <row r="574" spans="2:38" s="28" customFormat="1" x14ac:dyDescent="0.3">
      <c r="B574" s="24"/>
      <c r="C574" s="37"/>
      <c r="D574" s="37"/>
      <c r="E574" s="37"/>
      <c r="F574" s="35"/>
      <c r="G574" s="35"/>
      <c r="H574" s="35"/>
      <c r="I574" s="35"/>
      <c r="J574" s="35"/>
      <c r="K574" s="35"/>
      <c r="L574" s="35"/>
      <c r="M574" s="31"/>
      <c r="N574" s="32"/>
      <c r="O574" s="32"/>
      <c r="P574" s="32"/>
      <c r="Q574" s="32"/>
      <c r="R574" s="32"/>
      <c r="S574" s="32"/>
      <c r="T574" s="32"/>
      <c r="U574" s="29"/>
      <c r="V574" s="29"/>
      <c r="W574" s="24"/>
      <c r="X574" s="18"/>
      <c r="Y574" s="18"/>
      <c r="Z574" s="18"/>
      <c r="AA574" s="18"/>
      <c r="AB574" s="18"/>
      <c r="AC574" s="18"/>
      <c r="AD574" s="18"/>
      <c r="AE574" s="19"/>
      <c r="AF574" s="20"/>
      <c r="AG574" s="21"/>
      <c r="AH574" s="21"/>
      <c r="AI574" s="19"/>
      <c r="AJ574" s="29"/>
      <c r="AK574" s="29"/>
      <c r="AL574" s="29"/>
    </row>
    <row r="575" spans="2:38" s="28" customFormat="1" x14ac:dyDescent="0.3">
      <c r="B575" s="24"/>
      <c r="C575" s="37"/>
      <c r="D575" s="37"/>
      <c r="E575" s="37"/>
      <c r="F575" s="35"/>
      <c r="G575" s="35"/>
      <c r="H575" s="35"/>
      <c r="I575" s="35"/>
      <c r="J575" s="35"/>
      <c r="K575" s="35"/>
      <c r="L575" s="35"/>
      <c r="M575" s="31"/>
      <c r="N575" s="32"/>
      <c r="O575" s="32"/>
      <c r="P575" s="32"/>
      <c r="Q575" s="32"/>
      <c r="R575" s="32"/>
      <c r="S575" s="32"/>
      <c r="T575" s="32"/>
      <c r="U575" s="29"/>
      <c r="V575" s="29"/>
      <c r="W575" s="24"/>
      <c r="X575" s="18"/>
      <c r="Y575" s="18"/>
      <c r="Z575" s="18"/>
      <c r="AA575" s="18"/>
      <c r="AB575" s="18"/>
      <c r="AC575" s="18"/>
      <c r="AD575" s="18"/>
      <c r="AE575" s="19"/>
      <c r="AF575" s="20"/>
      <c r="AG575" s="21"/>
      <c r="AH575" s="21"/>
      <c r="AI575" s="19"/>
      <c r="AJ575" s="29"/>
      <c r="AK575" s="29"/>
      <c r="AL575" s="29"/>
    </row>
    <row r="576" spans="2:38" s="28" customFormat="1" x14ac:dyDescent="0.3">
      <c r="B576" s="24"/>
      <c r="C576" s="37"/>
      <c r="D576" s="37"/>
      <c r="E576" s="37"/>
      <c r="F576" s="35"/>
      <c r="G576" s="35"/>
      <c r="H576" s="35"/>
      <c r="I576" s="35"/>
      <c r="J576" s="35"/>
      <c r="K576" s="35"/>
      <c r="L576" s="35"/>
      <c r="M576" s="31"/>
      <c r="N576" s="32"/>
      <c r="O576" s="32"/>
      <c r="P576" s="32"/>
      <c r="Q576" s="32"/>
      <c r="R576" s="32"/>
      <c r="S576" s="32"/>
      <c r="T576" s="32"/>
      <c r="U576" s="29"/>
      <c r="V576" s="29"/>
      <c r="W576" s="24"/>
      <c r="X576" s="18"/>
      <c r="Y576" s="18"/>
      <c r="Z576" s="18"/>
      <c r="AA576" s="18"/>
      <c r="AB576" s="18"/>
      <c r="AC576" s="18"/>
      <c r="AD576" s="18"/>
      <c r="AE576" s="19"/>
      <c r="AF576" s="20"/>
      <c r="AG576" s="21"/>
      <c r="AH576" s="21"/>
      <c r="AI576" s="19"/>
      <c r="AJ576" s="29"/>
      <c r="AK576" s="29"/>
      <c r="AL576" s="29"/>
    </row>
    <row r="577" spans="2:38" s="28" customFormat="1" x14ac:dyDescent="0.3">
      <c r="B577" s="24"/>
      <c r="C577" s="37"/>
      <c r="D577" s="37"/>
      <c r="E577" s="37"/>
      <c r="F577" s="35"/>
      <c r="G577" s="35"/>
      <c r="H577" s="35"/>
      <c r="I577" s="35"/>
      <c r="J577" s="35"/>
      <c r="K577" s="35"/>
      <c r="L577" s="35"/>
      <c r="M577" s="31"/>
      <c r="N577" s="32"/>
      <c r="O577" s="32"/>
      <c r="P577" s="32"/>
      <c r="Q577" s="32"/>
      <c r="R577" s="32"/>
      <c r="S577" s="32"/>
      <c r="T577" s="32"/>
      <c r="U577" s="29"/>
      <c r="V577" s="29"/>
      <c r="W577" s="24"/>
      <c r="X577" s="18"/>
      <c r="Y577" s="18"/>
      <c r="Z577" s="18"/>
      <c r="AA577" s="18"/>
      <c r="AB577" s="18"/>
      <c r="AC577" s="18"/>
      <c r="AD577" s="18"/>
      <c r="AE577" s="19"/>
      <c r="AF577" s="20"/>
      <c r="AG577" s="21"/>
      <c r="AH577" s="21"/>
      <c r="AI577" s="19"/>
      <c r="AJ577" s="29"/>
      <c r="AK577" s="29"/>
      <c r="AL577" s="29"/>
    </row>
    <row r="578" spans="2:38" s="28" customFormat="1" x14ac:dyDescent="0.3">
      <c r="B578" s="24"/>
      <c r="C578" s="37"/>
      <c r="D578" s="37"/>
      <c r="E578" s="37"/>
      <c r="F578" s="35"/>
      <c r="G578" s="35"/>
      <c r="H578" s="35"/>
      <c r="I578" s="35"/>
      <c r="J578" s="35"/>
      <c r="K578" s="35"/>
      <c r="L578" s="35"/>
      <c r="M578" s="31"/>
      <c r="N578" s="32"/>
      <c r="O578" s="32"/>
      <c r="P578" s="32"/>
      <c r="Q578" s="32"/>
      <c r="R578" s="32"/>
      <c r="S578" s="32"/>
      <c r="T578" s="32"/>
      <c r="U578" s="29"/>
      <c r="V578" s="29"/>
      <c r="W578" s="24"/>
      <c r="X578" s="18"/>
      <c r="Y578" s="18"/>
      <c r="Z578" s="18"/>
      <c r="AA578" s="18"/>
      <c r="AB578" s="18"/>
      <c r="AC578" s="18"/>
      <c r="AD578" s="18"/>
      <c r="AE578" s="19"/>
      <c r="AF578" s="20"/>
      <c r="AG578" s="21"/>
      <c r="AH578" s="21"/>
      <c r="AI578" s="19"/>
      <c r="AJ578" s="29"/>
      <c r="AK578" s="29"/>
      <c r="AL578" s="29"/>
    </row>
    <row r="579" spans="2:38" s="28" customFormat="1" x14ac:dyDescent="0.3">
      <c r="B579" s="24"/>
      <c r="C579" s="37"/>
      <c r="D579" s="37"/>
      <c r="E579" s="37"/>
      <c r="F579" s="35"/>
      <c r="G579" s="35"/>
      <c r="H579" s="35"/>
      <c r="I579" s="35"/>
      <c r="J579" s="35"/>
      <c r="K579" s="35"/>
      <c r="L579" s="35"/>
      <c r="M579" s="31"/>
      <c r="N579" s="32"/>
      <c r="O579" s="32"/>
      <c r="P579" s="32"/>
      <c r="Q579" s="32"/>
      <c r="R579" s="32"/>
      <c r="S579" s="32"/>
      <c r="T579" s="32"/>
      <c r="U579" s="29"/>
      <c r="V579" s="29"/>
      <c r="W579" s="24"/>
      <c r="X579" s="18"/>
      <c r="Y579" s="18"/>
      <c r="Z579" s="18"/>
      <c r="AA579" s="18"/>
      <c r="AB579" s="18"/>
      <c r="AC579" s="18"/>
      <c r="AD579" s="18"/>
      <c r="AE579" s="19"/>
      <c r="AF579" s="20"/>
      <c r="AG579" s="21"/>
      <c r="AH579" s="21"/>
      <c r="AI579" s="19"/>
      <c r="AJ579" s="29"/>
      <c r="AK579" s="29"/>
      <c r="AL579" s="29"/>
    </row>
    <row r="580" spans="2:38" s="28" customFormat="1" x14ac:dyDescent="0.3">
      <c r="B580" s="24"/>
      <c r="C580" s="37"/>
      <c r="D580" s="37"/>
      <c r="E580" s="37"/>
      <c r="F580" s="35"/>
      <c r="G580" s="35"/>
      <c r="H580" s="35"/>
      <c r="I580" s="35"/>
      <c r="J580" s="35"/>
      <c r="K580" s="35"/>
      <c r="L580" s="35"/>
      <c r="M580" s="31"/>
      <c r="N580" s="32"/>
      <c r="O580" s="32"/>
      <c r="P580" s="32"/>
      <c r="Q580" s="32"/>
      <c r="R580" s="32"/>
      <c r="S580" s="32"/>
      <c r="T580" s="32"/>
      <c r="U580" s="29"/>
      <c r="V580" s="29"/>
      <c r="W580" s="24"/>
      <c r="X580" s="18"/>
      <c r="Y580" s="18"/>
      <c r="Z580" s="18"/>
      <c r="AA580" s="18"/>
      <c r="AB580" s="18"/>
      <c r="AC580" s="18"/>
      <c r="AD580" s="18"/>
      <c r="AE580" s="19"/>
      <c r="AF580" s="20"/>
      <c r="AG580" s="21"/>
      <c r="AH580" s="21"/>
      <c r="AI580" s="19"/>
      <c r="AJ580" s="29"/>
      <c r="AK580" s="29"/>
      <c r="AL580" s="29"/>
    </row>
    <row r="581" spans="2:38" s="28" customFormat="1" x14ac:dyDescent="0.3">
      <c r="B581" s="24"/>
      <c r="C581" s="37"/>
      <c r="D581" s="37"/>
      <c r="E581" s="37"/>
      <c r="F581" s="35"/>
      <c r="G581" s="35"/>
      <c r="H581" s="35"/>
      <c r="I581" s="35"/>
      <c r="J581" s="35"/>
      <c r="K581" s="35"/>
      <c r="L581" s="35"/>
      <c r="M581" s="31"/>
      <c r="N581" s="32"/>
      <c r="O581" s="32"/>
      <c r="P581" s="32"/>
      <c r="Q581" s="32"/>
      <c r="R581" s="32"/>
      <c r="S581" s="32"/>
      <c r="T581" s="32"/>
      <c r="U581" s="29"/>
      <c r="V581" s="29"/>
      <c r="W581" s="24"/>
      <c r="X581" s="18"/>
      <c r="Y581" s="18"/>
      <c r="Z581" s="18"/>
      <c r="AA581" s="18"/>
      <c r="AB581" s="18"/>
      <c r="AC581" s="18"/>
      <c r="AD581" s="18"/>
      <c r="AE581" s="19"/>
      <c r="AF581" s="20"/>
      <c r="AG581" s="21"/>
      <c r="AH581" s="21"/>
      <c r="AI581" s="19"/>
      <c r="AJ581" s="29"/>
      <c r="AK581" s="29"/>
      <c r="AL581" s="29"/>
    </row>
    <row r="582" spans="2:38" s="28" customFormat="1" x14ac:dyDescent="0.3">
      <c r="B582" s="24"/>
      <c r="C582" s="37"/>
      <c r="D582" s="37"/>
      <c r="E582" s="37"/>
      <c r="F582" s="35"/>
      <c r="G582" s="35"/>
      <c r="H582" s="35"/>
      <c r="I582" s="35"/>
      <c r="J582" s="35"/>
      <c r="K582" s="35"/>
      <c r="L582" s="35"/>
      <c r="M582" s="31"/>
      <c r="N582" s="32"/>
      <c r="O582" s="32"/>
      <c r="P582" s="32"/>
      <c r="Q582" s="32"/>
      <c r="R582" s="32"/>
      <c r="S582" s="32"/>
      <c r="T582" s="32"/>
      <c r="U582" s="29"/>
      <c r="V582" s="29"/>
      <c r="W582" s="24"/>
      <c r="X582" s="18"/>
      <c r="Y582" s="18"/>
      <c r="Z582" s="18"/>
      <c r="AA582" s="18"/>
      <c r="AB582" s="18"/>
      <c r="AC582" s="18"/>
      <c r="AD582" s="18"/>
      <c r="AE582" s="19"/>
      <c r="AF582" s="20"/>
      <c r="AG582" s="21"/>
      <c r="AH582" s="21"/>
      <c r="AI582" s="19"/>
      <c r="AJ582" s="29"/>
      <c r="AK582" s="29"/>
      <c r="AL582" s="29"/>
    </row>
    <row r="583" spans="2:38" s="28" customFormat="1" x14ac:dyDescent="0.3">
      <c r="B583" s="24"/>
      <c r="C583" s="37"/>
      <c r="D583" s="37"/>
      <c r="E583" s="37"/>
      <c r="F583" s="35"/>
      <c r="G583" s="35"/>
      <c r="H583" s="35"/>
      <c r="I583" s="35"/>
      <c r="J583" s="35"/>
      <c r="K583" s="35"/>
      <c r="L583" s="35"/>
      <c r="M583" s="31"/>
      <c r="N583" s="32"/>
      <c r="O583" s="32"/>
      <c r="P583" s="32"/>
      <c r="Q583" s="32"/>
      <c r="R583" s="32"/>
      <c r="S583" s="32"/>
      <c r="T583" s="32"/>
      <c r="U583" s="29"/>
      <c r="V583" s="29"/>
      <c r="W583" s="24"/>
      <c r="X583" s="18"/>
      <c r="Y583" s="18"/>
      <c r="Z583" s="18"/>
      <c r="AA583" s="18"/>
      <c r="AB583" s="18"/>
      <c r="AC583" s="18"/>
      <c r="AD583" s="18"/>
      <c r="AE583" s="19"/>
      <c r="AF583" s="20"/>
      <c r="AG583" s="21"/>
      <c r="AH583" s="21"/>
      <c r="AI583" s="19"/>
      <c r="AJ583" s="29"/>
      <c r="AK583" s="29"/>
      <c r="AL583" s="29"/>
    </row>
    <row r="584" spans="2:38" s="28" customFormat="1" x14ac:dyDescent="0.3">
      <c r="B584" s="24"/>
      <c r="C584" s="37"/>
      <c r="D584" s="37"/>
      <c r="E584" s="37"/>
      <c r="F584" s="35"/>
      <c r="G584" s="35"/>
      <c r="H584" s="35"/>
      <c r="I584" s="35"/>
      <c r="J584" s="35"/>
      <c r="K584" s="35"/>
      <c r="L584" s="35"/>
      <c r="M584" s="31"/>
      <c r="N584" s="32"/>
      <c r="O584" s="32"/>
      <c r="P584" s="32"/>
      <c r="Q584" s="32"/>
      <c r="R584" s="32"/>
      <c r="S584" s="32"/>
      <c r="T584" s="32"/>
      <c r="U584" s="29"/>
      <c r="V584" s="29"/>
      <c r="W584" s="24"/>
      <c r="X584" s="18"/>
      <c r="Y584" s="18"/>
      <c r="Z584" s="18"/>
      <c r="AA584" s="18"/>
      <c r="AB584" s="18"/>
      <c r="AC584" s="18"/>
      <c r="AD584" s="18"/>
      <c r="AE584" s="19"/>
      <c r="AF584" s="20"/>
      <c r="AG584" s="21"/>
      <c r="AH584" s="21"/>
      <c r="AI584" s="19"/>
      <c r="AJ584" s="29"/>
      <c r="AK584" s="29"/>
      <c r="AL584" s="29"/>
    </row>
    <row r="585" spans="2:38" s="28" customFormat="1" x14ac:dyDescent="0.3">
      <c r="B585" s="24"/>
      <c r="C585" s="37"/>
      <c r="D585" s="37"/>
      <c r="E585" s="37"/>
      <c r="F585" s="35"/>
      <c r="G585" s="35"/>
      <c r="H585" s="35"/>
      <c r="I585" s="35"/>
      <c r="J585" s="35"/>
      <c r="K585" s="35"/>
      <c r="L585" s="35"/>
      <c r="M585" s="31"/>
      <c r="N585" s="32"/>
      <c r="O585" s="32"/>
      <c r="P585" s="32"/>
      <c r="Q585" s="32"/>
      <c r="R585" s="32"/>
      <c r="S585" s="32"/>
      <c r="T585" s="32"/>
      <c r="U585" s="29"/>
      <c r="V585" s="29"/>
      <c r="W585" s="24"/>
      <c r="X585" s="18"/>
      <c r="Y585" s="18"/>
      <c r="Z585" s="18"/>
      <c r="AA585" s="18"/>
      <c r="AB585" s="18"/>
      <c r="AC585" s="18"/>
      <c r="AD585" s="18"/>
      <c r="AE585" s="19"/>
      <c r="AF585" s="20"/>
      <c r="AG585" s="21"/>
      <c r="AH585" s="21"/>
      <c r="AI585" s="19"/>
      <c r="AJ585" s="29"/>
      <c r="AK585" s="29"/>
      <c r="AL585" s="29"/>
    </row>
    <row r="586" spans="2:38" s="28" customFormat="1" x14ac:dyDescent="0.3">
      <c r="B586" s="24"/>
      <c r="C586" s="37"/>
      <c r="D586" s="37"/>
      <c r="E586" s="37"/>
      <c r="F586" s="35"/>
      <c r="G586" s="35"/>
      <c r="H586" s="35"/>
      <c r="I586" s="35"/>
      <c r="J586" s="35"/>
      <c r="K586" s="35"/>
      <c r="L586" s="35"/>
      <c r="M586" s="31"/>
      <c r="N586" s="32"/>
      <c r="O586" s="32"/>
      <c r="P586" s="32"/>
      <c r="Q586" s="32"/>
      <c r="R586" s="32"/>
      <c r="S586" s="32"/>
      <c r="T586" s="32"/>
      <c r="U586" s="29"/>
      <c r="V586" s="29"/>
      <c r="W586" s="24"/>
      <c r="X586" s="18"/>
      <c r="Y586" s="18"/>
      <c r="Z586" s="18"/>
      <c r="AA586" s="18"/>
      <c r="AB586" s="18"/>
      <c r="AC586" s="18"/>
      <c r="AD586" s="18"/>
      <c r="AE586" s="19"/>
      <c r="AF586" s="20"/>
      <c r="AG586" s="21"/>
      <c r="AH586" s="21"/>
      <c r="AI586" s="19"/>
      <c r="AJ586" s="29"/>
      <c r="AK586" s="29"/>
      <c r="AL586" s="29"/>
    </row>
    <row r="587" spans="2:38" s="28" customFormat="1" x14ac:dyDescent="0.3">
      <c r="B587" s="24"/>
      <c r="C587" s="37"/>
      <c r="D587" s="37"/>
      <c r="E587" s="37"/>
      <c r="F587" s="35"/>
      <c r="G587" s="35"/>
      <c r="H587" s="35"/>
      <c r="I587" s="35"/>
      <c r="J587" s="35"/>
      <c r="K587" s="35"/>
      <c r="L587" s="35"/>
      <c r="M587" s="31"/>
      <c r="N587" s="32"/>
      <c r="O587" s="32"/>
      <c r="P587" s="32"/>
      <c r="Q587" s="32"/>
      <c r="R587" s="32"/>
      <c r="S587" s="32"/>
      <c r="T587" s="32"/>
      <c r="U587" s="29"/>
      <c r="V587" s="29"/>
      <c r="W587" s="24"/>
      <c r="X587" s="18"/>
      <c r="Y587" s="18"/>
      <c r="Z587" s="18"/>
      <c r="AA587" s="18"/>
      <c r="AB587" s="18"/>
      <c r="AC587" s="18"/>
      <c r="AD587" s="18"/>
      <c r="AE587" s="19"/>
      <c r="AF587" s="20"/>
      <c r="AG587" s="21"/>
      <c r="AH587" s="21"/>
      <c r="AI587" s="19"/>
      <c r="AJ587" s="29"/>
      <c r="AK587" s="29"/>
      <c r="AL587" s="29"/>
    </row>
    <row r="588" spans="2:38" s="28" customFormat="1" x14ac:dyDescent="0.3">
      <c r="B588" s="24"/>
      <c r="C588" s="37"/>
      <c r="D588" s="37"/>
      <c r="E588" s="37"/>
      <c r="F588" s="35"/>
      <c r="G588" s="35"/>
      <c r="H588" s="35"/>
      <c r="I588" s="35"/>
      <c r="J588" s="35"/>
      <c r="K588" s="35"/>
      <c r="L588" s="35"/>
      <c r="M588" s="31"/>
      <c r="N588" s="32"/>
      <c r="O588" s="32"/>
      <c r="P588" s="32"/>
      <c r="Q588" s="32"/>
      <c r="R588" s="32"/>
      <c r="S588" s="32"/>
      <c r="T588" s="32"/>
      <c r="U588" s="29"/>
      <c r="V588" s="29"/>
      <c r="W588" s="24"/>
      <c r="X588" s="18"/>
      <c r="Y588" s="18"/>
      <c r="Z588" s="18"/>
      <c r="AA588" s="18"/>
      <c r="AB588" s="18"/>
      <c r="AC588" s="18"/>
      <c r="AD588" s="18"/>
      <c r="AE588" s="19"/>
      <c r="AF588" s="20"/>
      <c r="AG588" s="21"/>
      <c r="AH588" s="21"/>
      <c r="AI588" s="19"/>
      <c r="AJ588" s="29"/>
      <c r="AK588" s="29"/>
      <c r="AL588" s="29"/>
    </row>
    <row r="589" spans="2:38" s="28" customFormat="1" x14ac:dyDescent="0.3">
      <c r="B589" s="24"/>
      <c r="C589" s="37"/>
      <c r="D589" s="37"/>
      <c r="E589" s="37"/>
      <c r="F589" s="35"/>
      <c r="G589" s="35"/>
      <c r="H589" s="35"/>
      <c r="I589" s="35"/>
      <c r="J589" s="35"/>
      <c r="K589" s="35"/>
      <c r="L589" s="35"/>
      <c r="M589" s="31"/>
      <c r="N589" s="32"/>
      <c r="O589" s="32"/>
      <c r="P589" s="32"/>
      <c r="Q589" s="32"/>
      <c r="R589" s="32"/>
      <c r="S589" s="32"/>
      <c r="T589" s="32"/>
      <c r="U589" s="29"/>
      <c r="V589" s="29"/>
      <c r="W589" s="24"/>
      <c r="X589" s="18"/>
      <c r="Y589" s="18"/>
      <c r="Z589" s="18"/>
      <c r="AA589" s="18"/>
      <c r="AB589" s="18"/>
      <c r="AC589" s="18"/>
      <c r="AD589" s="18"/>
      <c r="AE589" s="19"/>
      <c r="AF589" s="20"/>
      <c r="AG589" s="21"/>
      <c r="AH589" s="21"/>
      <c r="AI589" s="19"/>
      <c r="AJ589" s="29"/>
      <c r="AK589" s="29"/>
      <c r="AL589" s="29"/>
    </row>
    <row r="590" spans="2:38" s="28" customFormat="1" x14ac:dyDescent="0.3">
      <c r="B590" s="24"/>
      <c r="C590" s="37"/>
      <c r="D590" s="37"/>
      <c r="E590" s="37"/>
      <c r="F590" s="35"/>
      <c r="G590" s="35"/>
      <c r="H590" s="35"/>
      <c r="I590" s="35"/>
      <c r="J590" s="35"/>
      <c r="K590" s="35"/>
      <c r="L590" s="35"/>
      <c r="M590" s="31"/>
      <c r="N590" s="32"/>
      <c r="O590" s="32"/>
      <c r="P590" s="32"/>
      <c r="Q590" s="32"/>
      <c r="R590" s="32"/>
      <c r="S590" s="32"/>
      <c r="T590" s="32"/>
      <c r="U590" s="29"/>
      <c r="V590" s="29"/>
      <c r="W590" s="24"/>
      <c r="X590" s="18"/>
      <c r="Y590" s="18"/>
      <c r="Z590" s="18"/>
      <c r="AA590" s="18"/>
      <c r="AB590" s="18"/>
      <c r="AC590" s="18"/>
      <c r="AD590" s="18"/>
      <c r="AE590" s="19"/>
      <c r="AF590" s="20"/>
      <c r="AG590" s="21"/>
      <c r="AH590" s="21"/>
      <c r="AI590" s="19"/>
      <c r="AJ590" s="29"/>
      <c r="AK590" s="29"/>
      <c r="AL590" s="29"/>
    </row>
    <row r="591" spans="2:38" s="28" customFormat="1" x14ac:dyDescent="0.3">
      <c r="B591" s="24"/>
      <c r="C591" s="37"/>
      <c r="D591" s="37"/>
      <c r="E591" s="37"/>
      <c r="F591" s="35"/>
      <c r="G591" s="35"/>
      <c r="H591" s="35"/>
      <c r="I591" s="35"/>
      <c r="J591" s="35"/>
      <c r="K591" s="35"/>
      <c r="L591" s="35"/>
      <c r="M591" s="31"/>
      <c r="N591" s="32"/>
      <c r="O591" s="32"/>
      <c r="P591" s="32"/>
      <c r="Q591" s="32"/>
      <c r="R591" s="32"/>
      <c r="S591" s="32"/>
      <c r="T591" s="32"/>
      <c r="U591" s="29"/>
      <c r="V591" s="29"/>
      <c r="W591" s="24"/>
      <c r="X591" s="18"/>
      <c r="Y591" s="18"/>
      <c r="Z591" s="18"/>
      <c r="AA591" s="18"/>
      <c r="AB591" s="18"/>
      <c r="AC591" s="18"/>
      <c r="AD591" s="18"/>
      <c r="AE591" s="19"/>
      <c r="AF591" s="20"/>
      <c r="AG591" s="21"/>
      <c r="AH591" s="21"/>
      <c r="AI591" s="19"/>
      <c r="AJ591" s="29"/>
      <c r="AK591" s="29"/>
      <c r="AL591" s="29"/>
    </row>
    <row r="592" spans="2:38" s="28" customFormat="1" x14ac:dyDescent="0.3">
      <c r="B592" s="24"/>
      <c r="C592" s="37"/>
      <c r="D592" s="37"/>
      <c r="E592" s="37"/>
      <c r="F592" s="35"/>
      <c r="G592" s="35"/>
      <c r="H592" s="35"/>
      <c r="I592" s="35"/>
      <c r="J592" s="35"/>
      <c r="K592" s="35"/>
      <c r="L592" s="35"/>
      <c r="M592" s="31"/>
      <c r="N592" s="32"/>
      <c r="O592" s="32"/>
      <c r="P592" s="32"/>
      <c r="Q592" s="32"/>
      <c r="R592" s="32"/>
      <c r="S592" s="32"/>
      <c r="T592" s="32"/>
      <c r="U592" s="29"/>
      <c r="V592" s="29"/>
      <c r="W592" s="24"/>
      <c r="X592" s="18"/>
      <c r="Y592" s="18"/>
      <c r="Z592" s="18"/>
      <c r="AA592" s="18"/>
      <c r="AB592" s="18"/>
      <c r="AC592" s="18"/>
      <c r="AD592" s="18"/>
      <c r="AE592" s="19"/>
      <c r="AF592" s="20"/>
      <c r="AG592" s="21"/>
      <c r="AH592" s="21"/>
      <c r="AI592" s="19"/>
      <c r="AJ592" s="29"/>
      <c r="AK592" s="29"/>
      <c r="AL592" s="29"/>
    </row>
    <row r="593" spans="2:38" s="28" customFormat="1" x14ac:dyDescent="0.3">
      <c r="B593" s="24"/>
      <c r="C593" s="37"/>
      <c r="D593" s="37"/>
      <c r="E593" s="37"/>
      <c r="F593" s="35"/>
      <c r="G593" s="35"/>
      <c r="H593" s="35"/>
      <c r="I593" s="35"/>
      <c r="J593" s="35"/>
      <c r="K593" s="35"/>
      <c r="L593" s="35"/>
      <c r="M593" s="31"/>
      <c r="N593" s="32"/>
      <c r="O593" s="32"/>
      <c r="P593" s="32"/>
      <c r="Q593" s="32"/>
      <c r="R593" s="32"/>
      <c r="S593" s="32"/>
      <c r="T593" s="32"/>
      <c r="U593" s="29"/>
      <c r="V593" s="29"/>
      <c r="W593" s="24"/>
      <c r="X593" s="18"/>
      <c r="Y593" s="18"/>
      <c r="Z593" s="18"/>
      <c r="AA593" s="18"/>
      <c r="AB593" s="18"/>
      <c r="AC593" s="18"/>
      <c r="AD593" s="18"/>
      <c r="AE593" s="19"/>
      <c r="AF593" s="20"/>
      <c r="AG593" s="21"/>
      <c r="AH593" s="21"/>
      <c r="AI593" s="19"/>
      <c r="AJ593" s="29"/>
      <c r="AK593" s="29"/>
      <c r="AL593" s="29"/>
    </row>
    <row r="594" spans="2:38" s="28" customFormat="1" x14ac:dyDescent="0.3">
      <c r="B594" s="24"/>
      <c r="C594" s="37"/>
      <c r="D594" s="37"/>
      <c r="E594" s="37"/>
      <c r="F594" s="35"/>
      <c r="G594" s="35"/>
      <c r="H594" s="35"/>
      <c r="I594" s="35"/>
      <c r="J594" s="35"/>
      <c r="K594" s="35"/>
      <c r="L594" s="35"/>
      <c r="M594" s="31"/>
      <c r="N594" s="32"/>
      <c r="O594" s="32"/>
      <c r="P594" s="32"/>
      <c r="Q594" s="32"/>
      <c r="R594" s="32"/>
      <c r="S594" s="32"/>
      <c r="T594" s="32"/>
      <c r="U594" s="29"/>
      <c r="V594" s="29"/>
      <c r="W594" s="24"/>
      <c r="X594" s="18"/>
      <c r="Y594" s="18"/>
      <c r="Z594" s="18"/>
      <c r="AA594" s="18"/>
      <c r="AB594" s="18"/>
      <c r="AC594" s="18"/>
      <c r="AD594" s="18"/>
      <c r="AE594" s="19"/>
      <c r="AF594" s="20"/>
      <c r="AG594" s="21"/>
      <c r="AH594" s="21"/>
      <c r="AI594" s="19"/>
      <c r="AJ594" s="29"/>
      <c r="AK594" s="29"/>
      <c r="AL594" s="29"/>
    </row>
    <row r="595" spans="2:38" s="28" customFormat="1" x14ac:dyDescent="0.3">
      <c r="B595" s="24"/>
      <c r="C595" s="37"/>
      <c r="D595" s="37"/>
      <c r="E595" s="37"/>
      <c r="F595" s="35"/>
      <c r="G595" s="35"/>
      <c r="H595" s="35"/>
      <c r="I595" s="35"/>
      <c r="J595" s="35"/>
      <c r="K595" s="35"/>
      <c r="L595" s="35"/>
      <c r="M595" s="31"/>
      <c r="N595" s="32"/>
      <c r="O595" s="32"/>
      <c r="P595" s="32"/>
      <c r="Q595" s="32"/>
      <c r="R595" s="32"/>
      <c r="S595" s="32"/>
      <c r="T595" s="32"/>
      <c r="U595" s="29"/>
      <c r="V595" s="29"/>
      <c r="W595" s="24"/>
      <c r="X595" s="18"/>
      <c r="Y595" s="18"/>
      <c r="Z595" s="18"/>
      <c r="AA595" s="18"/>
      <c r="AB595" s="18"/>
      <c r="AC595" s="18"/>
      <c r="AD595" s="18"/>
      <c r="AE595" s="19"/>
      <c r="AF595" s="20"/>
      <c r="AG595" s="21"/>
      <c r="AH595" s="21"/>
      <c r="AI595" s="19"/>
      <c r="AJ595" s="29"/>
      <c r="AK595" s="29"/>
      <c r="AL595" s="29"/>
    </row>
    <row r="596" spans="2:38" s="28" customFormat="1" x14ac:dyDescent="0.3">
      <c r="B596" s="24"/>
      <c r="C596" s="37"/>
      <c r="D596" s="37"/>
      <c r="E596" s="37"/>
      <c r="F596" s="35"/>
      <c r="G596" s="35"/>
      <c r="H596" s="35"/>
      <c r="I596" s="35"/>
      <c r="J596" s="35"/>
      <c r="K596" s="35"/>
      <c r="L596" s="35"/>
      <c r="M596" s="31"/>
      <c r="N596" s="32"/>
      <c r="O596" s="32"/>
      <c r="P596" s="32"/>
      <c r="Q596" s="32"/>
      <c r="R596" s="32"/>
      <c r="S596" s="32"/>
      <c r="T596" s="32"/>
      <c r="U596" s="29"/>
      <c r="V596" s="29"/>
      <c r="W596" s="24"/>
      <c r="X596" s="18"/>
      <c r="Y596" s="18"/>
      <c r="Z596" s="18"/>
      <c r="AA596" s="18"/>
      <c r="AB596" s="18"/>
      <c r="AC596" s="18"/>
      <c r="AD596" s="18"/>
      <c r="AE596" s="19"/>
      <c r="AF596" s="20"/>
      <c r="AG596" s="21"/>
      <c r="AH596" s="21"/>
      <c r="AI596" s="19"/>
      <c r="AJ596" s="29"/>
      <c r="AK596" s="29"/>
      <c r="AL596" s="29"/>
    </row>
    <row r="597" spans="2:38" s="28" customFormat="1" x14ac:dyDescent="0.3">
      <c r="B597" s="24"/>
      <c r="C597" s="37"/>
      <c r="D597" s="37"/>
      <c r="E597" s="37"/>
      <c r="F597" s="35"/>
      <c r="G597" s="35"/>
      <c r="H597" s="35"/>
      <c r="I597" s="35"/>
      <c r="J597" s="35"/>
      <c r="K597" s="35"/>
      <c r="L597" s="35"/>
      <c r="M597" s="31"/>
      <c r="N597" s="32"/>
      <c r="O597" s="32"/>
      <c r="P597" s="32"/>
      <c r="Q597" s="32"/>
      <c r="R597" s="32"/>
      <c r="S597" s="32"/>
      <c r="T597" s="32"/>
      <c r="U597" s="29"/>
      <c r="V597" s="29"/>
      <c r="W597" s="24"/>
      <c r="X597" s="18"/>
      <c r="Y597" s="18"/>
      <c r="Z597" s="18"/>
      <c r="AA597" s="18"/>
      <c r="AB597" s="18"/>
      <c r="AC597" s="18"/>
      <c r="AD597" s="18"/>
      <c r="AE597" s="19"/>
      <c r="AF597" s="20"/>
      <c r="AG597" s="21"/>
      <c r="AH597" s="21"/>
      <c r="AI597" s="19"/>
      <c r="AJ597" s="29"/>
      <c r="AK597" s="29"/>
      <c r="AL597" s="29"/>
    </row>
    <row r="598" spans="2:38" s="28" customFormat="1" x14ac:dyDescent="0.3">
      <c r="B598" s="24"/>
      <c r="C598" s="37"/>
      <c r="D598" s="37"/>
      <c r="E598" s="37"/>
      <c r="F598" s="35"/>
      <c r="G598" s="35"/>
      <c r="H598" s="35"/>
      <c r="I598" s="35"/>
      <c r="J598" s="35"/>
      <c r="K598" s="35"/>
      <c r="L598" s="35"/>
      <c r="M598" s="31"/>
      <c r="N598" s="32"/>
      <c r="O598" s="32"/>
      <c r="P598" s="32"/>
      <c r="Q598" s="32"/>
      <c r="R598" s="32"/>
      <c r="S598" s="32"/>
      <c r="T598" s="32"/>
      <c r="U598" s="29"/>
      <c r="V598" s="29"/>
      <c r="W598" s="24"/>
      <c r="X598" s="18"/>
      <c r="Y598" s="18"/>
      <c r="Z598" s="18"/>
      <c r="AA598" s="18"/>
      <c r="AB598" s="18"/>
      <c r="AC598" s="18"/>
      <c r="AD598" s="18"/>
      <c r="AE598" s="19"/>
      <c r="AF598" s="20"/>
      <c r="AG598" s="21"/>
      <c r="AH598" s="21"/>
      <c r="AI598" s="19"/>
      <c r="AJ598" s="29"/>
      <c r="AK598" s="29"/>
      <c r="AL598" s="29"/>
    </row>
    <row r="599" spans="2:38" s="28" customFormat="1" x14ac:dyDescent="0.3">
      <c r="B599" s="24"/>
      <c r="C599" s="37"/>
      <c r="D599" s="37"/>
      <c r="E599" s="37"/>
      <c r="F599" s="35"/>
      <c r="G599" s="35"/>
      <c r="H599" s="35"/>
      <c r="I599" s="35"/>
      <c r="J599" s="35"/>
      <c r="K599" s="35"/>
      <c r="L599" s="35"/>
      <c r="M599" s="31"/>
      <c r="N599" s="32"/>
      <c r="O599" s="32"/>
      <c r="P599" s="32"/>
      <c r="Q599" s="32"/>
      <c r="R599" s="32"/>
      <c r="S599" s="32"/>
      <c r="T599" s="32"/>
      <c r="U599" s="29"/>
      <c r="V599" s="29"/>
      <c r="W599" s="24"/>
      <c r="X599" s="18"/>
      <c r="Y599" s="18"/>
      <c r="Z599" s="18"/>
      <c r="AA599" s="18"/>
      <c r="AB599" s="18"/>
      <c r="AC599" s="18"/>
      <c r="AD599" s="18"/>
      <c r="AE599" s="19"/>
      <c r="AF599" s="20"/>
      <c r="AG599" s="21"/>
      <c r="AH599" s="21"/>
      <c r="AI599" s="19"/>
      <c r="AJ599" s="29"/>
      <c r="AK599" s="29"/>
      <c r="AL599" s="29"/>
    </row>
    <row r="600" spans="2:38" s="28" customFormat="1" x14ac:dyDescent="0.3">
      <c r="B600" s="24"/>
      <c r="C600" s="37"/>
      <c r="D600" s="37"/>
      <c r="E600" s="37"/>
      <c r="F600" s="35"/>
      <c r="G600" s="35"/>
      <c r="H600" s="35"/>
      <c r="I600" s="35"/>
      <c r="J600" s="35"/>
      <c r="K600" s="35"/>
      <c r="L600" s="35"/>
      <c r="M600" s="31"/>
      <c r="N600" s="32"/>
      <c r="O600" s="32"/>
      <c r="P600" s="32"/>
      <c r="Q600" s="32"/>
      <c r="R600" s="32"/>
      <c r="S600" s="32"/>
      <c r="T600" s="32"/>
      <c r="U600" s="29"/>
      <c r="V600" s="29"/>
      <c r="W600" s="24"/>
      <c r="X600" s="18"/>
      <c r="Y600" s="18"/>
      <c r="Z600" s="18"/>
      <c r="AA600" s="18"/>
      <c r="AB600" s="18"/>
      <c r="AC600" s="18"/>
      <c r="AD600" s="18"/>
      <c r="AE600" s="19"/>
      <c r="AF600" s="20"/>
      <c r="AG600" s="21"/>
      <c r="AH600" s="21"/>
      <c r="AI600" s="19"/>
      <c r="AJ600" s="29"/>
      <c r="AK600" s="29"/>
      <c r="AL600" s="29"/>
    </row>
    <row r="601" spans="2:38" s="28" customFormat="1" x14ac:dyDescent="0.3">
      <c r="B601" s="24"/>
      <c r="C601" s="37"/>
      <c r="D601" s="37"/>
      <c r="E601" s="37"/>
      <c r="F601" s="35"/>
      <c r="G601" s="35"/>
      <c r="H601" s="35"/>
      <c r="I601" s="35"/>
      <c r="J601" s="35"/>
      <c r="K601" s="35"/>
      <c r="L601" s="35"/>
      <c r="M601" s="31"/>
      <c r="N601" s="32"/>
      <c r="O601" s="32"/>
      <c r="P601" s="32"/>
      <c r="Q601" s="32"/>
      <c r="R601" s="32"/>
      <c r="S601" s="32"/>
      <c r="T601" s="32"/>
      <c r="U601" s="29"/>
      <c r="V601" s="29"/>
      <c r="W601" s="24"/>
      <c r="X601" s="18"/>
      <c r="Y601" s="18"/>
      <c r="Z601" s="18"/>
      <c r="AA601" s="18"/>
      <c r="AB601" s="18"/>
      <c r="AC601" s="18"/>
      <c r="AD601" s="18"/>
      <c r="AE601" s="19"/>
      <c r="AF601" s="20"/>
      <c r="AG601" s="21"/>
      <c r="AH601" s="21"/>
      <c r="AI601" s="19"/>
      <c r="AJ601" s="29"/>
      <c r="AK601" s="29"/>
      <c r="AL601" s="29"/>
    </row>
    <row r="602" spans="2:38" s="28" customFormat="1" x14ac:dyDescent="0.3">
      <c r="B602" s="24"/>
      <c r="C602" s="37"/>
      <c r="D602" s="37"/>
      <c r="E602" s="37"/>
      <c r="F602" s="35"/>
      <c r="G602" s="35"/>
      <c r="H602" s="35"/>
      <c r="I602" s="35"/>
      <c r="J602" s="35"/>
      <c r="K602" s="35"/>
      <c r="L602" s="35"/>
      <c r="M602" s="31"/>
      <c r="N602" s="32"/>
      <c r="O602" s="32"/>
      <c r="P602" s="32"/>
      <c r="Q602" s="32"/>
      <c r="R602" s="32"/>
      <c r="S602" s="32"/>
      <c r="T602" s="32"/>
      <c r="U602" s="29"/>
      <c r="V602" s="29"/>
      <c r="W602" s="24"/>
      <c r="X602" s="18"/>
      <c r="Y602" s="18"/>
      <c r="Z602" s="18"/>
      <c r="AA602" s="18"/>
      <c r="AB602" s="18"/>
      <c r="AC602" s="18"/>
      <c r="AD602" s="18"/>
      <c r="AE602" s="19"/>
      <c r="AF602" s="20"/>
      <c r="AG602" s="21"/>
      <c r="AH602" s="21"/>
      <c r="AI602" s="19"/>
      <c r="AJ602" s="29"/>
      <c r="AK602" s="29"/>
      <c r="AL602" s="29"/>
    </row>
    <row r="603" spans="2:38" s="28" customFormat="1" x14ac:dyDescent="0.3">
      <c r="B603" s="24"/>
      <c r="C603" s="37"/>
      <c r="D603" s="37"/>
      <c r="E603" s="37"/>
      <c r="F603" s="35"/>
      <c r="G603" s="35"/>
      <c r="H603" s="35"/>
      <c r="I603" s="35"/>
      <c r="J603" s="35"/>
      <c r="K603" s="35"/>
      <c r="L603" s="35"/>
      <c r="M603" s="31"/>
      <c r="N603" s="32"/>
      <c r="O603" s="32"/>
      <c r="P603" s="32"/>
      <c r="Q603" s="32"/>
      <c r="R603" s="32"/>
      <c r="S603" s="32"/>
      <c r="T603" s="32"/>
      <c r="U603" s="29"/>
      <c r="V603" s="29"/>
      <c r="W603" s="24"/>
      <c r="X603" s="18"/>
      <c r="Y603" s="18"/>
      <c r="Z603" s="18"/>
      <c r="AA603" s="18"/>
      <c r="AB603" s="18"/>
      <c r="AC603" s="18"/>
      <c r="AD603" s="18"/>
      <c r="AE603" s="19"/>
      <c r="AF603" s="20"/>
      <c r="AG603" s="21"/>
      <c r="AH603" s="21"/>
      <c r="AI603" s="19"/>
      <c r="AJ603" s="29"/>
      <c r="AK603" s="29"/>
      <c r="AL603" s="29"/>
    </row>
    <row r="604" spans="2:38" s="28" customFormat="1" x14ac:dyDescent="0.3">
      <c r="B604" s="24"/>
      <c r="C604" s="37"/>
      <c r="D604" s="37"/>
      <c r="E604" s="37"/>
      <c r="F604" s="35"/>
      <c r="G604" s="35"/>
      <c r="H604" s="35"/>
      <c r="I604" s="35"/>
      <c r="J604" s="35"/>
      <c r="K604" s="35"/>
      <c r="L604" s="35"/>
      <c r="M604" s="31"/>
      <c r="N604" s="32"/>
      <c r="O604" s="32"/>
      <c r="P604" s="32"/>
      <c r="Q604" s="32"/>
      <c r="R604" s="32"/>
      <c r="S604" s="32"/>
      <c r="T604" s="32"/>
      <c r="U604" s="29"/>
      <c r="V604" s="29"/>
      <c r="W604" s="24"/>
      <c r="X604" s="18"/>
      <c r="Y604" s="18"/>
      <c r="Z604" s="18"/>
      <c r="AA604" s="18"/>
      <c r="AB604" s="18"/>
      <c r="AC604" s="18"/>
      <c r="AD604" s="18"/>
      <c r="AE604" s="19"/>
      <c r="AF604" s="20"/>
      <c r="AG604" s="21"/>
      <c r="AH604" s="21"/>
      <c r="AI604" s="19"/>
      <c r="AJ604" s="29"/>
      <c r="AK604" s="29"/>
      <c r="AL604" s="29"/>
    </row>
    <row r="605" spans="2:38" s="28" customFormat="1" x14ac:dyDescent="0.3">
      <c r="B605" s="24"/>
      <c r="C605" s="37"/>
      <c r="D605" s="37"/>
      <c r="E605" s="37"/>
      <c r="F605" s="35"/>
      <c r="G605" s="35"/>
      <c r="H605" s="35"/>
      <c r="I605" s="35"/>
      <c r="J605" s="35"/>
      <c r="K605" s="35"/>
      <c r="L605" s="35"/>
      <c r="M605" s="31"/>
      <c r="N605" s="32"/>
      <c r="O605" s="32"/>
      <c r="P605" s="32"/>
      <c r="Q605" s="32"/>
      <c r="R605" s="32"/>
      <c r="S605" s="32"/>
      <c r="T605" s="32"/>
      <c r="U605" s="29"/>
      <c r="V605" s="29"/>
      <c r="W605" s="24"/>
      <c r="X605" s="18"/>
      <c r="Y605" s="18"/>
      <c r="Z605" s="18"/>
      <c r="AA605" s="18"/>
      <c r="AB605" s="18"/>
      <c r="AC605" s="18"/>
      <c r="AD605" s="18"/>
      <c r="AE605" s="19"/>
      <c r="AF605" s="20"/>
      <c r="AG605" s="21"/>
      <c r="AH605" s="21"/>
      <c r="AI605" s="19"/>
      <c r="AJ605" s="29"/>
      <c r="AK605" s="29"/>
      <c r="AL605" s="29"/>
    </row>
    <row r="606" spans="2:38" s="28" customFormat="1" x14ac:dyDescent="0.3">
      <c r="B606" s="24"/>
      <c r="C606" s="37"/>
      <c r="D606" s="37"/>
      <c r="E606" s="37"/>
      <c r="F606" s="35"/>
      <c r="G606" s="35"/>
      <c r="H606" s="35"/>
      <c r="I606" s="35"/>
      <c r="J606" s="35"/>
      <c r="K606" s="35"/>
      <c r="L606" s="35"/>
      <c r="M606" s="31"/>
      <c r="N606" s="32"/>
      <c r="O606" s="32"/>
      <c r="P606" s="32"/>
      <c r="Q606" s="32"/>
      <c r="R606" s="32"/>
      <c r="S606" s="32"/>
      <c r="T606" s="32"/>
      <c r="U606" s="29"/>
      <c r="V606" s="29"/>
      <c r="W606" s="24"/>
      <c r="X606" s="18"/>
      <c r="Y606" s="18"/>
      <c r="Z606" s="18"/>
      <c r="AA606" s="18"/>
      <c r="AB606" s="18"/>
      <c r="AC606" s="18"/>
      <c r="AD606" s="18"/>
      <c r="AE606" s="19"/>
      <c r="AF606" s="20"/>
      <c r="AG606" s="21"/>
      <c r="AH606" s="21"/>
      <c r="AI606" s="19"/>
      <c r="AJ606" s="29"/>
      <c r="AK606" s="29"/>
      <c r="AL606" s="29"/>
    </row>
    <row r="607" spans="2:38" s="28" customFormat="1" x14ac:dyDescent="0.3">
      <c r="B607" s="24"/>
      <c r="C607" s="37"/>
      <c r="D607" s="37"/>
      <c r="E607" s="37"/>
      <c r="F607" s="35"/>
      <c r="G607" s="35"/>
      <c r="H607" s="35"/>
      <c r="I607" s="35"/>
      <c r="J607" s="35"/>
      <c r="K607" s="35"/>
      <c r="L607" s="35"/>
      <c r="M607" s="31"/>
      <c r="N607" s="32"/>
      <c r="O607" s="32"/>
      <c r="P607" s="32"/>
      <c r="Q607" s="32"/>
      <c r="R607" s="32"/>
      <c r="S607" s="32"/>
      <c r="T607" s="32"/>
      <c r="U607" s="29"/>
      <c r="V607" s="29"/>
      <c r="W607" s="24"/>
      <c r="X607" s="18"/>
      <c r="Y607" s="18"/>
      <c r="Z607" s="18"/>
      <c r="AA607" s="18"/>
      <c r="AB607" s="18"/>
      <c r="AC607" s="18"/>
      <c r="AD607" s="18"/>
      <c r="AE607" s="19"/>
      <c r="AF607" s="20"/>
      <c r="AG607" s="21"/>
      <c r="AH607" s="21"/>
      <c r="AI607" s="19"/>
      <c r="AJ607" s="29"/>
      <c r="AK607" s="29"/>
      <c r="AL607" s="29"/>
    </row>
    <row r="608" spans="2:38" s="28" customFormat="1" x14ac:dyDescent="0.3">
      <c r="B608" s="24"/>
      <c r="C608" s="37"/>
      <c r="D608" s="37"/>
      <c r="E608" s="37"/>
      <c r="F608" s="35"/>
      <c r="G608" s="35"/>
      <c r="H608" s="35"/>
      <c r="I608" s="35"/>
      <c r="J608" s="35"/>
      <c r="K608" s="35"/>
      <c r="L608" s="35"/>
      <c r="M608" s="31"/>
      <c r="N608" s="32"/>
      <c r="O608" s="32"/>
      <c r="P608" s="32"/>
      <c r="Q608" s="32"/>
      <c r="R608" s="32"/>
      <c r="S608" s="32"/>
      <c r="T608" s="32"/>
      <c r="U608" s="29"/>
      <c r="V608" s="29"/>
      <c r="W608" s="24"/>
      <c r="X608" s="18"/>
      <c r="Y608" s="18"/>
      <c r="Z608" s="18"/>
      <c r="AA608" s="18"/>
      <c r="AB608" s="18"/>
      <c r="AC608" s="18"/>
      <c r="AD608" s="18"/>
      <c r="AE608" s="19"/>
      <c r="AF608" s="20"/>
      <c r="AG608" s="21"/>
      <c r="AH608" s="21"/>
      <c r="AI608" s="19"/>
      <c r="AJ608" s="29"/>
      <c r="AK608" s="29"/>
      <c r="AL608" s="29"/>
    </row>
    <row r="609" spans="2:38" s="28" customFormat="1" x14ac:dyDescent="0.3">
      <c r="B609" s="24"/>
      <c r="C609" s="37"/>
      <c r="D609" s="37"/>
      <c r="E609" s="37"/>
      <c r="F609" s="35"/>
      <c r="G609" s="35"/>
      <c r="H609" s="35"/>
      <c r="I609" s="35"/>
      <c r="J609" s="35"/>
      <c r="K609" s="35"/>
      <c r="L609" s="35"/>
      <c r="M609" s="31"/>
      <c r="N609" s="32"/>
      <c r="O609" s="32"/>
      <c r="P609" s="32"/>
      <c r="Q609" s="32"/>
      <c r="R609" s="32"/>
      <c r="S609" s="32"/>
      <c r="T609" s="32"/>
      <c r="U609" s="29"/>
      <c r="V609" s="29"/>
      <c r="W609" s="24"/>
      <c r="X609" s="18"/>
      <c r="Y609" s="18"/>
      <c r="Z609" s="18"/>
      <c r="AA609" s="18"/>
      <c r="AB609" s="18"/>
      <c r="AC609" s="18"/>
      <c r="AD609" s="18"/>
      <c r="AE609" s="19"/>
      <c r="AF609" s="20"/>
      <c r="AG609" s="21"/>
      <c r="AH609" s="21"/>
      <c r="AI609" s="19"/>
      <c r="AJ609" s="29"/>
      <c r="AK609" s="29"/>
      <c r="AL609" s="29"/>
    </row>
    <row r="610" spans="2:38" s="28" customFormat="1" x14ac:dyDescent="0.3">
      <c r="B610" s="24"/>
      <c r="C610" s="37"/>
      <c r="D610" s="37"/>
      <c r="E610" s="37"/>
      <c r="F610" s="35"/>
      <c r="G610" s="35"/>
      <c r="H610" s="35"/>
      <c r="I610" s="35"/>
      <c r="J610" s="35"/>
      <c r="K610" s="35"/>
      <c r="L610" s="35"/>
      <c r="M610" s="31"/>
      <c r="N610" s="32"/>
      <c r="O610" s="32"/>
      <c r="P610" s="32"/>
      <c r="Q610" s="32"/>
      <c r="R610" s="32"/>
      <c r="S610" s="32"/>
      <c r="T610" s="32"/>
      <c r="U610" s="29"/>
      <c r="V610" s="29"/>
      <c r="W610" s="24"/>
      <c r="X610" s="18"/>
      <c r="Y610" s="18"/>
      <c r="Z610" s="18"/>
      <c r="AA610" s="18"/>
      <c r="AB610" s="18"/>
      <c r="AC610" s="18"/>
      <c r="AD610" s="18"/>
      <c r="AE610" s="19"/>
      <c r="AF610" s="20"/>
      <c r="AG610" s="21"/>
      <c r="AH610" s="21"/>
      <c r="AI610" s="19"/>
      <c r="AJ610" s="29"/>
      <c r="AK610" s="29"/>
      <c r="AL610" s="29"/>
    </row>
    <row r="611" spans="2:38" s="28" customFormat="1" x14ac:dyDescent="0.3">
      <c r="B611" s="24"/>
      <c r="C611" s="37"/>
      <c r="D611" s="37"/>
      <c r="E611" s="37"/>
      <c r="F611" s="35"/>
      <c r="G611" s="35"/>
      <c r="H611" s="35"/>
      <c r="I611" s="35"/>
      <c r="J611" s="35"/>
      <c r="K611" s="35"/>
      <c r="L611" s="35"/>
      <c r="M611" s="31"/>
      <c r="N611" s="32"/>
      <c r="O611" s="32"/>
      <c r="P611" s="32"/>
      <c r="Q611" s="32"/>
      <c r="R611" s="32"/>
      <c r="S611" s="32"/>
      <c r="T611" s="32"/>
      <c r="U611" s="29"/>
      <c r="V611" s="29"/>
      <c r="W611" s="24"/>
      <c r="X611" s="18"/>
      <c r="Y611" s="18"/>
      <c r="Z611" s="18"/>
      <c r="AA611" s="18"/>
      <c r="AB611" s="18"/>
      <c r="AC611" s="18"/>
      <c r="AD611" s="18"/>
      <c r="AE611" s="19"/>
      <c r="AF611" s="20"/>
      <c r="AG611" s="21"/>
      <c r="AH611" s="21"/>
      <c r="AI611" s="19"/>
      <c r="AJ611" s="29"/>
      <c r="AK611" s="29"/>
      <c r="AL611" s="29"/>
    </row>
    <row r="612" spans="2:38" s="28" customFormat="1" x14ac:dyDescent="0.3">
      <c r="B612" s="24"/>
      <c r="C612" s="37"/>
      <c r="D612" s="37"/>
      <c r="E612" s="37"/>
      <c r="F612" s="35"/>
      <c r="G612" s="35"/>
      <c r="H612" s="35"/>
      <c r="I612" s="35"/>
      <c r="J612" s="35"/>
      <c r="K612" s="35"/>
      <c r="L612" s="35"/>
      <c r="M612" s="31"/>
      <c r="N612" s="32"/>
      <c r="O612" s="32"/>
      <c r="P612" s="32"/>
      <c r="Q612" s="32"/>
      <c r="R612" s="32"/>
      <c r="S612" s="32"/>
      <c r="T612" s="32"/>
      <c r="U612" s="29"/>
      <c r="V612" s="29"/>
      <c r="W612" s="24"/>
      <c r="X612" s="18"/>
      <c r="Y612" s="18"/>
      <c r="Z612" s="18"/>
      <c r="AA612" s="18"/>
      <c r="AB612" s="18"/>
      <c r="AC612" s="18"/>
      <c r="AD612" s="18"/>
      <c r="AE612" s="19"/>
      <c r="AF612" s="20"/>
      <c r="AG612" s="21"/>
      <c r="AH612" s="21"/>
      <c r="AI612" s="19"/>
      <c r="AJ612" s="29"/>
      <c r="AK612" s="29"/>
      <c r="AL612" s="29"/>
    </row>
    <row r="613" spans="2:38" s="28" customFormat="1" x14ac:dyDescent="0.3">
      <c r="B613" s="24"/>
      <c r="C613" s="37"/>
      <c r="D613" s="37"/>
      <c r="E613" s="37"/>
      <c r="F613" s="35"/>
      <c r="G613" s="35"/>
      <c r="H613" s="35"/>
      <c r="I613" s="35"/>
      <c r="J613" s="35"/>
      <c r="K613" s="35"/>
      <c r="L613" s="35"/>
      <c r="M613" s="31"/>
      <c r="N613" s="32"/>
      <c r="O613" s="32"/>
      <c r="P613" s="32"/>
      <c r="Q613" s="32"/>
      <c r="R613" s="32"/>
      <c r="S613" s="32"/>
      <c r="T613" s="32"/>
      <c r="U613" s="29"/>
      <c r="V613" s="29"/>
      <c r="W613" s="24"/>
      <c r="X613" s="18"/>
      <c r="Y613" s="18"/>
      <c r="Z613" s="18"/>
      <c r="AA613" s="18"/>
      <c r="AB613" s="18"/>
      <c r="AC613" s="18"/>
      <c r="AD613" s="18"/>
      <c r="AE613" s="19"/>
      <c r="AF613" s="20"/>
      <c r="AG613" s="21"/>
      <c r="AH613" s="21"/>
      <c r="AI613" s="19"/>
      <c r="AJ613" s="29"/>
      <c r="AK613" s="29"/>
      <c r="AL613" s="29"/>
    </row>
    <row r="614" spans="2:38" s="28" customFormat="1" x14ac:dyDescent="0.3">
      <c r="B614" s="24"/>
      <c r="C614" s="37"/>
      <c r="D614" s="37"/>
      <c r="E614" s="37"/>
      <c r="F614" s="35"/>
      <c r="G614" s="35"/>
      <c r="H614" s="35"/>
      <c r="I614" s="35"/>
      <c r="J614" s="35"/>
      <c r="K614" s="35"/>
      <c r="L614" s="35"/>
      <c r="M614" s="31"/>
      <c r="N614" s="32"/>
      <c r="O614" s="32"/>
      <c r="P614" s="32"/>
      <c r="Q614" s="32"/>
      <c r="R614" s="32"/>
      <c r="S614" s="32"/>
      <c r="T614" s="32"/>
      <c r="U614" s="29"/>
      <c r="V614" s="29"/>
      <c r="W614" s="24"/>
      <c r="X614" s="18"/>
      <c r="Y614" s="18"/>
      <c r="Z614" s="18"/>
      <c r="AA614" s="18"/>
      <c r="AB614" s="18"/>
      <c r="AC614" s="18"/>
      <c r="AD614" s="18"/>
      <c r="AE614" s="19"/>
      <c r="AF614" s="20"/>
      <c r="AG614" s="21"/>
      <c r="AH614" s="21"/>
      <c r="AI614" s="19"/>
      <c r="AJ614" s="29"/>
      <c r="AK614" s="29"/>
      <c r="AL614" s="29"/>
    </row>
    <row r="615" spans="2:38" s="28" customFormat="1" x14ac:dyDescent="0.3">
      <c r="B615" s="24"/>
      <c r="C615" s="37"/>
      <c r="D615" s="37"/>
      <c r="E615" s="37"/>
      <c r="F615" s="35"/>
      <c r="G615" s="35"/>
      <c r="H615" s="35"/>
      <c r="I615" s="35"/>
      <c r="J615" s="35"/>
      <c r="K615" s="35"/>
      <c r="L615" s="35"/>
      <c r="M615" s="31"/>
      <c r="N615" s="32"/>
      <c r="O615" s="32"/>
      <c r="P615" s="32"/>
      <c r="Q615" s="32"/>
      <c r="R615" s="32"/>
      <c r="S615" s="32"/>
      <c r="T615" s="32"/>
      <c r="U615" s="29"/>
      <c r="V615" s="29"/>
      <c r="W615" s="24"/>
      <c r="X615" s="18"/>
      <c r="Y615" s="18"/>
      <c r="Z615" s="18"/>
      <c r="AA615" s="18"/>
      <c r="AB615" s="18"/>
      <c r="AC615" s="18"/>
      <c r="AD615" s="18"/>
      <c r="AE615" s="19"/>
      <c r="AF615" s="20"/>
      <c r="AG615" s="21"/>
      <c r="AH615" s="21"/>
      <c r="AI615" s="19"/>
      <c r="AJ615" s="29"/>
      <c r="AK615" s="29"/>
      <c r="AL615" s="29"/>
    </row>
    <row r="616" spans="2:38" s="28" customFormat="1" x14ac:dyDescent="0.3">
      <c r="B616" s="24"/>
      <c r="C616" s="37"/>
      <c r="D616" s="37"/>
      <c r="E616" s="37"/>
      <c r="F616" s="35"/>
      <c r="G616" s="35"/>
      <c r="H616" s="35"/>
      <c r="I616" s="35"/>
      <c r="J616" s="35"/>
      <c r="K616" s="35"/>
      <c r="L616" s="35"/>
      <c r="M616" s="31"/>
      <c r="N616" s="32"/>
      <c r="O616" s="32"/>
      <c r="P616" s="32"/>
      <c r="Q616" s="32"/>
      <c r="R616" s="32"/>
      <c r="S616" s="32"/>
      <c r="T616" s="32"/>
      <c r="U616" s="29"/>
      <c r="V616" s="29"/>
      <c r="W616" s="24"/>
      <c r="X616" s="18"/>
      <c r="Y616" s="18"/>
      <c r="Z616" s="18"/>
      <c r="AA616" s="18"/>
      <c r="AB616" s="18"/>
      <c r="AC616" s="18"/>
      <c r="AD616" s="18"/>
      <c r="AE616" s="19"/>
      <c r="AF616" s="20"/>
      <c r="AG616" s="21"/>
      <c r="AH616" s="21"/>
      <c r="AI616" s="19"/>
      <c r="AJ616" s="29"/>
      <c r="AK616" s="29"/>
      <c r="AL616" s="29"/>
    </row>
    <row r="617" spans="2:38" s="28" customFormat="1" x14ac:dyDescent="0.3">
      <c r="B617" s="24"/>
      <c r="C617" s="37"/>
      <c r="D617" s="37"/>
      <c r="E617" s="37"/>
      <c r="F617" s="35"/>
      <c r="G617" s="35"/>
      <c r="H617" s="35"/>
      <c r="I617" s="35"/>
      <c r="J617" s="35"/>
      <c r="K617" s="35"/>
      <c r="L617" s="35"/>
      <c r="M617" s="31"/>
      <c r="N617" s="32"/>
      <c r="O617" s="32"/>
      <c r="P617" s="32"/>
      <c r="Q617" s="32"/>
      <c r="R617" s="32"/>
      <c r="S617" s="32"/>
      <c r="T617" s="32"/>
      <c r="U617" s="29"/>
      <c r="V617" s="29"/>
      <c r="W617" s="24"/>
      <c r="X617" s="18"/>
      <c r="Y617" s="18"/>
      <c r="Z617" s="18"/>
      <c r="AA617" s="18"/>
      <c r="AB617" s="18"/>
      <c r="AC617" s="18"/>
      <c r="AD617" s="18"/>
      <c r="AE617" s="19"/>
      <c r="AF617" s="20"/>
      <c r="AG617" s="21"/>
      <c r="AH617" s="21"/>
      <c r="AI617" s="19"/>
      <c r="AJ617" s="29"/>
      <c r="AK617" s="29"/>
      <c r="AL617" s="29"/>
    </row>
    <row r="618" spans="2:38" s="28" customFormat="1" x14ac:dyDescent="0.3">
      <c r="B618" s="24"/>
      <c r="C618" s="37"/>
      <c r="D618" s="37"/>
      <c r="E618" s="37"/>
      <c r="F618" s="35"/>
      <c r="G618" s="35"/>
      <c r="H618" s="35"/>
      <c r="I618" s="35"/>
      <c r="J618" s="35"/>
      <c r="K618" s="35"/>
      <c r="L618" s="35"/>
      <c r="M618" s="31"/>
      <c r="N618" s="32"/>
      <c r="O618" s="32"/>
      <c r="P618" s="32"/>
      <c r="Q618" s="32"/>
      <c r="R618" s="32"/>
      <c r="S618" s="32"/>
      <c r="T618" s="32"/>
      <c r="U618" s="29"/>
      <c r="V618" s="29"/>
      <c r="W618" s="24"/>
      <c r="X618" s="18"/>
      <c r="Y618" s="18"/>
      <c r="Z618" s="18"/>
      <c r="AA618" s="18"/>
      <c r="AB618" s="18"/>
      <c r="AC618" s="18"/>
      <c r="AD618" s="18"/>
      <c r="AE618" s="19"/>
      <c r="AF618" s="20"/>
      <c r="AG618" s="21"/>
      <c r="AH618" s="21"/>
      <c r="AI618" s="19"/>
      <c r="AJ618" s="29"/>
      <c r="AK618" s="29"/>
      <c r="AL618" s="29"/>
    </row>
    <row r="619" spans="2:38" s="28" customFormat="1" x14ac:dyDescent="0.3">
      <c r="B619" s="24"/>
      <c r="C619" s="37"/>
      <c r="D619" s="37"/>
      <c r="E619" s="37"/>
      <c r="F619" s="35"/>
      <c r="G619" s="35"/>
      <c r="H619" s="35"/>
      <c r="I619" s="35"/>
      <c r="J619" s="35"/>
      <c r="K619" s="35"/>
      <c r="L619" s="35"/>
      <c r="M619" s="31"/>
      <c r="N619" s="32"/>
      <c r="O619" s="32"/>
      <c r="P619" s="32"/>
      <c r="Q619" s="32"/>
      <c r="R619" s="32"/>
      <c r="S619" s="32"/>
      <c r="T619" s="32"/>
      <c r="U619" s="29"/>
      <c r="V619" s="29"/>
      <c r="W619" s="24"/>
      <c r="X619" s="18"/>
      <c r="Y619" s="18"/>
      <c r="Z619" s="18"/>
      <c r="AA619" s="18"/>
      <c r="AB619" s="18"/>
      <c r="AC619" s="18"/>
      <c r="AD619" s="18"/>
      <c r="AE619" s="19"/>
      <c r="AF619" s="20"/>
      <c r="AG619" s="21"/>
      <c r="AH619" s="21"/>
      <c r="AI619" s="19"/>
      <c r="AJ619" s="29"/>
      <c r="AK619" s="29"/>
      <c r="AL619" s="29"/>
    </row>
    <row r="620" spans="2:38" s="28" customFormat="1" x14ac:dyDescent="0.3">
      <c r="B620" s="24"/>
      <c r="C620" s="37"/>
      <c r="D620" s="37"/>
      <c r="E620" s="37"/>
      <c r="F620" s="35"/>
      <c r="G620" s="35"/>
      <c r="H620" s="35"/>
      <c r="I620" s="35"/>
      <c r="J620" s="35"/>
      <c r="K620" s="35"/>
      <c r="L620" s="35"/>
      <c r="M620" s="31"/>
      <c r="N620" s="32"/>
      <c r="O620" s="32"/>
      <c r="P620" s="32"/>
      <c r="Q620" s="32"/>
      <c r="R620" s="32"/>
      <c r="S620" s="32"/>
      <c r="T620" s="32"/>
      <c r="U620" s="29"/>
      <c r="V620" s="29"/>
      <c r="W620" s="24"/>
      <c r="X620" s="18"/>
      <c r="Y620" s="18"/>
      <c r="Z620" s="18"/>
      <c r="AA620" s="18"/>
      <c r="AB620" s="18"/>
      <c r="AC620" s="18"/>
      <c r="AD620" s="18"/>
      <c r="AE620" s="19"/>
      <c r="AF620" s="20"/>
      <c r="AG620" s="21"/>
      <c r="AH620" s="21"/>
      <c r="AI620" s="19"/>
      <c r="AJ620" s="29"/>
      <c r="AK620" s="29"/>
      <c r="AL620" s="29"/>
    </row>
    <row r="621" spans="2:38" s="28" customFormat="1" x14ac:dyDescent="0.3">
      <c r="B621" s="24"/>
      <c r="C621" s="37"/>
      <c r="D621" s="37"/>
      <c r="E621" s="37"/>
      <c r="F621" s="35"/>
      <c r="G621" s="35"/>
      <c r="H621" s="35"/>
      <c r="I621" s="35"/>
      <c r="J621" s="35"/>
      <c r="K621" s="35"/>
      <c r="L621" s="35"/>
      <c r="M621" s="31"/>
      <c r="N621" s="32"/>
      <c r="O621" s="32"/>
      <c r="P621" s="32"/>
      <c r="Q621" s="32"/>
      <c r="R621" s="32"/>
      <c r="S621" s="32"/>
      <c r="T621" s="32"/>
      <c r="U621" s="29"/>
      <c r="V621" s="29"/>
      <c r="W621" s="24"/>
      <c r="X621" s="18"/>
      <c r="Y621" s="18"/>
      <c r="Z621" s="18"/>
      <c r="AA621" s="18"/>
      <c r="AB621" s="18"/>
      <c r="AC621" s="18"/>
      <c r="AD621" s="18"/>
      <c r="AE621" s="19"/>
      <c r="AF621" s="20"/>
      <c r="AG621" s="21"/>
      <c r="AH621" s="21"/>
      <c r="AI621" s="19"/>
      <c r="AJ621" s="29"/>
      <c r="AK621" s="29"/>
      <c r="AL621" s="29"/>
    </row>
    <row r="622" spans="2:38" s="28" customFormat="1" x14ac:dyDescent="0.3">
      <c r="B622" s="24"/>
      <c r="C622" s="37"/>
      <c r="D622" s="37"/>
      <c r="E622" s="37"/>
      <c r="F622" s="35"/>
      <c r="G622" s="35"/>
      <c r="H622" s="35"/>
      <c r="I622" s="35"/>
      <c r="J622" s="35"/>
      <c r="K622" s="35"/>
      <c r="L622" s="35"/>
      <c r="M622" s="31"/>
      <c r="N622" s="32"/>
      <c r="O622" s="32"/>
      <c r="P622" s="32"/>
      <c r="Q622" s="32"/>
      <c r="R622" s="32"/>
      <c r="S622" s="32"/>
      <c r="T622" s="32"/>
      <c r="U622" s="29"/>
      <c r="V622" s="29"/>
      <c r="W622" s="24"/>
      <c r="X622" s="18"/>
      <c r="Y622" s="18"/>
      <c r="Z622" s="18"/>
      <c r="AA622" s="18"/>
      <c r="AB622" s="18"/>
      <c r="AC622" s="18"/>
      <c r="AD622" s="18"/>
      <c r="AE622" s="19"/>
      <c r="AF622" s="20"/>
      <c r="AG622" s="21"/>
      <c r="AH622" s="21"/>
      <c r="AI622" s="19"/>
      <c r="AJ622" s="29"/>
      <c r="AK622" s="29"/>
      <c r="AL622" s="29"/>
    </row>
    <row r="623" spans="2:38" s="28" customFormat="1" x14ac:dyDescent="0.3">
      <c r="B623" s="24"/>
      <c r="C623" s="37"/>
      <c r="D623" s="37"/>
      <c r="E623" s="37"/>
      <c r="F623" s="35"/>
      <c r="G623" s="35"/>
      <c r="H623" s="35"/>
      <c r="I623" s="35"/>
      <c r="J623" s="35"/>
      <c r="K623" s="35"/>
      <c r="L623" s="35"/>
      <c r="M623" s="31"/>
      <c r="N623" s="32"/>
      <c r="O623" s="32"/>
      <c r="P623" s="32"/>
      <c r="Q623" s="32"/>
      <c r="R623" s="32"/>
      <c r="S623" s="32"/>
      <c r="T623" s="32"/>
      <c r="U623" s="29"/>
      <c r="V623" s="29"/>
      <c r="W623" s="24"/>
      <c r="X623" s="18"/>
      <c r="Y623" s="18"/>
      <c r="Z623" s="18"/>
      <c r="AA623" s="18"/>
      <c r="AB623" s="18"/>
      <c r="AC623" s="18"/>
      <c r="AD623" s="18"/>
      <c r="AE623" s="19"/>
      <c r="AF623" s="20"/>
      <c r="AG623" s="21"/>
      <c r="AH623" s="21"/>
      <c r="AI623" s="19"/>
      <c r="AJ623" s="29"/>
      <c r="AK623" s="29"/>
      <c r="AL623" s="29"/>
    </row>
    <row r="624" spans="2:38" s="28" customFormat="1" x14ac:dyDescent="0.3">
      <c r="B624" s="24"/>
      <c r="C624" s="37"/>
      <c r="D624" s="37"/>
      <c r="E624" s="37"/>
      <c r="F624" s="35"/>
      <c r="G624" s="35"/>
      <c r="H624" s="35"/>
      <c r="I624" s="35"/>
      <c r="J624" s="35"/>
      <c r="K624" s="35"/>
      <c r="L624" s="35"/>
      <c r="M624" s="31"/>
      <c r="N624" s="32"/>
      <c r="O624" s="32"/>
      <c r="P624" s="32"/>
      <c r="Q624" s="32"/>
      <c r="R624" s="32"/>
      <c r="S624" s="32"/>
      <c r="T624" s="32"/>
      <c r="U624" s="29"/>
      <c r="V624" s="29"/>
      <c r="W624" s="24"/>
      <c r="X624" s="18"/>
      <c r="Y624" s="18"/>
      <c r="Z624" s="18"/>
      <c r="AA624" s="18"/>
      <c r="AB624" s="18"/>
      <c r="AC624" s="18"/>
      <c r="AD624" s="18"/>
      <c r="AE624" s="19"/>
      <c r="AF624" s="20"/>
      <c r="AG624" s="21"/>
      <c r="AH624" s="21"/>
      <c r="AI624" s="19"/>
      <c r="AJ624" s="29"/>
      <c r="AK624" s="29"/>
      <c r="AL624" s="29"/>
    </row>
    <row r="625" spans="2:38" s="28" customFormat="1" x14ac:dyDescent="0.3">
      <c r="B625" s="24"/>
      <c r="C625" s="37"/>
      <c r="D625" s="37"/>
      <c r="E625" s="37"/>
      <c r="F625" s="35"/>
      <c r="G625" s="35"/>
      <c r="H625" s="35"/>
      <c r="I625" s="35"/>
      <c r="J625" s="35"/>
      <c r="K625" s="35"/>
      <c r="L625" s="35"/>
      <c r="M625" s="31"/>
      <c r="N625" s="32"/>
      <c r="O625" s="32"/>
      <c r="P625" s="32"/>
      <c r="Q625" s="32"/>
      <c r="R625" s="32"/>
      <c r="S625" s="32"/>
      <c r="T625" s="32"/>
      <c r="U625" s="29"/>
      <c r="V625" s="29"/>
      <c r="W625" s="24"/>
      <c r="X625" s="18"/>
      <c r="Y625" s="18"/>
      <c r="Z625" s="18"/>
      <c r="AA625" s="18"/>
      <c r="AB625" s="18"/>
      <c r="AC625" s="18"/>
      <c r="AD625" s="18"/>
      <c r="AE625" s="19"/>
      <c r="AF625" s="20"/>
      <c r="AG625" s="21"/>
      <c r="AH625" s="21"/>
      <c r="AI625" s="19"/>
      <c r="AJ625" s="29"/>
      <c r="AK625" s="29"/>
      <c r="AL625" s="29"/>
    </row>
    <row r="626" spans="2:38" s="28" customFormat="1" x14ac:dyDescent="0.3">
      <c r="B626" s="24"/>
      <c r="C626" s="37"/>
      <c r="D626" s="37"/>
      <c r="E626" s="37"/>
      <c r="F626" s="35"/>
      <c r="G626" s="35"/>
      <c r="H626" s="35"/>
      <c r="I626" s="35"/>
      <c r="J626" s="35"/>
      <c r="K626" s="35"/>
      <c r="L626" s="35"/>
      <c r="M626" s="31"/>
      <c r="N626" s="32"/>
      <c r="O626" s="32"/>
      <c r="P626" s="32"/>
      <c r="Q626" s="32"/>
      <c r="R626" s="32"/>
      <c r="S626" s="32"/>
      <c r="T626" s="32"/>
      <c r="U626" s="29"/>
      <c r="V626" s="29"/>
      <c r="W626" s="24"/>
      <c r="X626" s="18"/>
      <c r="Y626" s="18"/>
      <c r="Z626" s="18"/>
      <c r="AA626" s="18"/>
      <c r="AB626" s="18"/>
      <c r="AC626" s="18"/>
      <c r="AD626" s="18"/>
      <c r="AE626" s="19"/>
      <c r="AF626" s="20"/>
      <c r="AG626" s="21"/>
      <c r="AH626" s="21"/>
      <c r="AI626" s="19"/>
      <c r="AJ626" s="29"/>
      <c r="AK626" s="29"/>
      <c r="AL626" s="29"/>
    </row>
    <row r="627" spans="2:38" s="28" customFormat="1" x14ac:dyDescent="0.3">
      <c r="B627" s="24"/>
      <c r="C627" s="37"/>
      <c r="D627" s="37"/>
      <c r="E627" s="37"/>
      <c r="F627" s="35"/>
      <c r="G627" s="35"/>
      <c r="H627" s="35"/>
      <c r="I627" s="35"/>
      <c r="J627" s="35"/>
      <c r="K627" s="35"/>
      <c r="L627" s="35"/>
      <c r="M627" s="31"/>
      <c r="N627" s="32"/>
      <c r="O627" s="32"/>
      <c r="P627" s="32"/>
      <c r="Q627" s="32"/>
      <c r="R627" s="32"/>
      <c r="S627" s="32"/>
      <c r="T627" s="32"/>
      <c r="U627" s="29"/>
      <c r="V627" s="29"/>
      <c r="W627" s="24"/>
      <c r="X627" s="18"/>
      <c r="Y627" s="18"/>
      <c r="Z627" s="18"/>
      <c r="AA627" s="18"/>
      <c r="AB627" s="18"/>
      <c r="AC627" s="18"/>
      <c r="AD627" s="18"/>
      <c r="AE627" s="19"/>
      <c r="AF627" s="20"/>
      <c r="AG627" s="21"/>
      <c r="AH627" s="21"/>
      <c r="AI627" s="19"/>
      <c r="AJ627" s="29"/>
      <c r="AK627" s="29"/>
      <c r="AL627" s="29"/>
    </row>
    <row r="628" spans="2:38" s="28" customFormat="1" x14ac:dyDescent="0.3">
      <c r="B628" s="24"/>
      <c r="C628" s="37"/>
      <c r="D628" s="37"/>
      <c r="E628" s="37"/>
      <c r="F628" s="35"/>
      <c r="G628" s="35"/>
      <c r="H628" s="35"/>
      <c r="I628" s="35"/>
      <c r="J628" s="35"/>
      <c r="K628" s="35"/>
      <c r="L628" s="35"/>
      <c r="M628" s="31"/>
      <c r="N628" s="32"/>
      <c r="O628" s="32"/>
      <c r="P628" s="32"/>
      <c r="Q628" s="32"/>
      <c r="R628" s="32"/>
      <c r="S628" s="32"/>
      <c r="T628" s="32"/>
      <c r="U628" s="29"/>
      <c r="V628" s="29"/>
      <c r="W628" s="24"/>
      <c r="X628" s="18"/>
      <c r="Y628" s="18"/>
      <c r="Z628" s="18"/>
      <c r="AA628" s="18"/>
      <c r="AB628" s="18"/>
      <c r="AC628" s="18"/>
      <c r="AD628" s="18"/>
      <c r="AE628" s="19"/>
      <c r="AF628" s="20"/>
      <c r="AG628" s="21"/>
      <c r="AH628" s="21"/>
      <c r="AI628" s="19"/>
      <c r="AJ628" s="29"/>
      <c r="AK628" s="29"/>
      <c r="AL628" s="29"/>
    </row>
    <row r="629" spans="2:38" s="28" customFormat="1" x14ac:dyDescent="0.3">
      <c r="B629" s="24"/>
      <c r="C629" s="37"/>
      <c r="D629" s="37"/>
      <c r="E629" s="37"/>
      <c r="F629" s="35"/>
      <c r="G629" s="35"/>
      <c r="H629" s="35"/>
      <c r="I629" s="35"/>
      <c r="J629" s="35"/>
      <c r="K629" s="35"/>
      <c r="L629" s="35"/>
      <c r="M629" s="31"/>
      <c r="N629" s="32"/>
      <c r="O629" s="32"/>
      <c r="P629" s="32"/>
      <c r="Q629" s="32"/>
      <c r="R629" s="32"/>
      <c r="S629" s="32"/>
      <c r="T629" s="32"/>
      <c r="U629" s="29"/>
      <c r="V629" s="29"/>
      <c r="W629" s="24"/>
      <c r="X629" s="18"/>
      <c r="Y629" s="18"/>
      <c r="Z629" s="18"/>
      <c r="AA629" s="18"/>
      <c r="AB629" s="18"/>
      <c r="AC629" s="18"/>
      <c r="AD629" s="18"/>
      <c r="AE629" s="19"/>
      <c r="AF629" s="20"/>
      <c r="AG629" s="21"/>
      <c r="AH629" s="21"/>
      <c r="AI629" s="19"/>
      <c r="AJ629" s="29"/>
      <c r="AK629" s="29"/>
      <c r="AL629" s="29"/>
    </row>
    <row r="630" spans="2:38" s="28" customFormat="1" x14ac:dyDescent="0.3">
      <c r="B630" s="24"/>
      <c r="C630" s="37"/>
      <c r="D630" s="37"/>
      <c r="E630" s="37"/>
      <c r="F630" s="35"/>
      <c r="G630" s="35"/>
      <c r="H630" s="35"/>
      <c r="I630" s="35"/>
      <c r="J630" s="35"/>
      <c r="K630" s="35"/>
      <c r="L630" s="35"/>
      <c r="M630" s="31"/>
      <c r="N630" s="32"/>
      <c r="O630" s="32"/>
      <c r="P630" s="32"/>
      <c r="Q630" s="32"/>
      <c r="R630" s="32"/>
      <c r="S630" s="32"/>
      <c r="T630" s="32"/>
      <c r="U630" s="29"/>
      <c r="V630" s="29"/>
      <c r="W630" s="24"/>
      <c r="X630" s="18"/>
      <c r="Y630" s="18"/>
      <c r="Z630" s="18"/>
      <c r="AA630" s="18"/>
      <c r="AB630" s="18"/>
      <c r="AC630" s="18"/>
      <c r="AD630" s="18"/>
      <c r="AE630" s="19"/>
      <c r="AF630" s="20"/>
      <c r="AG630" s="21"/>
      <c r="AH630" s="21"/>
      <c r="AI630" s="19"/>
      <c r="AJ630" s="29"/>
      <c r="AK630" s="29"/>
      <c r="AL630" s="29"/>
    </row>
    <row r="631" spans="2:38" s="28" customFormat="1" x14ac:dyDescent="0.3">
      <c r="B631" s="24"/>
      <c r="C631" s="37"/>
      <c r="D631" s="37"/>
      <c r="E631" s="37"/>
      <c r="F631" s="35"/>
      <c r="G631" s="35"/>
      <c r="H631" s="35"/>
      <c r="I631" s="35"/>
      <c r="J631" s="35"/>
      <c r="K631" s="35"/>
      <c r="L631" s="35"/>
      <c r="M631" s="31"/>
      <c r="N631" s="32"/>
      <c r="O631" s="32"/>
      <c r="P631" s="32"/>
      <c r="Q631" s="32"/>
      <c r="R631" s="32"/>
      <c r="S631" s="32"/>
      <c r="T631" s="32"/>
      <c r="U631" s="29"/>
      <c r="V631" s="29"/>
      <c r="W631" s="24"/>
      <c r="X631" s="18"/>
      <c r="Y631" s="18"/>
      <c r="Z631" s="18"/>
      <c r="AA631" s="18"/>
      <c r="AB631" s="18"/>
      <c r="AC631" s="18"/>
      <c r="AD631" s="18"/>
      <c r="AE631" s="19"/>
      <c r="AF631" s="20"/>
      <c r="AG631" s="21"/>
      <c r="AH631" s="21"/>
      <c r="AI631" s="19"/>
      <c r="AJ631" s="29"/>
      <c r="AK631" s="29"/>
      <c r="AL631" s="29"/>
    </row>
    <row r="632" spans="2:38" s="28" customFormat="1" x14ac:dyDescent="0.3">
      <c r="B632" s="24"/>
      <c r="C632" s="37"/>
      <c r="D632" s="37"/>
      <c r="E632" s="37"/>
      <c r="F632" s="35"/>
      <c r="G632" s="35"/>
      <c r="H632" s="35"/>
      <c r="I632" s="35"/>
      <c r="J632" s="35"/>
      <c r="K632" s="35"/>
      <c r="L632" s="35"/>
      <c r="M632" s="31"/>
      <c r="N632" s="32"/>
      <c r="O632" s="32"/>
      <c r="P632" s="32"/>
      <c r="Q632" s="32"/>
      <c r="R632" s="32"/>
      <c r="S632" s="32"/>
      <c r="T632" s="32"/>
      <c r="U632" s="29"/>
      <c r="V632" s="29"/>
      <c r="W632" s="24"/>
      <c r="X632" s="18"/>
      <c r="Y632" s="18"/>
      <c r="Z632" s="18"/>
      <c r="AA632" s="18"/>
      <c r="AB632" s="18"/>
      <c r="AC632" s="18"/>
      <c r="AD632" s="18"/>
      <c r="AE632" s="19"/>
      <c r="AF632" s="20"/>
      <c r="AG632" s="21"/>
      <c r="AH632" s="21"/>
      <c r="AI632" s="19"/>
      <c r="AJ632" s="29"/>
      <c r="AK632" s="29"/>
      <c r="AL632" s="29"/>
    </row>
    <row r="633" spans="2:38" s="28" customFormat="1" x14ac:dyDescent="0.3">
      <c r="B633" s="24"/>
      <c r="C633" s="37"/>
      <c r="D633" s="37"/>
      <c r="E633" s="37"/>
      <c r="F633" s="35"/>
      <c r="G633" s="35"/>
      <c r="H633" s="35"/>
      <c r="I633" s="35"/>
      <c r="J633" s="35"/>
      <c r="K633" s="35"/>
      <c r="L633" s="35"/>
      <c r="M633" s="31"/>
      <c r="N633" s="32"/>
      <c r="O633" s="32"/>
      <c r="P633" s="32"/>
      <c r="Q633" s="32"/>
      <c r="R633" s="32"/>
      <c r="S633" s="32"/>
      <c r="T633" s="32"/>
      <c r="U633" s="29"/>
      <c r="V633" s="29"/>
      <c r="W633" s="24"/>
      <c r="X633" s="18"/>
      <c r="Y633" s="18"/>
      <c r="Z633" s="18"/>
      <c r="AA633" s="18"/>
      <c r="AB633" s="18"/>
      <c r="AC633" s="18"/>
      <c r="AD633" s="18"/>
      <c r="AE633" s="19"/>
      <c r="AF633" s="20"/>
      <c r="AG633" s="21"/>
      <c r="AH633" s="21"/>
      <c r="AI633" s="19"/>
      <c r="AJ633" s="29"/>
      <c r="AK633" s="29"/>
      <c r="AL633" s="29"/>
    </row>
    <row r="634" spans="2:38" s="28" customFormat="1" x14ac:dyDescent="0.3">
      <c r="B634" s="24"/>
      <c r="C634" s="37"/>
      <c r="D634" s="37"/>
      <c r="E634" s="37"/>
      <c r="F634" s="35"/>
      <c r="G634" s="35"/>
      <c r="H634" s="35"/>
      <c r="I634" s="35"/>
      <c r="J634" s="35"/>
      <c r="K634" s="35"/>
      <c r="L634" s="35"/>
      <c r="M634" s="31"/>
      <c r="N634" s="32"/>
      <c r="O634" s="32"/>
      <c r="P634" s="32"/>
      <c r="Q634" s="32"/>
      <c r="R634" s="32"/>
      <c r="S634" s="32"/>
      <c r="T634" s="32"/>
      <c r="U634" s="29"/>
      <c r="V634" s="29"/>
      <c r="W634" s="24"/>
      <c r="X634" s="18"/>
      <c r="Y634" s="18"/>
      <c r="Z634" s="18"/>
      <c r="AA634" s="18"/>
      <c r="AB634" s="18"/>
      <c r="AC634" s="18"/>
      <c r="AD634" s="18"/>
      <c r="AE634" s="19"/>
      <c r="AF634" s="20"/>
      <c r="AG634" s="21"/>
      <c r="AH634" s="21"/>
      <c r="AI634" s="19"/>
      <c r="AJ634" s="29"/>
      <c r="AK634" s="29"/>
      <c r="AL634" s="29"/>
    </row>
    <row r="635" spans="2:38" s="28" customFormat="1" x14ac:dyDescent="0.3">
      <c r="B635" s="24"/>
      <c r="C635" s="37"/>
      <c r="D635" s="37"/>
      <c r="E635" s="37"/>
      <c r="F635" s="35"/>
      <c r="G635" s="35"/>
      <c r="H635" s="35"/>
      <c r="I635" s="35"/>
      <c r="J635" s="35"/>
      <c r="K635" s="35"/>
      <c r="L635" s="35"/>
      <c r="M635" s="31"/>
      <c r="N635" s="32"/>
      <c r="O635" s="32"/>
      <c r="P635" s="32"/>
      <c r="Q635" s="32"/>
      <c r="R635" s="32"/>
      <c r="S635" s="32"/>
      <c r="T635" s="32"/>
      <c r="U635" s="29"/>
      <c r="V635" s="29"/>
      <c r="W635" s="24"/>
      <c r="X635" s="18"/>
      <c r="Y635" s="18"/>
      <c r="Z635" s="18"/>
      <c r="AA635" s="18"/>
      <c r="AB635" s="18"/>
      <c r="AC635" s="18"/>
      <c r="AD635" s="18"/>
      <c r="AE635" s="19"/>
      <c r="AF635" s="20"/>
      <c r="AG635" s="21"/>
      <c r="AH635" s="21"/>
      <c r="AI635" s="19"/>
      <c r="AJ635" s="29"/>
      <c r="AK635" s="29"/>
      <c r="AL635" s="29"/>
    </row>
    <row r="636" spans="2:38" s="28" customFormat="1" x14ac:dyDescent="0.3">
      <c r="B636" s="24"/>
      <c r="C636" s="37"/>
      <c r="D636" s="37"/>
      <c r="E636" s="37"/>
      <c r="F636" s="35"/>
      <c r="G636" s="35"/>
      <c r="H636" s="35"/>
      <c r="I636" s="35"/>
      <c r="J636" s="35"/>
      <c r="K636" s="35"/>
      <c r="L636" s="35"/>
      <c r="M636" s="31"/>
      <c r="N636" s="32"/>
      <c r="O636" s="32"/>
      <c r="P636" s="32"/>
      <c r="Q636" s="32"/>
      <c r="R636" s="32"/>
      <c r="S636" s="32"/>
      <c r="T636" s="32"/>
      <c r="U636" s="29"/>
      <c r="V636" s="29"/>
      <c r="W636" s="24"/>
      <c r="X636" s="18"/>
      <c r="Y636" s="18"/>
      <c r="Z636" s="18"/>
      <c r="AA636" s="18"/>
      <c r="AB636" s="18"/>
      <c r="AC636" s="18"/>
      <c r="AD636" s="18"/>
      <c r="AE636" s="19"/>
      <c r="AF636" s="20"/>
      <c r="AG636" s="21"/>
      <c r="AH636" s="21"/>
      <c r="AI636" s="19"/>
      <c r="AJ636" s="29"/>
      <c r="AK636" s="29"/>
      <c r="AL636" s="29"/>
    </row>
    <row r="637" spans="2:38" s="28" customFormat="1" x14ac:dyDescent="0.3">
      <c r="B637" s="24"/>
      <c r="C637" s="37"/>
      <c r="D637" s="37"/>
      <c r="E637" s="37"/>
      <c r="F637" s="35"/>
      <c r="G637" s="35"/>
      <c r="H637" s="35"/>
      <c r="I637" s="35"/>
      <c r="J637" s="35"/>
      <c r="K637" s="35"/>
      <c r="L637" s="35"/>
      <c r="M637" s="31"/>
      <c r="N637" s="32"/>
      <c r="O637" s="32"/>
      <c r="P637" s="32"/>
      <c r="Q637" s="32"/>
      <c r="R637" s="32"/>
      <c r="S637" s="32"/>
      <c r="T637" s="32"/>
      <c r="U637" s="29"/>
      <c r="V637" s="29"/>
      <c r="W637" s="24"/>
      <c r="X637" s="18"/>
      <c r="Y637" s="18"/>
      <c r="Z637" s="18"/>
      <c r="AA637" s="18"/>
      <c r="AB637" s="18"/>
      <c r="AC637" s="18"/>
      <c r="AD637" s="18"/>
      <c r="AE637" s="19"/>
      <c r="AF637" s="20"/>
      <c r="AG637" s="21"/>
      <c r="AH637" s="21"/>
      <c r="AI637" s="19"/>
      <c r="AJ637" s="29"/>
      <c r="AK637" s="29"/>
      <c r="AL637" s="29"/>
    </row>
    <row r="638" spans="2:38" s="28" customFormat="1" x14ac:dyDescent="0.3">
      <c r="B638" s="24"/>
      <c r="C638" s="37"/>
      <c r="D638" s="37"/>
      <c r="E638" s="37"/>
      <c r="F638" s="35"/>
      <c r="G638" s="35"/>
      <c r="H638" s="35"/>
      <c r="I638" s="35"/>
      <c r="J638" s="35"/>
      <c r="K638" s="35"/>
      <c r="L638" s="35"/>
      <c r="M638" s="31"/>
      <c r="N638" s="32"/>
      <c r="O638" s="32"/>
      <c r="P638" s="32"/>
      <c r="Q638" s="32"/>
      <c r="R638" s="32"/>
      <c r="S638" s="32"/>
      <c r="T638" s="32"/>
      <c r="U638" s="29"/>
      <c r="V638" s="29"/>
      <c r="W638" s="24"/>
      <c r="X638" s="18"/>
      <c r="Y638" s="18"/>
      <c r="Z638" s="18"/>
      <c r="AA638" s="18"/>
      <c r="AB638" s="18"/>
      <c r="AC638" s="18"/>
      <c r="AD638" s="18"/>
      <c r="AE638" s="19"/>
      <c r="AF638" s="20"/>
      <c r="AG638" s="21"/>
      <c r="AH638" s="21"/>
      <c r="AI638" s="19"/>
      <c r="AJ638" s="29"/>
      <c r="AK638" s="29"/>
      <c r="AL638" s="29"/>
    </row>
    <row r="639" spans="2:38" s="28" customFormat="1" x14ac:dyDescent="0.3">
      <c r="B639" s="24"/>
      <c r="C639" s="37"/>
      <c r="D639" s="37"/>
      <c r="E639" s="37"/>
      <c r="F639" s="35"/>
      <c r="G639" s="35"/>
      <c r="H639" s="35"/>
      <c r="I639" s="35"/>
      <c r="J639" s="35"/>
      <c r="K639" s="35"/>
      <c r="L639" s="35"/>
      <c r="M639" s="31"/>
      <c r="N639" s="32"/>
      <c r="O639" s="32"/>
      <c r="P639" s="32"/>
      <c r="Q639" s="32"/>
      <c r="R639" s="32"/>
      <c r="S639" s="32"/>
      <c r="T639" s="32"/>
      <c r="U639" s="29"/>
      <c r="V639" s="29"/>
      <c r="W639" s="24"/>
      <c r="X639" s="18"/>
      <c r="Y639" s="18"/>
      <c r="Z639" s="18"/>
      <c r="AA639" s="18"/>
      <c r="AB639" s="18"/>
      <c r="AC639" s="18"/>
      <c r="AD639" s="18"/>
      <c r="AE639" s="19"/>
      <c r="AF639" s="20"/>
      <c r="AG639" s="21"/>
      <c r="AH639" s="21"/>
      <c r="AI639" s="19"/>
      <c r="AJ639" s="29"/>
      <c r="AK639" s="29"/>
      <c r="AL639" s="29"/>
    </row>
    <row r="640" spans="2:38" s="28" customFormat="1" x14ac:dyDescent="0.3">
      <c r="B640" s="24"/>
      <c r="C640" s="37"/>
      <c r="D640" s="37"/>
      <c r="E640" s="37"/>
      <c r="F640" s="35"/>
      <c r="G640" s="35"/>
      <c r="H640" s="35"/>
      <c r="I640" s="35"/>
      <c r="J640" s="35"/>
      <c r="K640" s="35"/>
      <c r="L640" s="35"/>
      <c r="M640" s="31"/>
      <c r="N640" s="32"/>
      <c r="O640" s="32"/>
      <c r="P640" s="32"/>
      <c r="Q640" s="32"/>
      <c r="R640" s="32"/>
      <c r="S640" s="32"/>
      <c r="T640" s="32"/>
      <c r="U640" s="29"/>
      <c r="V640" s="29"/>
      <c r="W640" s="24"/>
      <c r="X640" s="18"/>
      <c r="Y640" s="18"/>
      <c r="Z640" s="18"/>
      <c r="AA640" s="18"/>
      <c r="AB640" s="18"/>
      <c r="AC640" s="18"/>
      <c r="AD640" s="18"/>
      <c r="AE640" s="19"/>
      <c r="AF640" s="20"/>
      <c r="AG640" s="21"/>
      <c r="AH640" s="21"/>
      <c r="AI640" s="19"/>
      <c r="AJ640" s="29"/>
      <c r="AK640" s="29"/>
      <c r="AL640" s="29"/>
    </row>
    <row r="641" spans="2:38" s="28" customFormat="1" x14ac:dyDescent="0.3">
      <c r="B641" s="24"/>
      <c r="C641" s="37"/>
      <c r="D641" s="37"/>
      <c r="E641" s="37"/>
      <c r="F641" s="35"/>
      <c r="G641" s="35"/>
      <c r="H641" s="35"/>
      <c r="I641" s="35"/>
      <c r="J641" s="35"/>
      <c r="K641" s="35"/>
      <c r="L641" s="35"/>
      <c r="M641" s="31"/>
      <c r="N641" s="32"/>
      <c r="O641" s="32"/>
      <c r="P641" s="32"/>
      <c r="Q641" s="32"/>
      <c r="R641" s="32"/>
      <c r="S641" s="32"/>
      <c r="T641" s="32"/>
      <c r="U641" s="29"/>
      <c r="V641" s="29"/>
      <c r="W641" s="24"/>
      <c r="X641" s="18"/>
      <c r="Y641" s="18"/>
      <c r="Z641" s="18"/>
      <c r="AA641" s="18"/>
      <c r="AB641" s="18"/>
      <c r="AC641" s="18"/>
      <c r="AD641" s="18"/>
      <c r="AE641" s="19"/>
      <c r="AF641" s="20"/>
      <c r="AG641" s="21"/>
      <c r="AH641" s="21"/>
      <c r="AI641" s="19"/>
      <c r="AJ641" s="29"/>
      <c r="AK641" s="29"/>
      <c r="AL641" s="29"/>
    </row>
    <row r="642" spans="2:38" s="28" customFormat="1" x14ac:dyDescent="0.3">
      <c r="B642" s="24"/>
      <c r="C642" s="37"/>
      <c r="D642" s="37"/>
      <c r="E642" s="37"/>
      <c r="F642" s="35"/>
      <c r="G642" s="35"/>
      <c r="H642" s="35"/>
      <c r="I642" s="35"/>
      <c r="J642" s="35"/>
      <c r="K642" s="35"/>
      <c r="L642" s="35"/>
      <c r="M642" s="31"/>
      <c r="N642" s="32"/>
      <c r="O642" s="32"/>
      <c r="P642" s="32"/>
      <c r="Q642" s="32"/>
      <c r="R642" s="32"/>
      <c r="S642" s="32"/>
      <c r="T642" s="32"/>
      <c r="U642" s="29"/>
      <c r="V642" s="29"/>
      <c r="W642" s="24"/>
      <c r="X642" s="18"/>
      <c r="Y642" s="18"/>
      <c r="Z642" s="18"/>
      <c r="AA642" s="18"/>
      <c r="AB642" s="18"/>
      <c r="AC642" s="18"/>
      <c r="AD642" s="18"/>
      <c r="AE642" s="19"/>
      <c r="AF642" s="20"/>
      <c r="AG642" s="21"/>
      <c r="AH642" s="21"/>
      <c r="AI642" s="19"/>
      <c r="AJ642" s="29"/>
      <c r="AK642" s="29"/>
      <c r="AL642" s="29"/>
    </row>
    <row r="643" spans="2:38" s="28" customFormat="1" x14ac:dyDescent="0.3">
      <c r="B643" s="24"/>
      <c r="C643" s="37"/>
      <c r="D643" s="37"/>
      <c r="E643" s="37"/>
      <c r="F643" s="35"/>
      <c r="G643" s="35"/>
      <c r="H643" s="35"/>
      <c r="I643" s="35"/>
      <c r="J643" s="35"/>
      <c r="K643" s="35"/>
      <c r="L643" s="35"/>
      <c r="M643" s="31"/>
      <c r="N643" s="32"/>
      <c r="O643" s="32"/>
      <c r="P643" s="32"/>
      <c r="Q643" s="32"/>
      <c r="R643" s="32"/>
      <c r="S643" s="32"/>
      <c r="T643" s="32"/>
      <c r="U643" s="29"/>
      <c r="V643" s="29"/>
      <c r="W643" s="24"/>
      <c r="X643" s="18"/>
      <c r="Y643" s="18"/>
      <c r="Z643" s="18"/>
      <c r="AA643" s="18"/>
      <c r="AB643" s="18"/>
      <c r="AC643" s="18"/>
      <c r="AD643" s="18"/>
      <c r="AE643" s="19"/>
      <c r="AF643" s="20"/>
      <c r="AG643" s="21"/>
      <c r="AH643" s="21"/>
      <c r="AI643" s="19"/>
      <c r="AJ643" s="29"/>
      <c r="AK643" s="29"/>
      <c r="AL643" s="29"/>
    </row>
    <row r="644" spans="2:38" s="28" customFormat="1" x14ac:dyDescent="0.3">
      <c r="B644" s="24"/>
      <c r="C644" s="37"/>
      <c r="D644" s="37"/>
      <c r="E644" s="37"/>
      <c r="F644" s="35"/>
      <c r="G644" s="35"/>
      <c r="H644" s="35"/>
      <c r="I644" s="35"/>
      <c r="J644" s="35"/>
      <c r="K644" s="35"/>
      <c r="L644" s="35"/>
      <c r="M644" s="31"/>
      <c r="N644" s="32"/>
      <c r="O644" s="32"/>
      <c r="P644" s="32"/>
      <c r="Q644" s="32"/>
      <c r="R644" s="32"/>
      <c r="S644" s="32"/>
      <c r="T644" s="32"/>
      <c r="U644" s="29"/>
      <c r="V644" s="29"/>
      <c r="W644" s="24"/>
      <c r="X644" s="18"/>
      <c r="Y644" s="18"/>
      <c r="Z644" s="18"/>
      <c r="AA644" s="18"/>
      <c r="AB644" s="18"/>
      <c r="AC644" s="18"/>
      <c r="AD644" s="18"/>
      <c r="AE644" s="19"/>
      <c r="AF644" s="20"/>
      <c r="AG644" s="21"/>
      <c r="AH644" s="21"/>
      <c r="AI644" s="19"/>
      <c r="AJ644" s="29"/>
      <c r="AK644" s="29"/>
      <c r="AL644" s="29"/>
    </row>
    <row r="645" spans="2:38" s="28" customFormat="1" x14ac:dyDescent="0.3">
      <c r="B645" s="24"/>
      <c r="C645" s="37"/>
      <c r="D645" s="37"/>
      <c r="E645" s="37"/>
      <c r="F645" s="35"/>
      <c r="G645" s="35"/>
      <c r="H645" s="35"/>
      <c r="I645" s="35"/>
      <c r="J645" s="35"/>
      <c r="K645" s="35"/>
      <c r="L645" s="35"/>
      <c r="M645" s="31"/>
      <c r="N645" s="32"/>
      <c r="O645" s="32"/>
      <c r="P645" s="32"/>
      <c r="Q645" s="32"/>
      <c r="R645" s="32"/>
      <c r="S645" s="32"/>
      <c r="T645" s="32"/>
      <c r="U645" s="29"/>
      <c r="V645" s="29"/>
      <c r="W645" s="24"/>
      <c r="X645" s="18"/>
      <c r="Y645" s="18"/>
      <c r="Z645" s="18"/>
      <c r="AA645" s="18"/>
      <c r="AB645" s="18"/>
      <c r="AC645" s="18"/>
      <c r="AD645" s="18"/>
      <c r="AE645" s="19"/>
      <c r="AF645" s="20"/>
      <c r="AG645" s="21"/>
      <c r="AH645" s="21"/>
      <c r="AI645" s="19"/>
      <c r="AJ645" s="29"/>
      <c r="AK645" s="29"/>
      <c r="AL645" s="29"/>
    </row>
    <row r="646" spans="2:38" s="28" customFormat="1" x14ac:dyDescent="0.3">
      <c r="B646" s="24"/>
      <c r="C646" s="37"/>
      <c r="D646" s="37"/>
      <c r="E646" s="37"/>
      <c r="F646" s="35"/>
      <c r="G646" s="35"/>
      <c r="H646" s="35"/>
      <c r="I646" s="35"/>
      <c r="J646" s="35"/>
      <c r="K646" s="35"/>
      <c r="L646" s="35"/>
      <c r="M646" s="31"/>
      <c r="N646" s="32"/>
      <c r="O646" s="32"/>
      <c r="P646" s="32"/>
      <c r="Q646" s="32"/>
      <c r="R646" s="32"/>
      <c r="S646" s="32"/>
      <c r="T646" s="32"/>
      <c r="U646" s="29"/>
      <c r="V646" s="29"/>
      <c r="W646" s="24"/>
      <c r="X646" s="18"/>
      <c r="Y646" s="18"/>
      <c r="Z646" s="18"/>
      <c r="AA646" s="18"/>
      <c r="AB646" s="18"/>
      <c r="AC646" s="18"/>
      <c r="AD646" s="18"/>
      <c r="AE646" s="19"/>
      <c r="AF646" s="20"/>
      <c r="AG646" s="21"/>
      <c r="AH646" s="21"/>
      <c r="AI646" s="19"/>
      <c r="AJ646" s="29"/>
      <c r="AK646" s="29"/>
      <c r="AL646" s="29"/>
    </row>
    <row r="647" spans="2:38" s="28" customFormat="1" x14ac:dyDescent="0.3">
      <c r="B647" s="24"/>
      <c r="C647" s="37"/>
      <c r="D647" s="37"/>
      <c r="E647" s="37"/>
      <c r="F647" s="35"/>
      <c r="G647" s="35"/>
      <c r="H647" s="35"/>
      <c r="I647" s="35"/>
      <c r="J647" s="35"/>
      <c r="K647" s="35"/>
      <c r="L647" s="35"/>
      <c r="M647" s="31"/>
      <c r="N647" s="32"/>
      <c r="O647" s="32"/>
      <c r="P647" s="32"/>
      <c r="Q647" s="32"/>
      <c r="R647" s="32"/>
      <c r="S647" s="32"/>
      <c r="T647" s="32"/>
      <c r="U647" s="29"/>
      <c r="V647" s="29"/>
      <c r="W647" s="24"/>
      <c r="X647" s="18"/>
      <c r="Y647" s="18"/>
      <c r="Z647" s="18"/>
      <c r="AA647" s="18"/>
      <c r="AB647" s="18"/>
      <c r="AC647" s="18"/>
      <c r="AD647" s="18"/>
      <c r="AE647" s="19"/>
      <c r="AF647" s="20"/>
      <c r="AG647" s="21"/>
      <c r="AH647" s="21"/>
      <c r="AI647" s="19"/>
      <c r="AJ647" s="29"/>
      <c r="AK647" s="29"/>
      <c r="AL647" s="29"/>
    </row>
    <row r="648" spans="2:38" s="28" customFormat="1" x14ac:dyDescent="0.3">
      <c r="B648" s="24"/>
      <c r="C648" s="37"/>
      <c r="D648" s="37"/>
      <c r="E648" s="37"/>
      <c r="F648" s="35"/>
      <c r="G648" s="35"/>
      <c r="H648" s="35"/>
      <c r="I648" s="35"/>
      <c r="J648" s="35"/>
      <c r="K648" s="35"/>
      <c r="L648" s="35"/>
      <c r="M648" s="31"/>
      <c r="N648" s="32"/>
      <c r="O648" s="32"/>
      <c r="P648" s="32"/>
      <c r="Q648" s="32"/>
      <c r="R648" s="32"/>
      <c r="S648" s="32"/>
      <c r="T648" s="32"/>
      <c r="U648" s="29"/>
      <c r="V648" s="29"/>
      <c r="W648" s="24"/>
      <c r="X648" s="18"/>
      <c r="Y648" s="18"/>
      <c r="Z648" s="18"/>
      <c r="AA648" s="18"/>
      <c r="AB648" s="18"/>
      <c r="AC648" s="18"/>
      <c r="AD648" s="18"/>
      <c r="AE648" s="19"/>
      <c r="AF648" s="20"/>
      <c r="AG648" s="21"/>
      <c r="AH648" s="21"/>
      <c r="AI648" s="19"/>
      <c r="AJ648" s="29"/>
      <c r="AK648" s="29"/>
      <c r="AL648" s="29"/>
    </row>
    <row r="649" spans="2:38" s="28" customFormat="1" x14ac:dyDescent="0.3">
      <c r="B649" s="24"/>
      <c r="C649" s="37"/>
      <c r="D649" s="37"/>
      <c r="E649" s="37"/>
      <c r="F649" s="35"/>
      <c r="G649" s="35"/>
      <c r="H649" s="35"/>
      <c r="I649" s="35"/>
      <c r="J649" s="35"/>
      <c r="K649" s="35"/>
      <c r="L649" s="35"/>
      <c r="M649" s="31"/>
      <c r="N649" s="32"/>
      <c r="O649" s="32"/>
      <c r="P649" s="32"/>
      <c r="Q649" s="32"/>
      <c r="R649" s="32"/>
      <c r="S649" s="32"/>
      <c r="T649" s="32"/>
      <c r="U649" s="29"/>
      <c r="V649" s="29"/>
      <c r="W649" s="24"/>
      <c r="X649" s="18"/>
      <c r="Y649" s="18"/>
      <c r="Z649" s="18"/>
      <c r="AA649" s="18"/>
      <c r="AB649" s="18"/>
      <c r="AC649" s="18"/>
      <c r="AD649" s="18"/>
      <c r="AE649" s="19"/>
      <c r="AF649" s="20"/>
      <c r="AG649" s="21"/>
      <c r="AH649" s="21"/>
      <c r="AI649" s="19"/>
      <c r="AJ649" s="29"/>
      <c r="AK649" s="29"/>
      <c r="AL649" s="29"/>
    </row>
    <row r="650" spans="2:38" s="28" customFormat="1" x14ac:dyDescent="0.3">
      <c r="B650" s="24"/>
      <c r="C650" s="37"/>
      <c r="D650" s="37"/>
      <c r="E650" s="37"/>
      <c r="F650" s="35"/>
      <c r="G650" s="35"/>
      <c r="H650" s="35"/>
      <c r="I650" s="35"/>
      <c r="J650" s="35"/>
      <c r="K650" s="35"/>
      <c r="L650" s="35"/>
      <c r="M650" s="31"/>
      <c r="N650" s="32"/>
      <c r="O650" s="32"/>
      <c r="P650" s="32"/>
      <c r="Q650" s="32"/>
      <c r="R650" s="32"/>
      <c r="S650" s="32"/>
      <c r="T650" s="32"/>
      <c r="U650" s="29"/>
      <c r="V650" s="29"/>
      <c r="W650" s="24"/>
      <c r="X650" s="18"/>
      <c r="Y650" s="18"/>
      <c r="Z650" s="18"/>
      <c r="AA650" s="18"/>
      <c r="AB650" s="18"/>
      <c r="AC650" s="18"/>
      <c r="AD650" s="18"/>
      <c r="AE650" s="19"/>
      <c r="AF650" s="20"/>
      <c r="AG650" s="21"/>
      <c r="AH650" s="21"/>
      <c r="AI650" s="19"/>
      <c r="AJ650" s="29"/>
      <c r="AK650" s="29"/>
      <c r="AL650" s="29"/>
    </row>
    <row r="651" spans="2:38" s="28" customFormat="1" x14ac:dyDescent="0.3">
      <c r="B651" s="24"/>
      <c r="C651" s="37"/>
      <c r="D651" s="37"/>
      <c r="E651" s="37"/>
      <c r="F651" s="35"/>
      <c r="G651" s="35"/>
      <c r="H651" s="35"/>
      <c r="I651" s="35"/>
      <c r="J651" s="35"/>
      <c r="K651" s="35"/>
      <c r="L651" s="35"/>
      <c r="M651" s="31"/>
      <c r="N651" s="32"/>
      <c r="O651" s="32"/>
      <c r="P651" s="32"/>
      <c r="Q651" s="32"/>
      <c r="R651" s="32"/>
      <c r="S651" s="32"/>
      <c r="T651" s="32"/>
      <c r="U651" s="29"/>
      <c r="V651" s="29"/>
      <c r="W651" s="24"/>
      <c r="X651" s="18"/>
      <c r="Y651" s="18"/>
      <c r="Z651" s="18"/>
      <c r="AA651" s="18"/>
      <c r="AB651" s="18"/>
      <c r="AC651" s="18"/>
      <c r="AD651" s="18"/>
      <c r="AE651" s="19"/>
      <c r="AF651" s="20"/>
      <c r="AG651" s="21"/>
      <c r="AH651" s="21"/>
      <c r="AI651" s="19"/>
      <c r="AJ651" s="29"/>
      <c r="AK651" s="29"/>
      <c r="AL651" s="29"/>
    </row>
    <row r="652" spans="2:38" s="28" customFormat="1" x14ac:dyDescent="0.3">
      <c r="B652" s="24"/>
      <c r="C652" s="37"/>
      <c r="D652" s="37"/>
      <c r="E652" s="37"/>
      <c r="F652" s="35"/>
      <c r="G652" s="35"/>
      <c r="H652" s="35"/>
      <c r="I652" s="35"/>
      <c r="J652" s="35"/>
      <c r="K652" s="35"/>
      <c r="L652" s="35"/>
      <c r="M652" s="31"/>
      <c r="N652" s="32"/>
      <c r="O652" s="32"/>
      <c r="P652" s="32"/>
      <c r="Q652" s="32"/>
      <c r="R652" s="32"/>
      <c r="S652" s="32"/>
      <c r="T652" s="32"/>
      <c r="U652" s="29"/>
      <c r="V652" s="29"/>
      <c r="W652" s="24"/>
      <c r="X652" s="18"/>
      <c r="Y652" s="18"/>
      <c r="Z652" s="18"/>
      <c r="AA652" s="18"/>
      <c r="AB652" s="18"/>
      <c r="AC652" s="18"/>
      <c r="AD652" s="18"/>
      <c r="AE652" s="19"/>
      <c r="AF652" s="20"/>
      <c r="AG652" s="21"/>
      <c r="AH652" s="21"/>
      <c r="AI652" s="19"/>
      <c r="AJ652" s="29"/>
      <c r="AK652" s="29"/>
      <c r="AL652" s="29"/>
    </row>
    <row r="653" spans="2:38" s="28" customFormat="1" x14ac:dyDescent="0.3">
      <c r="B653" s="24"/>
      <c r="C653" s="37"/>
      <c r="D653" s="37"/>
      <c r="E653" s="37"/>
      <c r="F653" s="35"/>
      <c r="G653" s="35"/>
      <c r="H653" s="35"/>
      <c r="I653" s="35"/>
      <c r="J653" s="35"/>
      <c r="K653" s="35"/>
      <c r="L653" s="35"/>
      <c r="M653" s="31"/>
      <c r="N653" s="32"/>
      <c r="O653" s="32"/>
      <c r="P653" s="32"/>
      <c r="Q653" s="32"/>
      <c r="R653" s="32"/>
      <c r="S653" s="32"/>
      <c r="T653" s="32"/>
      <c r="U653" s="29"/>
      <c r="V653" s="29"/>
      <c r="W653" s="24"/>
      <c r="X653" s="18"/>
      <c r="Y653" s="18"/>
      <c r="Z653" s="18"/>
      <c r="AA653" s="18"/>
      <c r="AB653" s="18"/>
      <c r="AC653" s="18"/>
      <c r="AD653" s="18"/>
      <c r="AE653" s="19"/>
      <c r="AF653" s="20"/>
      <c r="AG653" s="21"/>
      <c r="AH653" s="21"/>
      <c r="AI653" s="19"/>
      <c r="AJ653" s="29"/>
      <c r="AK653" s="29"/>
      <c r="AL653" s="29"/>
    </row>
    <row r="654" spans="2:38" s="28" customFormat="1" x14ac:dyDescent="0.3">
      <c r="B654" s="24"/>
      <c r="C654" s="37"/>
      <c r="D654" s="37"/>
      <c r="E654" s="37"/>
      <c r="F654" s="35"/>
      <c r="G654" s="35"/>
      <c r="H654" s="35"/>
      <c r="I654" s="35"/>
      <c r="J654" s="35"/>
      <c r="K654" s="35"/>
      <c r="L654" s="35"/>
      <c r="M654" s="31"/>
      <c r="N654" s="32"/>
      <c r="O654" s="32"/>
      <c r="P654" s="32"/>
      <c r="Q654" s="32"/>
      <c r="R654" s="32"/>
      <c r="S654" s="32"/>
      <c r="T654" s="32"/>
      <c r="U654" s="29"/>
      <c r="V654" s="29"/>
      <c r="W654" s="24"/>
      <c r="X654" s="18"/>
      <c r="Y654" s="18"/>
      <c r="Z654" s="18"/>
      <c r="AA654" s="18"/>
      <c r="AB654" s="18"/>
      <c r="AC654" s="18"/>
      <c r="AD654" s="18"/>
      <c r="AE654" s="19"/>
      <c r="AF654" s="20"/>
      <c r="AG654" s="21"/>
      <c r="AH654" s="21"/>
      <c r="AI654" s="19"/>
      <c r="AJ654" s="29"/>
      <c r="AK654" s="29"/>
      <c r="AL654" s="29"/>
    </row>
    <row r="655" spans="2:38" s="28" customFormat="1" x14ac:dyDescent="0.3">
      <c r="B655" s="24"/>
      <c r="C655" s="37"/>
      <c r="D655" s="37"/>
      <c r="E655" s="37"/>
      <c r="F655" s="35"/>
      <c r="G655" s="35"/>
      <c r="H655" s="35"/>
      <c r="I655" s="35"/>
      <c r="J655" s="35"/>
      <c r="K655" s="35"/>
      <c r="L655" s="35"/>
      <c r="M655" s="31"/>
      <c r="N655" s="32"/>
      <c r="O655" s="32"/>
      <c r="P655" s="32"/>
      <c r="Q655" s="32"/>
      <c r="R655" s="32"/>
      <c r="S655" s="32"/>
      <c r="T655" s="32"/>
      <c r="U655" s="29"/>
      <c r="V655" s="29"/>
      <c r="W655" s="24"/>
      <c r="X655" s="18"/>
      <c r="Y655" s="18"/>
      <c r="Z655" s="18"/>
      <c r="AA655" s="18"/>
      <c r="AB655" s="18"/>
      <c r="AC655" s="18"/>
      <c r="AD655" s="18"/>
      <c r="AE655" s="19"/>
      <c r="AF655" s="20"/>
      <c r="AG655" s="21"/>
      <c r="AH655" s="21"/>
      <c r="AI655" s="19"/>
      <c r="AJ655" s="29"/>
      <c r="AK655" s="29"/>
      <c r="AL655" s="29"/>
    </row>
    <row r="656" spans="2:38" s="28" customFormat="1" x14ac:dyDescent="0.3">
      <c r="B656" s="24"/>
      <c r="C656" s="37"/>
      <c r="D656" s="37"/>
      <c r="E656" s="37"/>
      <c r="F656" s="35"/>
      <c r="G656" s="35"/>
      <c r="H656" s="35"/>
      <c r="I656" s="35"/>
      <c r="J656" s="35"/>
      <c r="K656" s="35"/>
      <c r="L656" s="35"/>
      <c r="M656" s="31"/>
      <c r="N656" s="32"/>
      <c r="O656" s="32"/>
      <c r="P656" s="32"/>
      <c r="Q656" s="32"/>
      <c r="R656" s="32"/>
      <c r="S656" s="32"/>
      <c r="T656" s="32"/>
      <c r="U656" s="29"/>
      <c r="V656" s="29"/>
      <c r="W656" s="24"/>
      <c r="X656" s="18"/>
      <c r="Y656" s="18"/>
      <c r="Z656" s="18"/>
      <c r="AA656" s="18"/>
      <c r="AB656" s="18"/>
      <c r="AC656" s="18"/>
      <c r="AD656" s="18"/>
      <c r="AE656" s="19"/>
      <c r="AF656" s="20"/>
      <c r="AG656" s="21"/>
      <c r="AH656" s="21"/>
      <c r="AI656" s="19"/>
      <c r="AJ656" s="29"/>
      <c r="AK656" s="29"/>
      <c r="AL656" s="29"/>
    </row>
    <row r="657" spans="2:38" s="28" customFormat="1" x14ac:dyDescent="0.3">
      <c r="B657" s="24"/>
      <c r="C657" s="37"/>
      <c r="D657" s="37"/>
      <c r="E657" s="37"/>
      <c r="F657" s="35"/>
      <c r="G657" s="35"/>
      <c r="H657" s="35"/>
      <c r="I657" s="35"/>
      <c r="J657" s="35"/>
      <c r="K657" s="35"/>
      <c r="L657" s="35"/>
      <c r="M657" s="31"/>
      <c r="N657" s="32"/>
      <c r="O657" s="32"/>
      <c r="P657" s="32"/>
      <c r="Q657" s="32"/>
      <c r="R657" s="32"/>
      <c r="S657" s="32"/>
      <c r="T657" s="32"/>
      <c r="U657" s="29"/>
      <c r="V657" s="29"/>
      <c r="W657" s="24"/>
      <c r="X657" s="18"/>
      <c r="Y657" s="18"/>
      <c r="Z657" s="18"/>
      <c r="AA657" s="18"/>
      <c r="AB657" s="18"/>
      <c r="AC657" s="18"/>
      <c r="AD657" s="18"/>
      <c r="AE657" s="19"/>
      <c r="AF657" s="20"/>
      <c r="AG657" s="21"/>
      <c r="AH657" s="21"/>
      <c r="AI657" s="19"/>
      <c r="AJ657" s="29"/>
      <c r="AK657" s="29"/>
      <c r="AL657" s="29"/>
    </row>
    <row r="658" spans="2:38" s="28" customFormat="1" x14ac:dyDescent="0.3">
      <c r="B658" s="24"/>
      <c r="C658" s="37"/>
      <c r="D658" s="37"/>
      <c r="E658" s="37"/>
      <c r="F658" s="35"/>
      <c r="G658" s="35"/>
      <c r="H658" s="35"/>
      <c r="I658" s="35"/>
      <c r="J658" s="35"/>
      <c r="K658" s="35"/>
      <c r="L658" s="35"/>
      <c r="M658" s="31"/>
      <c r="N658" s="32"/>
      <c r="O658" s="32"/>
      <c r="P658" s="32"/>
      <c r="Q658" s="32"/>
      <c r="R658" s="32"/>
      <c r="S658" s="32"/>
      <c r="T658" s="32"/>
      <c r="U658" s="29"/>
      <c r="V658" s="29"/>
      <c r="W658" s="24"/>
      <c r="X658" s="18"/>
      <c r="Y658" s="18"/>
      <c r="Z658" s="18"/>
      <c r="AA658" s="18"/>
      <c r="AB658" s="18"/>
      <c r="AC658" s="18"/>
      <c r="AD658" s="18"/>
      <c r="AE658" s="19"/>
      <c r="AF658" s="20"/>
      <c r="AG658" s="21"/>
      <c r="AH658" s="21"/>
      <c r="AI658" s="19"/>
      <c r="AJ658" s="29"/>
      <c r="AK658" s="29"/>
      <c r="AL658" s="29"/>
    </row>
    <row r="659" spans="2:38" s="28" customFormat="1" x14ac:dyDescent="0.3">
      <c r="B659" s="24"/>
      <c r="C659" s="37"/>
      <c r="D659" s="37"/>
      <c r="E659" s="37"/>
      <c r="F659" s="35"/>
      <c r="G659" s="35"/>
      <c r="H659" s="35"/>
      <c r="I659" s="35"/>
      <c r="J659" s="35"/>
      <c r="K659" s="35"/>
      <c r="L659" s="35"/>
      <c r="M659" s="31"/>
      <c r="N659" s="32"/>
      <c r="O659" s="32"/>
      <c r="P659" s="32"/>
      <c r="Q659" s="32"/>
      <c r="R659" s="32"/>
      <c r="S659" s="32"/>
      <c r="T659" s="32"/>
      <c r="U659" s="29"/>
      <c r="V659" s="29"/>
      <c r="W659" s="24"/>
      <c r="X659" s="18"/>
      <c r="Y659" s="18"/>
      <c r="Z659" s="18"/>
      <c r="AA659" s="18"/>
      <c r="AB659" s="18"/>
      <c r="AC659" s="18"/>
      <c r="AD659" s="18"/>
      <c r="AE659" s="19"/>
      <c r="AF659" s="20"/>
      <c r="AG659" s="21"/>
      <c r="AH659" s="21"/>
      <c r="AI659" s="19"/>
      <c r="AJ659" s="29"/>
      <c r="AK659" s="29"/>
      <c r="AL659" s="29"/>
    </row>
    <row r="660" spans="2:38" s="28" customFormat="1" x14ac:dyDescent="0.3">
      <c r="B660" s="24"/>
      <c r="C660" s="37"/>
      <c r="D660" s="37"/>
      <c r="E660" s="37"/>
      <c r="F660" s="35"/>
      <c r="G660" s="35"/>
      <c r="H660" s="35"/>
      <c r="I660" s="35"/>
      <c r="J660" s="35"/>
      <c r="K660" s="35"/>
      <c r="L660" s="35"/>
      <c r="M660" s="31"/>
      <c r="N660" s="32"/>
      <c r="O660" s="32"/>
      <c r="P660" s="32"/>
      <c r="Q660" s="32"/>
      <c r="R660" s="32"/>
      <c r="S660" s="32"/>
      <c r="T660" s="32"/>
      <c r="U660" s="29"/>
      <c r="V660" s="29"/>
      <c r="W660" s="24"/>
      <c r="X660" s="18"/>
      <c r="Y660" s="18"/>
      <c r="Z660" s="18"/>
      <c r="AA660" s="18"/>
      <c r="AB660" s="18"/>
      <c r="AC660" s="18"/>
      <c r="AD660" s="18"/>
      <c r="AE660" s="19"/>
      <c r="AF660" s="20"/>
      <c r="AG660" s="21"/>
      <c r="AH660" s="21"/>
      <c r="AI660" s="19"/>
      <c r="AJ660" s="29"/>
      <c r="AK660" s="29"/>
      <c r="AL660" s="29"/>
    </row>
    <row r="661" spans="2:38" s="28" customFormat="1" x14ac:dyDescent="0.3">
      <c r="B661" s="24"/>
      <c r="C661" s="37"/>
      <c r="D661" s="37"/>
      <c r="E661" s="37"/>
      <c r="F661" s="35"/>
      <c r="G661" s="35"/>
      <c r="H661" s="35"/>
      <c r="I661" s="35"/>
      <c r="J661" s="35"/>
      <c r="K661" s="35"/>
      <c r="L661" s="35"/>
      <c r="M661" s="31"/>
      <c r="N661" s="32"/>
      <c r="O661" s="32"/>
      <c r="P661" s="32"/>
      <c r="Q661" s="32"/>
      <c r="R661" s="32"/>
      <c r="S661" s="32"/>
      <c r="T661" s="32"/>
      <c r="U661" s="29"/>
      <c r="V661" s="29"/>
      <c r="W661" s="24"/>
      <c r="X661" s="18"/>
      <c r="Y661" s="18"/>
      <c r="Z661" s="18"/>
      <c r="AA661" s="18"/>
      <c r="AB661" s="18"/>
      <c r="AC661" s="18"/>
      <c r="AD661" s="18"/>
      <c r="AE661" s="19"/>
      <c r="AF661" s="20"/>
      <c r="AG661" s="21"/>
      <c r="AH661" s="21"/>
      <c r="AI661" s="19"/>
      <c r="AJ661" s="29"/>
      <c r="AK661" s="29"/>
      <c r="AL661" s="29"/>
    </row>
    <row r="662" spans="2:38" s="28" customFormat="1" x14ac:dyDescent="0.3">
      <c r="B662" s="24"/>
      <c r="C662" s="37"/>
      <c r="D662" s="37"/>
      <c r="E662" s="37"/>
      <c r="F662" s="35"/>
      <c r="G662" s="35"/>
      <c r="H662" s="35"/>
      <c r="I662" s="35"/>
      <c r="J662" s="35"/>
      <c r="K662" s="35"/>
      <c r="L662" s="35"/>
      <c r="M662" s="31"/>
      <c r="N662" s="32"/>
      <c r="O662" s="32"/>
      <c r="P662" s="32"/>
      <c r="Q662" s="32"/>
      <c r="R662" s="32"/>
      <c r="S662" s="32"/>
      <c r="T662" s="32"/>
      <c r="U662" s="29"/>
      <c r="V662" s="29"/>
      <c r="W662" s="24"/>
      <c r="X662" s="18"/>
      <c r="Y662" s="18"/>
      <c r="Z662" s="18"/>
      <c r="AA662" s="18"/>
      <c r="AB662" s="18"/>
      <c r="AC662" s="18"/>
      <c r="AD662" s="18"/>
      <c r="AE662" s="19"/>
      <c r="AF662" s="20"/>
      <c r="AG662" s="21"/>
      <c r="AH662" s="21"/>
      <c r="AI662" s="19"/>
      <c r="AJ662" s="29"/>
      <c r="AK662" s="29"/>
      <c r="AL662" s="29"/>
    </row>
    <row r="663" spans="2:38" s="28" customFormat="1" x14ac:dyDescent="0.3">
      <c r="B663" s="24"/>
      <c r="C663" s="37"/>
      <c r="D663" s="37"/>
      <c r="E663" s="37"/>
      <c r="F663" s="35"/>
      <c r="G663" s="35"/>
      <c r="H663" s="35"/>
      <c r="I663" s="35"/>
      <c r="J663" s="35"/>
      <c r="K663" s="35"/>
      <c r="L663" s="35"/>
      <c r="M663" s="31"/>
      <c r="N663" s="32"/>
      <c r="O663" s="32"/>
      <c r="P663" s="32"/>
      <c r="Q663" s="32"/>
      <c r="R663" s="32"/>
      <c r="S663" s="32"/>
      <c r="T663" s="32"/>
      <c r="U663" s="29"/>
      <c r="V663" s="29"/>
      <c r="W663" s="24"/>
      <c r="X663" s="18"/>
      <c r="Y663" s="18"/>
      <c r="Z663" s="18"/>
      <c r="AA663" s="18"/>
      <c r="AB663" s="18"/>
      <c r="AC663" s="18"/>
      <c r="AD663" s="18"/>
      <c r="AE663" s="19"/>
      <c r="AF663" s="20"/>
      <c r="AG663" s="21"/>
      <c r="AH663" s="21"/>
      <c r="AI663" s="19"/>
      <c r="AJ663" s="29"/>
      <c r="AK663" s="29"/>
      <c r="AL663" s="29"/>
    </row>
    <row r="664" spans="2:38" s="28" customFormat="1" x14ac:dyDescent="0.3">
      <c r="B664" s="24"/>
      <c r="C664" s="37"/>
      <c r="D664" s="37"/>
      <c r="E664" s="37"/>
      <c r="F664" s="35"/>
      <c r="G664" s="35"/>
      <c r="H664" s="35"/>
      <c r="I664" s="35"/>
      <c r="J664" s="35"/>
      <c r="K664" s="35"/>
      <c r="L664" s="35"/>
      <c r="M664" s="31"/>
      <c r="N664" s="32"/>
      <c r="O664" s="32"/>
      <c r="P664" s="32"/>
      <c r="Q664" s="32"/>
      <c r="R664" s="32"/>
      <c r="S664" s="32"/>
      <c r="T664" s="32"/>
      <c r="U664" s="29"/>
      <c r="V664" s="29"/>
      <c r="W664" s="24"/>
      <c r="X664" s="18"/>
      <c r="Y664" s="18"/>
      <c r="Z664" s="18"/>
      <c r="AA664" s="18"/>
      <c r="AB664" s="18"/>
      <c r="AC664" s="18"/>
      <c r="AD664" s="18"/>
      <c r="AE664" s="19"/>
      <c r="AF664" s="20"/>
      <c r="AG664" s="21"/>
      <c r="AH664" s="21"/>
      <c r="AI664" s="19"/>
      <c r="AJ664" s="29"/>
      <c r="AK664" s="29"/>
      <c r="AL664" s="29"/>
    </row>
    <row r="665" spans="2:38" s="28" customFormat="1" x14ac:dyDescent="0.3">
      <c r="B665" s="24"/>
      <c r="C665" s="37"/>
      <c r="D665" s="37"/>
      <c r="E665" s="37"/>
      <c r="F665" s="35"/>
      <c r="G665" s="35"/>
      <c r="H665" s="35"/>
      <c r="I665" s="35"/>
      <c r="J665" s="35"/>
      <c r="K665" s="35"/>
      <c r="L665" s="35"/>
      <c r="M665" s="31"/>
      <c r="N665" s="32"/>
      <c r="O665" s="32"/>
      <c r="P665" s="32"/>
      <c r="Q665" s="32"/>
      <c r="R665" s="32"/>
      <c r="S665" s="32"/>
      <c r="T665" s="32"/>
      <c r="U665" s="29"/>
      <c r="V665" s="29"/>
      <c r="W665" s="24"/>
      <c r="X665" s="18"/>
      <c r="Y665" s="18"/>
      <c r="Z665" s="18"/>
      <c r="AA665" s="18"/>
      <c r="AB665" s="18"/>
      <c r="AC665" s="18"/>
      <c r="AD665" s="18"/>
      <c r="AE665" s="19"/>
      <c r="AF665" s="20"/>
      <c r="AG665" s="21"/>
      <c r="AH665" s="21"/>
      <c r="AI665" s="19"/>
      <c r="AJ665" s="29"/>
      <c r="AK665" s="29"/>
      <c r="AL665" s="29"/>
    </row>
    <row r="666" spans="2:38" s="28" customFormat="1" x14ac:dyDescent="0.3">
      <c r="B666" s="24"/>
      <c r="C666" s="37"/>
      <c r="D666" s="37"/>
      <c r="E666" s="37"/>
      <c r="F666" s="35"/>
      <c r="G666" s="35"/>
      <c r="H666" s="35"/>
      <c r="I666" s="35"/>
      <c r="J666" s="35"/>
      <c r="K666" s="35"/>
      <c r="L666" s="35"/>
      <c r="M666" s="31"/>
      <c r="N666" s="32"/>
      <c r="O666" s="32"/>
      <c r="P666" s="32"/>
      <c r="Q666" s="32"/>
      <c r="R666" s="32"/>
      <c r="S666" s="32"/>
      <c r="T666" s="32"/>
      <c r="U666" s="29"/>
      <c r="V666" s="29"/>
      <c r="W666" s="24"/>
      <c r="X666" s="18"/>
      <c r="Y666" s="18"/>
      <c r="Z666" s="18"/>
      <c r="AA666" s="18"/>
      <c r="AB666" s="18"/>
      <c r="AC666" s="18"/>
      <c r="AD666" s="18"/>
      <c r="AE666" s="19"/>
      <c r="AF666" s="20"/>
      <c r="AG666" s="21"/>
      <c r="AH666" s="21"/>
      <c r="AI666" s="19"/>
      <c r="AJ666" s="29"/>
      <c r="AK666" s="29"/>
      <c r="AL666" s="29"/>
    </row>
    <row r="667" spans="2:38" s="28" customFormat="1" x14ac:dyDescent="0.3">
      <c r="B667" s="24"/>
      <c r="C667" s="37"/>
      <c r="D667" s="37"/>
      <c r="E667" s="37"/>
      <c r="F667" s="35"/>
      <c r="G667" s="35"/>
      <c r="H667" s="35"/>
      <c r="I667" s="35"/>
      <c r="J667" s="35"/>
      <c r="K667" s="35"/>
      <c r="L667" s="35"/>
      <c r="M667" s="31"/>
      <c r="N667" s="32"/>
      <c r="O667" s="32"/>
      <c r="P667" s="32"/>
      <c r="Q667" s="32"/>
      <c r="R667" s="32"/>
      <c r="S667" s="32"/>
      <c r="T667" s="32"/>
      <c r="U667" s="29"/>
      <c r="V667" s="29"/>
      <c r="W667" s="24"/>
      <c r="X667" s="18"/>
      <c r="Y667" s="18"/>
      <c r="Z667" s="18"/>
      <c r="AA667" s="18"/>
      <c r="AB667" s="18"/>
      <c r="AC667" s="18"/>
      <c r="AD667" s="18"/>
      <c r="AE667" s="19"/>
      <c r="AF667" s="20"/>
      <c r="AG667" s="21"/>
      <c r="AH667" s="21"/>
      <c r="AI667" s="19"/>
      <c r="AJ667" s="29"/>
      <c r="AK667" s="29"/>
      <c r="AL667" s="29"/>
    </row>
    <row r="668" spans="2:38" s="28" customFormat="1" x14ac:dyDescent="0.3">
      <c r="B668" s="24"/>
      <c r="C668" s="37"/>
      <c r="D668" s="37"/>
      <c r="E668" s="37"/>
      <c r="F668" s="35"/>
      <c r="G668" s="35"/>
      <c r="H668" s="35"/>
      <c r="I668" s="35"/>
      <c r="J668" s="35"/>
      <c r="K668" s="35"/>
      <c r="L668" s="35"/>
      <c r="M668" s="31"/>
      <c r="N668" s="32"/>
      <c r="O668" s="32"/>
      <c r="P668" s="32"/>
      <c r="Q668" s="32"/>
      <c r="R668" s="32"/>
      <c r="S668" s="32"/>
      <c r="T668" s="32"/>
      <c r="U668" s="29"/>
      <c r="V668" s="29"/>
      <c r="W668" s="24"/>
      <c r="X668" s="18"/>
      <c r="Y668" s="18"/>
      <c r="Z668" s="18"/>
      <c r="AA668" s="18"/>
      <c r="AB668" s="18"/>
      <c r="AC668" s="18"/>
      <c r="AD668" s="18"/>
      <c r="AE668" s="19"/>
      <c r="AF668" s="20"/>
      <c r="AG668" s="21"/>
      <c r="AH668" s="21"/>
      <c r="AI668" s="19"/>
      <c r="AJ668" s="29"/>
      <c r="AK668" s="29"/>
      <c r="AL668" s="29"/>
    </row>
    <row r="669" spans="2:38" s="28" customFormat="1" x14ac:dyDescent="0.3">
      <c r="B669" s="24"/>
      <c r="C669" s="37"/>
      <c r="D669" s="37"/>
      <c r="E669" s="37"/>
      <c r="F669" s="35"/>
      <c r="G669" s="35"/>
      <c r="H669" s="35"/>
      <c r="I669" s="35"/>
      <c r="J669" s="35"/>
      <c r="K669" s="35"/>
      <c r="L669" s="35"/>
      <c r="M669" s="31"/>
      <c r="N669" s="32"/>
      <c r="O669" s="32"/>
      <c r="P669" s="32"/>
      <c r="Q669" s="32"/>
      <c r="R669" s="32"/>
      <c r="S669" s="32"/>
      <c r="T669" s="32"/>
      <c r="U669" s="29"/>
      <c r="V669" s="29"/>
      <c r="W669" s="24"/>
      <c r="X669" s="18"/>
      <c r="Y669" s="18"/>
      <c r="Z669" s="18"/>
      <c r="AA669" s="18"/>
      <c r="AB669" s="18"/>
      <c r="AC669" s="18"/>
      <c r="AD669" s="18"/>
      <c r="AE669" s="19"/>
      <c r="AF669" s="20"/>
      <c r="AG669" s="21"/>
      <c r="AH669" s="21"/>
      <c r="AI669" s="19"/>
      <c r="AJ669" s="29"/>
      <c r="AK669" s="29"/>
      <c r="AL669" s="29"/>
    </row>
    <row r="670" spans="2:38" s="28" customFormat="1" x14ac:dyDescent="0.3">
      <c r="B670" s="24"/>
      <c r="C670" s="37"/>
      <c r="D670" s="37"/>
      <c r="E670" s="37"/>
      <c r="F670" s="35"/>
      <c r="G670" s="35"/>
      <c r="H670" s="35"/>
      <c r="I670" s="35"/>
      <c r="J670" s="35"/>
      <c r="K670" s="35"/>
      <c r="L670" s="35"/>
      <c r="M670" s="31"/>
      <c r="N670" s="32"/>
      <c r="O670" s="32"/>
      <c r="P670" s="32"/>
      <c r="Q670" s="32"/>
      <c r="R670" s="32"/>
      <c r="S670" s="32"/>
      <c r="T670" s="32"/>
      <c r="U670" s="29"/>
      <c r="V670" s="29"/>
      <c r="W670" s="24"/>
      <c r="X670" s="18"/>
      <c r="Y670" s="18"/>
      <c r="Z670" s="18"/>
      <c r="AA670" s="18"/>
      <c r="AB670" s="18"/>
      <c r="AC670" s="18"/>
      <c r="AD670" s="18"/>
      <c r="AE670" s="19"/>
      <c r="AF670" s="20"/>
      <c r="AG670" s="21"/>
      <c r="AH670" s="21"/>
      <c r="AI670" s="19"/>
      <c r="AJ670" s="29"/>
      <c r="AK670" s="29"/>
      <c r="AL670" s="29"/>
    </row>
    <row r="671" spans="2:38" s="28" customFormat="1" x14ac:dyDescent="0.3">
      <c r="B671" s="24"/>
      <c r="C671" s="37"/>
      <c r="D671" s="37"/>
      <c r="E671" s="37"/>
      <c r="F671" s="35"/>
      <c r="G671" s="35"/>
      <c r="H671" s="35"/>
      <c r="I671" s="35"/>
      <c r="J671" s="35"/>
      <c r="K671" s="35"/>
      <c r="L671" s="35"/>
      <c r="M671" s="31"/>
      <c r="N671" s="32"/>
      <c r="O671" s="32"/>
      <c r="P671" s="32"/>
      <c r="Q671" s="32"/>
      <c r="R671" s="32"/>
      <c r="S671" s="32"/>
      <c r="T671" s="32"/>
      <c r="U671" s="29"/>
      <c r="V671" s="29"/>
      <c r="W671" s="24"/>
      <c r="X671" s="18"/>
      <c r="Y671" s="18"/>
      <c r="Z671" s="18"/>
      <c r="AA671" s="18"/>
      <c r="AB671" s="18"/>
      <c r="AC671" s="18"/>
      <c r="AD671" s="18"/>
      <c r="AE671" s="19"/>
      <c r="AF671" s="20"/>
      <c r="AG671" s="21"/>
      <c r="AH671" s="21"/>
      <c r="AI671" s="19"/>
      <c r="AJ671" s="29"/>
      <c r="AK671" s="29"/>
      <c r="AL671" s="29"/>
    </row>
    <row r="672" spans="2:38" s="28" customFormat="1" x14ac:dyDescent="0.3">
      <c r="B672" s="24"/>
      <c r="C672" s="37"/>
      <c r="D672" s="37"/>
      <c r="E672" s="37"/>
      <c r="F672" s="35"/>
      <c r="G672" s="35"/>
      <c r="H672" s="35"/>
      <c r="I672" s="35"/>
      <c r="J672" s="35"/>
      <c r="K672" s="35"/>
      <c r="L672" s="35"/>
      <c r="M672" s="31"/>
      <c r="N672" s="32"/>
      <c r="O672" s="32"/>
      <c r="P672" s="32"/>
      <c r="Q672" s="32"/>
      <c r="R672" s="32"/>
      <c r="S672" s="32"/>
      <c r="T672" s="32"/>
      <c r="U672" s="29"/>
      <c r="V672" s="29"/>
      <c r="W672" s="24"/>
      <c r="X672" s="18"/>
      <c r="Y672" s="18"/>
      <c r="Z672" s="18"/>
      <c r="AA672" s="18"/>
      <c r="AB672" s="18"/>
      <c r="AC672" s="18"/>
      <c r="AD672" s="18"/>
      <c r="AE672" s="19"/>
      <c r="AF672" s="20"/>
      <c r="AG672" s="21"/>
      <c r="AH672" s="21"/>
      <c r="AI672" s="19"/>
      <c r="AJ672" s="29"/>
      <c r="AK672" s="29"/>
      <c r="AL672" s="29"/>
    </row>
    <row r="673" spans="2:38" s="28" customFormat="1" x14ac:dyDescent="0.3">
      <c r="B673" s="24"/>
      <c r="C673" s="37"/>
      <c r="D673" s="37"/>
      <c r="E673" s="37"/>
      <c r="F673" s="35"/>
      <c r="G673" s="35"/>
      <c r="H673" s="35"/>
      <c r="I673" s="35"/>
      <c r="J673" s="35"/>
      <c r="K673" s="35"/>
      <c r="L673" s="35"/>
      <c r="M673" s="31"/>
      <c r="N673" s="32"/>
      <c r="O673" s="32"/>
      <c r="P673" s="32"/>
      <c r="Q673" s="32"/>
      <c r="R673" s="32"/>
      <c r="S673" s="32"/>
      <c r="T673" s="32"/>
      <c r="U673" s="29"/>
      <c r="V673" s="29"/>
      <c r="W673" s="24"/>
      <c r="X673" s="18"/>
      <c r="Y673" s="18"/>
      <c r="Z673" s="18"/>
      <c r="AA673" s="18"/>
      <c r="AB673" s="18"/>
      <c r="AC673" s="18"/>
      <c r="AD673" s="18"/>
      <c r="AE673" s="19"/>
      <c r="AF673" s="20"/>
      <c r="AG673" s="21"/>
      <c r="AH673" s="21"/>
      <c r="AI673" s="19"/>
      <c r="AJ673" s="29"/>
      <c r="AK673" s="29"/>
      <c r="AL673" s="29"/>
    </row>
    <row r="674" spans="2:38" s="28" customFormat="1" x14ac:dyDescent="0.3">
      <c r="B674" s="24"/>
      <c r="C674" s="37"/>
      <c r="D674" s="37"/>
      <c r="E674" s="37"/>
      <c r="F674" s="35"/>
      <c r="G674" s="35"/>
      <c r="H674" s="35"/>
      <c r="I674" s="35"/>
      <c r="J674" s="35"/>
      <c r="K674" s="35"/>
      <c r="L674" s="35"/>
      <c r="M674" s="31"/>
      <c r="N674" s="32"/>
      <c r="O674" s="32"/>
      <c r="P674" s="32"/>
      <c r="Q674" s="32"/>
      <c r="R674" s="32"/>
      <c r="S674" s="32"/>
      <c r="T674" s="32"/>
      <c r="U674" s="29"/>
      <c r="V674" s="29"/>
      <c r="W674" s="24"/>
      <c r="X674" s="18"/>
      <c r="Y674" s="18"/>
      <c r="Z674" s="18"/>
      <c r="AA674" s="18"/>
      <c r="AB674" s="18"/>
      <c r="AC674" s="18"/>
      <c r="AD674" s="18"/>
      <c r="AE674" s="19"/>
      <c r="AF674" s="20"/>
      <c r="AG674" s="21"/>
      <c r="AH674" s="21"/>
      <c r="AI674" s="19"/>
      <c r="AJ674" s="29"/>
      <c r="AK674" s="29"/>
      <c r="AL674" s="29"/>
    </row>
    <row r="675" spans="2:38" s="28" customFormat="1" x14ac:dyDescent="0.3">
      <c r="B675" s="24"/>
      <c r="C675" s="37"/>
      <c r="D675" s="37"/>
      <c r="E675" s="37"/>
      <c r="F675" s="35"/>
      <c r="G675" s="35"/>
      <c r="H675" s="35"/>
      <c r="I675" s="35"/>
      <c r="J675" s="35"/>
      <c r="K675" s="35"/>
      <c r="L675" s="35"/>
      <c r="M675" s="31"/>
      <c r="N675" s="32"/>
      <c r="O675" s="32"/>
      <c r="P675" s="32"/>
      <c r="Q675" s="32"/>
      <c r="R675" s="32"/>
      <c r="S675" s="32"/>
      <c r="T675" s="32"/>
      <c r="U675" s="29"/>
      <c r="V675" s="29"/>
      <c r="W675" s="24"/>
      <c r="X675" s="18"/>
      <c r="Y675" s="18"/>
      <c r="Z675" s="18"/>
      <c r="AA675" s="18"/>
      <c r="AB675" s="18"/>
      <c r="AC675" s="18"/>
      <c r="AD675" s="18"/>
      <c r="AE675" s="19"/>
      <c r="AF675" s="20"/>
      <c r="AG675" s="21"/>
      <c r="AH675" s="21"/>
      <c r="AI675" s="19"/>
      <c r="AJ675" s="29"/>
      <c r="AK675" s="29"/>
      <c r="AL675" s="29"/>
    </row>
    <row r="676" spans="2:38" s="28" customFormat="1" x14ac:dyDescent="0.3">
      <c r="B676" s="24"/>
      <c r="C676" s="37"/>
      <c r="D676" s="37"/>
      <c r="E676" s="37"/>
      <c r="F676" s="35"/>
      <c r="G676" s="35"/>
      <c r="H676" s="35"/>
      <c r="I676" s="35"/>
      <c r="J676" s="35"/>
      <c r="K676" s="35"/>
      <c r="L676" s="35"/>
      <c r="M676" s="31"/>
      <c r="N676" s="32"/>
      <c r="O676" s="32"/>
      <c r="P676" s="32"/>
      <c r="Q676" s="32"/>
      <c r="R676" s="32"/>
      <c r="S676" s="32"/>
      <c r="T676" s="32"/>
      <c r="U676" s="29"/>
      <c r="V676" s="29"/>
      <c r="W676" s="24"/>
      <c r="X676" s="18"/>
      <c r="Y676" s="18"/>
      <c r="Z676" s="18"/>
      <c r="AA676" s="18"/>
      <c r="AB676" s="18"/>
      <c r="AC676" s="18"/>
      <c r="AD676" s="18"/>
      <c r="AE676" s="19"/>
      <c r="AF676" s="20"/>
      <c r="AG676" s="21"/>
      <c r="AH676" s="21"/>
      <c r="AI676" s="19"/>
      <c r="AJ676" s="29"/>
      <c r="AK676" s="29"/>
      <c r="AL676" s="29"/>
    </row>
    <row r="677" spans="2:38" s="28" customFormat="1" x14ac:dyDescent="0.3">
      <c r="B677" s="24"/>
      <c r="C677" s="37"/>
      <c r="D677" s="37"/>
      <c r="E677" s="37"/>
      <c r="F677" s="35"/>
      <c r="G677" s="35"/>
      <c r="H677" s="35"/>
      <c r="I677" s="35"/>
      <c r="J677" s="35"/>
      <c r="K677" s="35"/>
      <c r="L677" s="35"/>
      <c r="M677" s="31"/>
      <c r="N677" s="32"/>
      <c r="O677" s="32"/>
      <c r="P677" s="32"/>
      <c r="Q677" s="32"/>
      <c r="R677" s="32"/>
      <c r="S677" s="32"/>
      <c r="T677" s="32"/>
      <c r="U677" s="29"/>
      <c r="V677" s="29"/>
      <c r="W677" s="24"/>
      <c r="X677" s="18"/>
      <c r="Y677" s="18"/>
      <c r="Z677" s="18"/>
      <c r="AA677" s="18"/>
      <c r="AB677" s="18"/>
      <c r="AC677" s="18"/>
      <c r="AD677" s="18"/>
      <c r="AE677" s="19"/>
      <c r="AF677" s="20"/>
      <c r="AG677" s="21"/>
      <c r="AH677" s="21"/>
      <c r="AI677" s="19"/>
      <c r="AJ677" s="29"/>
      <c r="AK677" s="29"/>
      <c r="AL677" s="29"/>
    </row>
    <row r="678" spans="2:38" s="28" customFormat="1" x14ac:dyDescent="0.3">
      <c r="B678" s="24"/>
      <c r="C678" s="37"/>
      <c r="D678" s="37"/>
      <c r="E678" s="37"/>
      <c r="F678" s="35"/>
      <c r="G678" s="35"/>
      <c r="H678" s="35"/>
      <c r="I678" s="35"/>
      <c r="J678" s="35"/>
      <c r="K678" s="35"/>
      <c r="L678" s="35"/>
      <c r="M678" s="31"/>
      <c r="N678" s="32"/>
      <c r="O678" s="32"/>
      <c r="P678" s="32"/>
      <c r="Q678" s="32"/>
      <c r="R678" s="32"/>
      <c r="S678" s="32"/>
      <c r="T678" s="32"/>
      <c r="U678" s="29"/>
      <c r="V678" s="29"/>
      <c r="W678" s="24"/>
      <c r="X678" s="18"/>
      <c r="Y678" s="18"/>
      <c r="Z678" s="18"/>
      <c r="AA678" s="18"/>
      <c r="AB678" s="18"/>
      <c r="AC678" s="18"/>
      <c r="AD678" s="18"/>
      <c r="AE678" s="19"/>
      <c r="AF678" s="20"/>
      <c r="AG678" s="21"/>
      <c r="AH678" s="21"/>
      <c r="AI678" s="19"/>
      <c r="AJ678" s="29"/>
      <c r="AK678" s="29"/>
      <c r="AL678" s="29"/>
    </row>
    <row r="679" spans="2:38" s="28" customFormat="1" x14ac:dyDescent="0.3">
      <c r="B679" s="24"/>
      <c r="C679" s="37"/>
      <c r="D679" s="37"/>
      <c r="E679" s="37"/>
      <c r="F679" s="35"/>
      <c r="G679" s="35"/>
      <c r="H679" s="35"/>
      <c r="I679" s="35"/>
      <c r="J679" s="35"/>
      <c r="K679" s="35"/>
      <c r="L679" s="35"/>
      <c r="M679" s="31"/>
      <c r="N679" s="32"/>
      <c r="O679" s="32"/>
      <c r="P679" s="32"/>
      <c r="Q679" s="32"/>
      <c r="R679" s="32"/>
      <c r="S679" s="32"/>
      <c r="T679" s="32"/>
      <c r="U679" s="29"/>
      <c r="V679" s="29"/>
      <c r="W679" s="24"/>
      <c r="X679" s="18"/>
      <c r="Y679" s="18"/>
      <c r="Z679" s="18"/>
      <c r="AA679" s="18"/>
      <c r="AB679" s="18"/>
      <c r="AC679" s="18"/>
      <c r="AD679" s="18"/>
      <c r="AE679" s="19"/>
      <c r="AF679" s="20"/>
      <c r="AG679" s="21"/>
      <c r="AH679" s="21"/>
      <c r="AI679" s="19"/>
      <c r="AJ679" s="29"/>
      <c r="AK679" s="29"/>
      <c r="AL679" s="29"/>
    </row>
    <row r="680" spans="2:38" s="28" customFormat="1" x14ac:dyDescent="0.3">
      <c r="B680" s="24"/>
      <c r="C680" s="37"/>
      <c r="D680" s="37"/>
      <c r="E680" s="37"/>
      <c r="F680" s="35"/>
      <c r="G680" s="35"/>
      <c r="H680" s="35"/>
      <c r="I680" s="35"/>
      <c r="J680" s="35"/>
      <c r="K680" s="35"/>
      <c r="L680" s="35"/>
      <c r="M680" s="31"/>
      <c r="N680" s="32"/>
      <c r="O680" s="32"/>
      <c r="P680" s="32"/>
      <c r="Q680" s="32"/>
      <c r="R680" s="32"/>
      <c r="S680" s="32"/>
      <c r="T680" s="32"/>
      <c r="U680" s="29"/>
      <c r="V680" s="29"/>
      <c r="W680" s="24"/>
      <c r="X680" s="18"/>
      <c r="Y680" s="18"/>
      <c r="Z680" s="18"/>
      <c r="AA680" s="18"/>
      <c r="AB680" s="18"/>
      <c r="AC680" s="18"/>
      <c r="AD680" s="18"/>
      <c r="AE680" s="19"/>
      <c r="AF680" s="20"/>
      <c r="AG680" s="21"/>
      <c r="AH680" s="21"/>
      <c r="AI680" s="19"/>
      <c r="AJ680" s="29"/>
      <c r="AK680" s="29"/>
      <c r="AL680" s="29"/>
    </row>
    <row r="681" spans="2:38" s="28" customFormat="1" x14ac:dyDescent="0.3">
      <c r="B681" s="24"/>
      <c r="C681" s="37"/>
      <c r="D681" s="37"/>
      <c r="E681" s="37"/>
      <c r="F681" s="35"/>
      <c r="G681" s="35"/>
      <c r="H681" s="35"/>
      <c r="I681" s="35"/>
      <c r="J681" s="35"/>
      <c r="K681" s="35"/>
      <c r="L681" s="35"/>
      <c r="M681" s="31"/>
      <c r="N681" s="32"/>
      <c r="O681" s="32"/>
      <c r="P681" s="32"/>
      <c r="Q681" s="32"/>
      <c r="R681" s="32"/>
      <c r="S681" s="32"/>
      <c r="T681" s="32"/>
      <c r="U681" s="29"/>
      <c r="V681" s="29"/>
      <c r="W681" s="24"/>
      <c r="X681" s="18"/>
      <c r="Y681" s="18"/>
      <c r="Z681" s="18"/>
      <c r="AA681" s="18"/>
      <c r="AB681" s="18"/>
      <c r="AC681" s="18"/>
      <c r="AD681" s="18"/>
      <c r="AE681" s="19"/>
      <c r="AF681" s="20"/>
      <c r="AG681" s="21"/>
      <c r="AH681" s="21"/>
      <c r="AI681" s="19"/>
      <c r="AJ681" s="29"/>
      <c r="AK681" s="29"/>
      <c r="AL681" s="29"/>
    </row>
    <row r="682" spans="2:38" s="28" customFormat="1" x14ac:dyDescent="0.3">
      <c r="B682" s="24"/>
      <c r="C682" s="37"/>
      <c r="D682" s="37"/>
      <c r="E682" s="37"/>
      <c r="F682" s="35"/>
      <c r="G682" s="35"/>
      <c r="H682" s="35"/>
      <c r="I682" s="35"/>
      <c r="J682" s="35"/>
      <c r="K682" s="35"/>
      <c r="L682" s="35"/>
      <c r="M682" s="31"/>
      <c r="N682" s="32"/>
      <c r="O682" s="32"/>
      <c r="P682" s="32"/>
      <c r="Q682" s="32"/>
      <c r="R682" s="32"/>
      <c r="S682" s="32"/>
      <c r="T682" s="32"/>
      <c r="U682" s="29"/>
      <c r="V682" s="29"/>
      <c r="W682" s="24"/>
      <c r="X682" s="18"/>
      <c r="Y682" s="18"/>
      <c r="Z682" s="18"/>
      <c r="AA682" s="18"/>
      <c r="AB682" s="18"/>
      <c r="AC682" s="18"/>
      <c r="AD682" s="18"/>
      <c r="AE682" s="19"/>
      <c r="AF682" s="20"/>
      <c r="AG682" s="21"/>
      <c r="AH682" s="21"/>
      <c r="AI682" s="19"/>
      <c r="AJ682" s="29"/>
      <c r="AK682" s="29"/>
      <c r="AL682" s="29"/>
    </row>
    <row r="683" spans="2:38" s="28" customFormat="1" x14ac:dyDescent="0.3">
      <c r="B683" s="24"/>
      <c r="C683" s="37"/>
      <c r="D683" s="37"/>
      <c r="E683" s="37"/>
      <c r="F683" s="35"/>
      <c r="G683" s="35"/>
      <c r="H683" s="35"/>
      <c r="I683" s="35"/>
      <c r="J683" s="35"/>
      <c r="K683" s="35"/>
      <c r="L683" s="35"/>
      <c r="M683" s="31"/>
      <c r="N683" s="32"/>
      <c r="O683" s="32"/>
      <c r="P683" s="32"/>
      <c r="Q683" s="32"/>
      <c r="R683" s="32"/>
      <c r="S683" s="32"/>
      <c r="T683" s="32"/>
      <c r="U683" s="29"/>
      <c r="V683" s="29"/>
      <c r="W683" s="24"/>
      <c r="X683" s="18"/>
      <c r="Y683" s="18"/>
      <c r="Z683" s="18"/>
      <c r="AA683" s="18"/>
      <c r="AB683" s="18"/>
      <c r="AC683" s="18"/>
      <c r="AD683" s="18"/>
      <c r="AE683" s="19"/>
      <c r="AF683" s="20"/>
      <c r="AG683" s="21"/>
      <c r="AH683" s="21"/>
      <c r="AI683" s="19"/>
      <c r="AJ683" s="29"/>
      <c r="AK683" s="29"/>
      <c r="AL683" s="29"/>
    </row>
    <row r="684" spans="2:38" s="28" customFormat="1" x14ac:dyDescent="0.3">
      <c r="B684" s="24"/>
      <c r="C684" s="37"/>
      <c r="D684" s="37"/>
      <c r="E684" s="37"/>
      <c r="F684" s="35"/>
      <c r="G684" s="35"/>
      <c r="H684" s="35"/>
      <c r="I684" s="35"/>
      <c r="J684" s="35"/>
      <c r="K684" s="35"/>
      <c r="L684" s="35"/>
      <c r="M684" s="31"/>
      <c r="N684" s="32"/>
      <c r="O684" s="32"/>
      <c r="P684" s="32"/>
      <c r="Q684" s="32"/>
      <c r="R684" s="32"/>
      <c r="S684" s="32"/>
      <c r="T684" s="32"/>
      <c r="U684" s="29"/>
      <c r="V684" s="29"/>
      <c r="W684" s="24"/>
      <c r="X684" s="18"/>
      <c r="Y684" s="18"/>
      <c r="Z684" s="18"/>
      <c r="AA684" s="18"/>
      <c r="AB684" s="18"/>
      <c r="AC684" s="18"/>
      <c r="AD684" s="18"/>
      <c r="AE684" s="19"/>
      <c r="AF684" s="20"/>
      <c r="AG684" s="21"/>
      <c r="AH684" s="21"/>
      <c r="AI684" s="19"/>
      <c r="AJ684" s="29"/>
      <c r="AK684" s="29"/>
      <c r="AL684" s="29"/>
    </row>
    <row r="685" spans="2:38" s="28" customFormat="1" x14ac:dyDescent="0.3">
      <c r="B685" s="24"/>
      <c r="C685" s="37"/>
      <c r="D685" s="37"/>
      <c r="E685" s="37"/>
      <c r="F685" s="35"/>
      <c r="G685" s="35"/>
      <c r="H685" s="35"/>
      <c r="I685" s="35"/>
      <c r="J685" s="35"/>
      <c r="K685" s="35"/>
      <c r="L685" s="35"/>
      <c r="M685" s="31"/>
      <c r="N685" s="32"/>
      <c r="O685" s="32"/>
      <c r="P685" s="32"/>
      <c r="Q685" s="32"/>
      <c r="R685" s="32"/>
      <c r="S685" s="32"/>
      <c r="T685" s="32"/>
      <c r="U685" s="29"/>
      <c r="V685" s="29"/>
      <c r="W685" s="24"/>
      <c r="X685" s="18"/>
      <c r="Y685" s="18"/>
      <c r="Z685" s="18"/>
      <c r="AA685" s="18"/>
      <c r="AB685" s="18"/>
      <c r="AC685" s="18"/>
      <c r="AD685" s="18"/>
      <c r="AE685" s="19"/>
      <c r="AF685" s="20"/>
      <c r="AG685" s="21"/>
      <c r="AH685" s="21"/>
      <c r="AI685" s="19"/>
      <c r="AJ685" s="29"/>
      <c r="AK685" s="29"/>
      <c r="AL685" s="29"/>
    </row>
    <row r="686" spans="2:38" s="28" customFormat="1" x14ac:dyDescent="0.3">
      <c r="B686" s="24"/>
      <c r="C686" s="37"/>
      <c r="D686" s="37"/>
      <c r="E686" s="37"/>
      <c r="F686" s="35"/>
      <c r="G686" s="35"/>
      <c r="H686" s="35"/>
      <c r="I686" s="35"/>
      <c r="J686" s="35"/>
      <c r="K686" s="35"/>
      <c r="L686" s="35"/>
      <c r="M686" s="31"/>
      <c r="N686" s="32"/>
      <c r="O686" s="32"/>
      <c r="P686" s="32"/>
      <c r="Q686" s="32"/>
      <c r="R686" s="32"/>
      <c r="S686" s="32"/>
      <c r="T686" s="32"/>
      <c r="U686" s="29"/>
      <c r="V686" s="29"/>
      <c r="W686" s="24"/>
      <c r="X686" s="18"/>
      <c r="Y686" s="18"/>
      <c r="Z686" s="18"/>
      <c r="AA686" s="18"/>
      <c r="AB686" s="18"/>
      <c r="AC686" s="18"/>
      <c r="AD686" s="18"/>
      <c r="AE686" s="19"/>
      <c r="AF686" s="20"/>
      <c r="AG686" s="21"/>
      <c r="AH686" s="21"/>
      <c r="AI686" s="19"/>
      <c r="AJ686" s="29"/>
      <c r="AK686" s="29"/>
      <c r="AL686" s="29"/>
    </row>
    <row r="687" spans="2:38" s="28" customFormat="1" x14ac:dyDescent="0.3">
      <c r="B687" s="24"/>
      <c r="C687" s="37"/>
      <c r="D687" s="37"/>
      <c r="E687" s="37"/>
      <c r="F687" s="35"/>
      <c r="G687" s="35"/>
      <c r="H687" s="35"/>
      <c r="I687" s="35"/>
      <c r="J687" s="35"/>
      <c r="K687" s="35"/>
      <c r="L687" s="35"/>
      <c r="M687" s="31"/>
      <c r="N687" s="32"/>
      <c r="O687" s="32"/>
      <c r="P687" s="32"/>
      <c r="Q687" s="32"/>
      <c r="R687" s="32"/>
      <c r="S687" s="32"/>
      <c r="T687" s="32"/>
      <c r="U687" s="29"/>
      <c r="V687" s="29"/>
      <c r="W687" s="24"/>
      <c r="X687" s="18"/>
      <c r="Y687" s="18"/>
      <c r="Z687" s="18"/>
      <c r="AA687" s="18"/>
      <c r="AB687" s="18"/>
      <c r="AC687" s="18"/>
      <c r="AD687" s="18"/>
      <c r="AE687" s="19"/>
      <c r="AF687" s="20"/>
      <c r="AG687" s="21"/>
      <c r="AH687" s="21"/>
      <c r="AI687" s="19"/>
      <c r="AJ687" s="29"/>
      <c r="AK687" s="29"/>
      <c r="AL687" s="29"/>
    </row>
    <row r="688" spans="2:38" s="28" customFormat="1" x14ac:dyDescent="0.3">
      <c r="B688" s="24"/>
      <c r="C688" s="37"/>
      <c r="D688" s="37"/>
      <c r="E688" s="37"/>
      <c r="F688" s="35"/>
      <c r="G688" s="35"/>
      <c r="H688" s="35"/>
      <c r="I688" s="35"/>
      <c r="J688" s="35"/>
      <c r="K688" s="35"/>
      <c r="L688" s="35"/>
      <c r="M688" s="31"/>
      <c r="N688" s="32"/>
      <c r="O688" s="32"/>
      <c r="P688" s="32"/>
      <c r="Q688" s="32"/>
      <c r="R688" s="32"/>
      <c r="S688" s="32"/>
      <c r="T688" s="32"/>
      <c r="U688" s="29"/>
      <c r="V688" s="29"/>
      <c r="W688" s="24"/>
      <c r="X688" s="18"/>
      <c r="Y688" s="18"/>
      <c r="Z688" s="18"/>
      <c r="AA688" s="18"/>
      <c r="AB688" s="18"/>
      <c r="AC688" s="18"/>
      <c r="AD688" s="18"/>
      <c r="AE688" s="19"/>
      <c r="AF688" s="20"/>
      <c r="AG688" s="21"/>
      <c r="AH688" s="21"/>
      <c r="AI688" s="19"/>
      <c r="AJ688" s="29"/>
      <c r="AK688" s="29"/>
      <c r="AL688" s="29"/>
    </row>
    <row r="689" spans="2:38" s="28" customFormat="1" x14ac:dyDescent="0.3">
      <c r="B689" s="24"/>
      <c r="C689" s="37"/>
      <c r="D689" s="37"/>
      <c r="E689" s="37"/>
      <c r="F689" s="35"/>
      <c r="G689" s="35"/>
      <c r="H689" s="35"/>
      <c r="I689" s="35"/>
      <c r="J689" s="35"/>
      <c r="K689" s="35"/>
      <c r="L689" s="35"/>
      <c r="M689" s="31"/>
      <c r="N689" s="32"/>
      <c r="O689" s="32"/>
      <c r="P689" s="32"/>
      <c r="Q689" s="32"/>
      <c r="R689" s="32"/>
      <c r="S689" s="32"/>
      <c r="T689" s="32"/>
      <c r="U689" s="29"/>
      <c r="V689" s="29"/>
      <c r="W689" s="24"/>
      <c r="X689" s="18"/>
      <c r="Y689" s="18"/>
      <c r="Z689" s="18"/>
      <c r="AA689" s="18"/>
      <c r="AB689" s="18"/>
      <c r="AC689" s="18"/>
      <c r="AD689" s="18"/>
      <c r="AE689" s="19"/>
      <c r="AF689" s="20"/>
      <c r="AG689" s="21"/>
      <c r="AH689" s="21"/>
      <c r="AI689" s="19"/>
      <c r="AJ689" s="29"/>
      <c r="AK689" s="29"/>
      <c r="AL689" s="29"/>
    </row>
    <row r="690" spans="2:38" s="28" customFormat="1" x14ac:dyDescent="0.3">
      <c r="B690" s="24"/>
      <c r="C690" s="37"/>
      <c r="D690" s="37"/>
      <c r="E690" s="37"/>
      <c r="F690" s="35"/>
      <c r="G690" s="35"/>
      <c r="H690" s="35"/>
      <c r="I690" s="35"/>
      <c r="J690" s="35"/>
      <c r="K690" s="35"/>
      <c r="L690" s="35"/>
      <c r="M690" s="31"/>
      <c r="N690" s="32"/>
      <c r="O690" s="32"/>
      <c r="P690" s="32"/>
      <c r="Q690" s="32"/>
      <c r="R690" s="32"/>
      <c r="S690" s="32"/>
      <c r="T690" s="32"/>
      <c r="U690" s="29"/>
      <c r="V690" s="29"/>
      <c r="W690" s="24"/>
      <c r="X690" s="18"/>
      <c r="Y690" s="18"/>
      <c r="Z690" s="18"/>
      <c r="AA690" s="18"/>
      <c r="AB690" s="18"/>
      <c r="AC690" s="18"/>
      <c r="AD690" s="18"/>
      <c r="AE690" s="19"/>
      <c r="AF690" s="20"/>
      <c r="AG690" s="21"/>
      <c r="AH690" s="21"/>
      <c r="AI690" s="19"/>
      <c r="AJ690" s="29"/>
      <c r="AK690" s="29"/>
      <c r="AL690" s="29"/>
    </row>
    <row r="691" spans="2:38" s="28" customFormat="1" x14ac:dyDescent="0.3">
      <c r="B691" s="24"/>
      <c r="C691" s="37"/>
      <c r="D691" s="37"/>
      <c r="E691" s="37"/>
      <c r="F691" s="35"/>
      <c r="G691" s="35"/>
      <c r="H691" s="35"/>
      <c r="I691" s="35"/>
      <c r="J691" s="35"/>
      <c r="K691" s="35"/>
      <c r="L691" s="35"/>
      <c r="M691" s="31"/>
      <c r="N691" s="32"/>
      <c r="O691" s="32"/>
      <c r="P691" s="32"/>
      <c r="Q691" s="32"/>
      <c r="R691" s="32"/>
      <c r="S691" s="32"/>
      <c r="T691" s="32"/>
      <c r="U691" s="29"/>
      <c r="V691" s="29"/>
      <c r="W691" s="24"/>
      <c r="X691" s="18"/>
      <c r="Y691" s="18"/>
      <c r="Z691" s="18"/>
      <c r="AA691" s="18"/>
      <c r="AB691" s="18"/>
      <c r="AC691" s="18"/>
      <c r="AD691" s="18"/>
      <c r="AE691" s="19"/>
      <c r="AF691" s="20"/>
      <c r="AG691" s="21"/>
      <c r="AH691" s="21"/>
      <c r="AI691" s="19"/>
      <c r="AJ691" s="29"/>
      <c r="AK691" s="29"/>
      <c r="AL691" s="29"/>
    </row>
    <row r="692" spans="2:38" s="28" customFormat="1" x14ac:dyDescent="0.3">
      <c r="B692" s="24"/>
      <c r="C692" s="37"/>
      <c r="D692" s="37"/>
      <c r="E692" s="37"/>
      <c r="F692" s="35"/>
      <c r="G692" s="35"/>
      <c r="H692" s="35"/>
      <c r="I692" s="35"/>
      <c r="J692" s="35"/>
      <c r="K692" s="35"/>
      <c r="L692" s="35"/>
      <c r="M692" s="31"/>
      <c r="N692" s="32"/>
      <c r="O692" s="32"/>
      <c r="P692" s="32"/>
      <c r="Q692" s="32"/>
      <c r="R692" s="32"/>
      <c r="S692" s="32"/>
      <c r="T692" s="32"/>
      <c r="U692" s="29"/>
      <c r="V692" s="29"/>
      <c r="W692" s="24"/>
      <c r="X692" s="18"/>
      <c r="Y692" s="18"/>
      <c r="Z692" s="18"/>
      <c r="AA692" s="18"/>
      <c r="AB692" s="18"/>
      <c r="AC692" s="18"/>
      <c r="AD692" s="18"/>
      <c r="AE692" s="19"/>
      <c r="AF692" s="20"/>
      <c r="AG692" s="21"/>
      <c r="AH692" s="21"/>
      <c r="AI692" s="19"/>
      <c r="AJ692" s="29"/>
      <c r="AK692" s="29"/>
      <c r="AL692" s="29"/>
    </row>
    <row r="693" spans="2:38" s="28" customFormat="1" x14ac:dyDescent="0.3">
      <c r="B693" s="24"/>
      <c r="C693" s="37"/>
      <c r="D693" s="37"/>
      <c r="E693" s="37"/>
      <c r="F693" s="35"/>
      <c r="G693" s="35"/>
      <c r="H693" s="35"/>
      <c r="I693" s="35"/>
      <c r="J693" s="35"/>
      <c r="K693" s="35"/>
      <c r="L693" s="35"/>
      <c r="M693" s="31"/>
      <c r="N693" s="32"/>
      <c r="O693" s="32"/>
      <c r="P693" s="32"/>
      <c r="Q693" s="32"/>
      <c r="R693" s="32"/>
      <c r="S693" s="32"/>
      <c r="T693" s="32"/>
      <c r="U693" s="29"/>
      <c r="V693" s="29"/>
      <c r="W693" s="24"/>
      <c r="X693" s="18"/>
      <c r="Y693" s="18"/>
      <c r="Z693" s="18"/>
      <c r="AA693" s="18"/>
      <c r="AB693" s="18"/>
      <c r="AC693" s="18"/>
      <c r="AD693" s="18"/>
      <c r="AE693" s="19"/>
      <c r="AF693" s="20"/>
      <c r="AG693" s="21"/>
      <c r="AH693" s="21"/>
      <c r="AI693" s="19"/>
      <c r="AJ693" s="29"/>
      <c r="AK693" s="29"/>
      <c r="AL693" s="29"/>
    </row>
    <row r="694" spans="2:38" s="28" customFormat="1" x14ac:dyDescent="0.3">
      <c r="B694" s="24"/>
      <c r="C694" s="37"/>
      <c r="D694" s="37"/>
      <c r="E694" s="37"/>
      <c r="F694" s="35"/>
      <c r="G694" s="35"/>
      <c r="H694" s="35"/>
      <c r="I694" s="35"/>
      <c r="J694" s="35"/>
      <c r="K694" s="35"/>
      <c r="L694" s="35"/>
      <c r="M694" s="31"/>
      <c r="N694" s="32"/>
      <c r="O694" s="32"/>
      <c r="P694" s="32"/>
      <c r="Q694" s="32"/>
      <c r="R694" s="32"/>
      <c r="S694" s="32"/>
      <c r="T694" s="32"/>
      <c r="U694" s="29"/>
      <c r="V694" s="29"/>
      <c r="W694" s="24"/>
      <c r="X694" s="18"/>
      <c r="Y694" s="18"/>
      <c r="Z694" s="18"/>
      <c r="AA694" s="18"/>
      <c r="AB694" s="18"/>
      <c r="AC694" s="18"/>
      <c r="AD694" s="18"/>
      <c r="AE694" s="19"/>
      <c r="AF694" s="20"/>
      <c r="AG694" s="21"/>
      <c r="AH694" s="21"/>
      <c r="AI694" s="19"/>
      <c r="AJ694" s="29"/>
      <c r="AK694" s="29"/>
      <c r="AL694" s="29"/>
    </row>
    <row r="695" spans="2:38" s="28" customFormat="1" x14ac:dyDescent="0.3">
      <c r="B695" s="24"/>
      <c r="C695" s="37"/>
      <c r="D695" s="37"/>
      <c r="E695" s="37"/>
      <c r="F695" s="35"/>
      <c r="G695" s="35"/>
      <c r="H695" s="35"/>
      <c r="I695" s="35"/>
      <c r="J695" s="35"/>
      <c r="K695" s="35"/>
      <c r="L695" s="35"/>
      <c r="M695" s="31"/>
      <c r="N695" s="32"/>
      <c r="O695" s="32"/>
      <c r="P695" s="32"/>
      <c r="Q695" s="32"/>
      <c r="R695" s="32"/>
      <c r="S695" s="32"/>
      <c r="T695" s="32"/>
      <c r="U695" s="29"/>
      <c r="V695" s="29"/>
      <c r="W695" s="24"/>
      <c r="X695" s="18"/>
      <c r="Y695" s="18"/>
      <c r="Z695" s="18"/>
      <c r="AA695" s="18"/>
      <c r="AB695" s="18"/>
      <c r="AC695" s="18"/>
      <c r="AD695" s="18"/>
      <c r="AE695" s="19"/>
      <c r="AF695" s="20"/>
      <c r="AG695" s="21"/>
      <c r="AH695" s="21"/>
      <c r="AI695" s="19"/>
      <c r="AJ695" s="29"/>
      <c r="AK695" s="29"/>
      <c r="AL695" s="29"/>
    </row>
    <row r="696" spans="2:38" s="28" customFormat="1" x14ac:dyDescent="0.3">
      <c r="B696" s="24"/>
      <c r="C696" s="37"/>
      <c r="D696" s="37"/>
      <c r="E696" s="37"/>
      <c r="F696" s="35"/>
      <c r="G696" s="35"/>
      <c r="H696" s="35"/>
      <c r="I696" s="35"/>
      <c r="J696" s="35"/>
      <c r="K696" s="35"/>
      <c r="L696" s="35"/>
      <c r="M696" s="31"/>
      <c r="N696" s="32"/>
      <c r="O696" s="32"/>
      <c r="P696" s="32"/>
      <c r="Q696" s="32"/>
      <c r="R696" s="32"/>
      <c r="S696" s="32"/>
      <c r="T696" s="32"/>
      <c r="U696" s="29"/>
      <c r="V696" s="29"/>
      <c r="W696" s="24"/>
      <c r="X696" s="18"/>
      <c r="Y696" s="18"/>
      <c r="Z696" s="18"/>
      <c r="AA696" s="18"/>
      <c r="AB696" s="18"/>
      <c r="AC696" s="18"/>
      <c r="AD696" s="18"/>
      <c r="AE696" s="19"/>
      <c r="AF696" s="20"/>
      <c r="AG696" s="21"/>
      <c r="AH696" s="21"/>
      <c r="AI696" s="19"/>
      <c r="AJ696" s="29"/>
      <c r="AK696" s="29"/>
      <c r="AL696" s="29"/>
    </row>
    <row r="697" spans="2:38" s="28" customFormat="1" x14ac:dyDescent="0.3">
      <c r="B697" s="24"/>
      <c r="C697" s="37"/>
      <c r="D697" s="37"/>
      <c r="E697" s="37"/>
      <c r="F697" s="35"/>
      <c r="G697" s="35"/>
      <c r="H697" s="35"/>
      <c r="I697" s="35"/>
      <c r="J697" s="35"/>
      <c r="K697" s="35"/>
      <c r="L697" s="35"/>
      <c r="M697" s="31"/>
      <c r="N697" s="32"/>
      <c r="O697" s="32"/>
      <c r="P697" s="32"/>
      <c r="Q697" s="32"/>
      <c r="R697" s="32"/>
      <c r="S697" s="32"/>
      <c r="T697" s="32"/>
      <c r="U697" s="29"/>
      <c r="V697" s="29"/>
      <c r="W697" s="24"/>
      <c r="X697" s="18"/>
      <c r="Y697" s="18"/>
      <c r="Z697" s="18"/>
      <c r="AA697" s="18"/>
      <c r="AB697" s="18"/>
      <c r="AC697" s="18"/>
      <c r="AD697" s="18"/>
      <c r="AE697" s="19"/>
      <c r="AF697" s="20"/>
      <c r="AG697" s="21"/>
      <c r="AH697" s="21"/>
      <c r="AI697" s="19"/>
      <c r="AJ697" s="29"/>
      <c r="AK697" s="29"/>
      <c r="AL697" s="29"/>
    </row>
    <row r="698" spans="2:38" s="28" customFormat="1" x14ac:dyDescent="0.3">
      <c r="B698" s="24"/>
      <c r="C698" s="37"/>
      <c r="D698" s="37"/>
      <c r="E698" s="37"/>
      <c r="F698" s="35"/>
      <c r="G698" s="35"/>
      <c r="H698" s="35"/>
      <c r="I698" s="35"/>
      <c r="J698" s="35"/>
      <c r="K698" s="35"/>
      <c r="L698" s="35"/>
      <c r="M698" s="31"/>
      <c r="N698" s="32"/>
      <c r="O698" s="32"/>
      <c r="P698" s="32"/>
      <c r="Q698" s="32"/>
      <c r="R698" s="32"/>
      <c r="S698" s="32"/>
      <c r="T698" s="32"/>
      <c r="U698" s="29"/>
      <c r="V698" s="29"/>
      <c r="W698" s="24"/>
      <c r="X698" s="18"/>
      <c r="Y698" s="18"/>
      <c r="Z698" s="18"/>
      <c r="AA698" s="18"/>
      <c r="AB698" s="18"/>
      <c r="AC698" s="18"/>
      <c r="AD698" s="18"/>
      <c r="AE698" s="19"/>
      <c r="AF698" s="20"/>
      <c r="AG698" s="21"/>
      <c r="AH698" s="21"/>
      <c r="AI698" s="19"/>
      <c r="AJ698" s="29"/>
      <c r="AK698" s="29"/>
      <c r="AL698" s="29"/>
    </row>
    <row r="699" spans="2:38" s="28" customFormat="1" x14ac:dyDescent="0.3">
      <c r="B699" s="24"/>
      <c r="C699" s="37"/>
      <c r="D699" s="37"/>
      <c r="E699" s="37"/>
      <c r="F699" s="35"/>
      <c r="G699" s="35"/>
      <c r="H699" s="35"/>
      <c r="I699" s="35"/>
      <c r="J699" s="35"/>
      <c r="K699" s="35"/>
      <c r="L699" s="35"/>
      <c r="M699" s="31"/>
      <c r="N699" s="32"/>
      <c r="O699" s="32"/>
      <c r="P699" s="32"/>
      <c r="Q699" s="32"/>
      <c r="R699" s="32"/>
      <c r="S699" s="32"/>
      <c r="T699" s="32"/>
      <c r="U699" s="29"/>
      <c r="V699" s="29"/>
      <c r="W699" s="24"/>
      <c r="X699" s="18"/>
      <c r="Y699" s="18"/>
      <c r="Z699" s="18"/>
      <c r="AA699" s="18"/>
      <c r="AB699" s="18"/>
      <c r="AC699" s="18"/>
      <c r="AD699" s="18"/>
      <c r="AE699" s="19"/>
      <c r="AF699" s="20"/>
      <c r="AG699" s="21"/>
      <c r="AH699" s="21"/>
      <c r="AI699" s="19"/>
      <c r="AJ699" s="29"/>
      <c r="AK699" s="29"/>
      <c r="AL699" s="29"/>
    </row>
    <row r="700" spans="2:38" s="28" customFormat="1" x14ac:dyDescent="0.3">
      <c r="B700" s="24"/>
      <c r="C700" s="37"/>
      <c r="D700" s="37"/>
      <c r="E700" s="37"/>
      <c r="F700" s="35"/>
      <c r="G700" s="35"/>
      <c r="H700" s="35"/>
      <c r="I700" s="35"/>
      <c r="J700" s="35"/>
      <c r="K700" s="35"/>
      <c r="L700" s="35"/>
      <c r="M700" s="31"/>
      <c r="N700" s="32"/>
      <c r="O700" s="32"/>
      <c r="P700" s="32"/>
      <c r="Q700" s="32"/>
      <c r="R700" s="32"/>
      <c r="S700" s="32"/>
      <c r="T700" s="32"/>
      <c r="U700" s="29"/>
      <c r="V700" s="29"/>
      <c r="W700" s="24"/>
      <c r="X700" s="18"/>
      <c r="Y700" s="18"/>
      <c r="Z700" s="18"/>
      <c r="AA700" s="18"/>
      <c r="AB700" s="18"/>
      <c r="AC700" s="18"/>
      <c r="AD700" s="18"/>
      <c r="AE700" s="19"/>
      <c r="AF700" s="20"/>
      <c r="AG700" s="21"/>
      <c r="AH700" s="21"/>
      <c r="AI700" s="19"/>
      <c r="AJ700" s="29"/>
      <c r="AK700" s="29"/>
      <c r="AL700" s="29"/>
    </row>
    <row r="701" spans="2:38" s="28" customFormat="1" x14ac:dyDescent="0.3">
      <c r="B701" s="24"/>
      <c r="C701" s="37"/>
      <c r="D701" s="37"/>
      <c r="E701" s="37"/>
      <c r="F701" s="35"/>
      <c r="G701" s="35"/>
      <c r="H701" s="35"/>
      <c r="I701" s="35"/>
      <c r="J701" s="35"/>
      <c r="K701" s="35"/>
      <c r="L701" s="35"/>
      <c r="M701" s="31"/>
      <c r="N701" s="32"/>
      <c r="O701" s="32"/>
      <c r="P701" s="32"/>
      <c r="Q701" s="32"/>
      <c r="R701" s="32"/>
      <c r="S701" s="32"/>
      <c r="T701" s="32"/>
      <c r="U701" s="29"/>
      <c r="V701" s="29"/>
      <c r="W701" s="24"/>
      <c r="X701" s="18"/>
      <c r="Y701" s="18"/>
      <c r="Z701" s="18"/>
      <c r="AA701" s="18"/>
      <c r="AB701" s="18"/>
      <c r="AC701" s="18"/>
      <c r="AD701" s="18"/>
      <c r="AE701" s="19"/>
      <c r="AF701" s="20"/>
      <c r="AG701" s="21"/>
      <c r="AH701" s="21"/>
      <c r="AI701" s="19"/>
      <c r="AJ701" s="29"/>
      <c r="AK701" s="29"/>
      <c r="AL701" s="29"/>
    </row>
    <row r="702" spans="2:38" s="28" customFormat="1" x14ac:dyDescent="0.3">
      <c r="B702" s="24"/>
      <c r="C702" s="37"/>
      <c r="D702" s="37"/>
      <c r="E702" s="37"/>
      <c r="F702" s="35"/>
      <c r="G702" s="35"/>
      <c r="H702" s="35"/>
      <c r="I702" s="35"/>
      <c r="J702" s="35"/>
      <c r="K702" s="35"/>
      <c r="L702" s="35"/>
      <c r="M702" s="31"/>
      <c r="N702" s="32"/>
      <c r="O702" s="32"/>
      <c r="P702" s="32"/>
      <c r="Q702" s="32"/>
      <c r="R702" s="32"/>
      <c r="S702" s="32"/>
      <c r="T702" s="32"/>
      <c r="U702" s="29"/>
      <c r="V702" s="29"/>
      <c r="W702" s="24"/>
      <c r="X702" s="18"/>
      <c r="Y702" s="18"/>
      <c r="Z702" s="18"/>
      <c r="AA702" s="18"/>
      <c r="AB702" s="18"/>
      <c r="AC702" s="18"/>
      <c r="AD702" s="18"/>
      <c r="AE702" s="19"/>
      <c r="AF702" s="20"/>
      <c r="AG702" s="21"/>
      <c r="AH702" s="21"/>
      <c r="AI702" s="19"/>
      <c r="AJ702" s="29"/>
      <c r="AK702" s="29"/>
      <c r="AL702" s="29"/>
    </row>
    <row r="703" spans="2:38" s="28" customFormat="1" x14ac:dyDescent="0.3">
      <c r="B703" s="24"/>
      <c r="C703" s="37"/>
      <c r="D703" s="37"/>
      <c r="E703" s="37"/>
      <c r="F703" s="35"/>
      <c r="G703" s="35"/>
      <c r="H703" s="35"/>
      <c r="I703" s="35"/>
      <c r="J703" s="35"/>
      <c r="K703" s="35"/>
      <c r="L703" s="35"/>
      <c r="M703" s="31"/>
      <c r="N703" s="32"/>
      <c r="O703" s="32"/>
      <c r="P703" s="32"/>
      <c r="Q703" s="32"/>
      <c r="R703" s="32"/>
      <c r="S703" s="32"/>
      <c r="T703" s="32"/>
      <c r="U703" s="29"/>
      <c r="V703" s="29"/>
      <c r="W703" s="24"/>
      <c r="X703" s="18"/>
      <c r="Y703" s="18"/>
      <c r="Z703" s="18"/>
      <c r="AA703" s="18"/>
      <c r="AB703" s="18"/>
      <c r="AC703" s="18"/>
      <c r="AD703" s="18"/>
      <c r="AE703" s="19"/>
      <c r="AF703" s="20"/>
      <c r="AG703" s="21"/>
      <c r="AH703" s="21"/>
      <c r="AI703" s="19"/>
      <c r="AJ703" s="29"/>
      <c r="AK703" s="29"/>
      <c r="AL703" s="29"/>
    </row>
    <row r="704" spans="2:38" s="28" customFormat="1" x14ac:dyDescent="0.3">
      <c r="B704" s="24"/>
      <c r="C704" s="37"/>
      <c r="D704" s="37"/>
      <c r="E704" s="37"/>
      <c r="F704" s="35"/>
      <c r="G704" s="35"/>
      <c r="H704" s="35"/>
      <c r="I704" s="35"/>
      <c r="J704" s="35"/>
      <c r="K704" s="35"/>
      <c r="L704" s="35"/>
      <c r="M704" s="31"/>
      <c r="N704" s="32"/>
      <c r="O704" s="32"/>
      <c r="P704" s="32"/>
      <c r="Q704" s="32"/>
      <c r="R704" s="32"/>
      <c r="S704" s="32"/>
      <c r="T704" s="32"/>
      <c r="U704" s="29"/>
      <c r="V704" s="29"/>
      <c r="W704" s="24"/>
      <c r="X704" s="18"/>
      <c r="Y704" s="18"/>
      <c r="Z704" s="18"/>
      <c r="AA704" s="18"/>
      <c r="AB704" s="18"/>
      <c r="AC704" s="18"/>
      <c r="AD704" s="18"/>
      <c r="AE704" s="19"/>
      <c r="AF704" s="20"/>
      <c r="AG704" s="21"/>
      <c r="AH704" s="21"/>
      <c r="AI704" s="19"/>
      <c r="AJ704" s="29"/>
      <c r="AK704" s="29"/>
      <c r="AL704" s="29"/>
    </row>
    <row r="705" spans="2:38" s="28" customFormat="1" x14ac:dyDescent="0.3">
      <c r="B705" s="24"/>
      <c r="C705" s="37"/>
      <c r="D705" s="37"/>
      <c r="E705" s="37"/>
      <c r="F705" s="35"/>
      <c r="G705" s="35"/>
      <c r="H705" s="35"/>
      <c r="I705" s="35"/>
      <c r="J705" s="35"/>
      <c r="K705" s="35"/>
      <c r="L705" s="35"/>
      <c r="M705" s="31"/>
      <c r="N705" s="32"/>
      <c r="O705" s="32"/>
      <c r="P705" s="32"/>
      <c r="Q705" s="32"/>
      <c r="R705" s="32"/>
      <c r="S705" s="32"/>
      <c r="T705" s="32"/>
      <c r="U705" s="29"/>
      <c r="V705" s="29"/>
      <c r="W705" s="24"/>
      <c r="X705" s="18"/>
      <c r="Y705" s="18"/>
      <c r="Z705" s="18"/>
      <c r="AA705" s="18"/>
      <c r="AB705" s="18"/>
      <c r="AC705" s="18"/>
      <c r="AD705" s="18"/>
      <c r="AE705" s="19"/>
      <c r="AF705" s="20"/>
      <c r="AG705" s="21"/>
      <c r="AH705" s="21"/>
      <c r="AI705" s="19"/>
      <c r="AJ705" s="29"/>
      <c r="AK705" s="29"/>
      <c r="AL705" s="29"/>
    </row>
    <row r="706" spans="2:38" s="28" customFormat="1" x14ac:dyDescent="0.3">
      <c r="B706" s="24"/>
      <c r="C706" s="37"/>
      <c r="D706" s="37"/>
      <c r="E706" s="37"/>
      <c r="F706" s="35"/>
      <c r="G706" s="35"/>
      <c r="H706" s="35"/>
      <c r="I706" s="35"/>
      <c r="J706" s="35"/>
      <c r="K706" s="35"/>
      <c r="L706" s="35"/>
      <c r="M706" s="31"/>
      <c r="N706" s="32"/>
      <c r="O706" s="32"/>
      <c r="P706" s="32"/>
      <c r="Q706" s="32"/>
      <c r="R706" s="32"/>
      <c r="S706" s="32"/>
      <c r="T706" s="32"/>
      <c r="U706" s="29"/>
      <c r="V706" s="29"/>
      <c r="W706" s="24"/>
      <c r="X706" s="18"/>
      <c r="Y706" s="18"/>
      <c r="Z706" s="18"/>
      <c r="AA706" s="18"/>
      <c r="AB706" s="18"/>
      <c r="AC706" s="18"/>
      <c r="AD706" s="18"/>
      <c r="AE706" s="19"/>
      <c r="AF706" s="20"/>
      <c r="AG706" s="21"/>
      <c r="AH706" s="21"/>
      <c r="AI706" s="19"/>
      <c r="AJ706" s="29"/>
      <c r="AK706" s="29"/>
      <c r="AL706" s="29"/>
    </row>
    <row r="707" spans="2:38" s="28" customFormat="1" x14ac:dyDescent="0.3">
      <c r="B707" s="24"/>
      <c r="C707" s="37"/>
      <c r="D707" s="37"/>
      <c r="E707" s="37"/>
      <c r="F707" s="35"/>
      <c r="G707" s="35"/>
      <c r="H707" s="35"/>
      <c r="I707" s="35"/>
      <c r="J707" s="35"/>
      <c r="K707" s="35"/>
      <c r="L707" s="35"/>
      <c r="M707" s="31"/>
      <c r="N707" s="32"/>
      <c r="O707" s="32"/>
      <c r="P707" s="32"/>
      <c r="Q707" s="32"/>
      <c r="R707" s="32"/>
      <c r="S707" s="32"/>
      <c r="T707" s="32"/>
      <c r="U707" s="29"/>
      <c r="V707" s="29"/>
      <c r="W707" s="24"/>
      <c r="X707" s="18"/>
      <c r="Y707" s="18"/>
      <c r="Z707" s="18"/>
      <c r="AA707" s="18"/>
      <c r="AB707" s="18"/>
      <c r="AC707" s="18"/>
      <c r="AD707" s="18"/>
      <c r="AE707" s="19"/>
      <c r="AF707" s="20"/>
      <c r="AG707" s="21"/>
      <c r="AH707" s="21"/>
      <c r="AI707" s="19"/>
      <c r="AJ707" s="29"/>
      <c r="AK707" s="29"/>
      <c r="AL707" s="29"/>
    </row>
    <row r="708" spans="2:38" s="28" customFormat="1" x14ac:dyDescent="0.3">
      <c r="B708" s="24"/>
      <c r="C708" s="37"/>
      <c r="D708" s="37"/>
      <c r="E708" s="37"/>
      <c r="F708" s="35"/>
      <c r="G708" s="35"/>
      <c r="H708" s="35"/>
      <c r="I708" s="35"/>
      <c r="J708" s="35"/>
      <c r="K708" s="35"/>
      <c r="L708" s="35"/>
      <c r="M708" s="31"/>
      <c r="N708" s="32"/>
      <c r="O708" s="32"/>
      <c r="P708" s="32"/>
      <c r="Q708" s="32"/>
      <c r="R708" s="32"/>
      <c r="S708" s="32"/>
      <c r="T708" s="32"/>
      <c r="U708" s="29"/>
      <c r="V708" s="29"/>
      <c r="W708" s="24"/>
      <c r="X708" s="18"/>
      <c r="Y708" s="18"/>
      <c r="Z708" s="18"/>
      <c r="AA708" s="18"/>
      <c r="AB708" s="18"/>
      <c r="AC708" s="18"/>
      <c r="AD708" s="18"/>
      <c r="AE708" s="19"/>
      <c r="AF708" s="20"/>
      <c r="AG708" s="21"/>
      <c r="AH708" s="21"/>
      <c r="AI708" s="19"/>
      <c r="AJ708" s="29"/>
      <c r="AK708" s="29"/>
      <c r="AL708" s="29"/>
    </row>
    <row r="709" spans="2:38" s="28" customFormat="1" x14ac:dyDescent="0.3">
      <c r="B709" s="24"/>
      <c r="C709" s="37"/>
      <c r="D709" s="37"/>
      <c r="E709" s="37"/>
      <c r="F709" s="35"/>
      <c r="G709" s="35"/>
      <c r="H709" s="35"/>
      <c r="I709" s="35"/>
      <c r="J709" s="35"/>
      <c r="K709" s="35"/>
      <c r="L709" s="35"/>
      <c r="M709" s="31"/>
      <c r="N709" s="32"/>
      <c r="O709" s="32"/>
      <c r="P709" s="32"/>
      <c r="Q709" s="32"/>
      <c r="R709" s="32"/>
      <c r="S709" s="32"/>
      <c r="T709" s="32"/>
      <c r="U709" s="29"/>
      <c r="V709" s="29"/>
      <c r="W709" s="24"/>
      <c r="X709" s="18"/>
      <c r="Y709" s="18"/>
      <c r="Z709" s="18"/>
      <c r="AA709" s="18"/>
      <c r="AB709" s="18"/>
      <c r="AC709" s="18"/>
      <c r="AD709" s="18"/>
      <c r="AE709" s="19"/>
      <c r="AF709" s="20"/>
      <c r="AG709" s="21"/>
      <c r="AH709" s="21"/>
      <c r="AI709" s="19"/>
      <c r="AJ709" s="29"/>
      <c r="AK709" s="29"/>
      <c r="AL709" s="29"/>
    </row>
    <row r="710" spans="2:38" s="28" customFormat="1" x14ac:dyDescent="0.3">
      <c r="B710" s="24"/>
      <c r="C710" s="37"/>
      <c r="D710" s="37"/>
      <c r="E710" s="37"/>
      <c r="F710" s="35"/>
      <c r="G710" s="35"/>
      <c r="H710" s="35"/>
      <c r="I710" s="35"/>
      <c r="J710" s="35"/>
      <c r="K710" s="35"/>
      <c r="L710" s="35"/>
      <c r="M710" s="31"/>
      <c r="N710" s="32"/>
      <c r="O710" s="32"/>
      <c r="P710" s="32"/>
      <c r="Q710" s="32"/>
      <c r="R710" s="32"/>
      <c r="S710" s="32"/>
      <c r="T710" s="32"/>
      <c r="U710" s="29"/>
      <c r="V710" s="29"/>
      <c r="W710" s="24"/>
      <c r="X710" s="18"/>
      <c r="Y710" s="18"/>
      <c r="Z710" s="18"/>
      <c r="AA710" s="18"/>
      <c r="AB710" s="18"/>
      <c r="AC710" s="18"/>
      <c r="AD710" s="18"/>
      <c r="AE710" s="19"/>
      <c r="AF710" s="20"/>
      <c r="AG710" s="21"/>
      <c r="AH710" s="21"/>
      <c r="AI710" s="19"/>
      <c r="AJ710" s="29"/>
      <c r="AK710" s="29"/>
      <c r="AL710" s="29"/>
    </row>
    <row r="711" spans="2:38" s="28" customFormat="1" x14ac:dyDescent="0.3">
      <c r="B711" s="24"/>
      <c r="C711" s="37"/>
      <c r="D711" s="37"/>
      <c r="E711" s="37"/>
      <c r="F711" s="35"/>
      <c r="G711" s="35"/>
      <c r="H711" s="35"/>
      <c r="I711" s="35"/>
      <c r="J711" s="35"/>
      <c r="K711" s="35"/>
      <c r="L711" s="35"/>
      <c r="M711" s="31"/>
      <c r="N711" s="32"/>
      <c r="O711" s="32"/>
      <c r="P711" s="32"/>
      <c r="Q711" s="32"/>
      <c r="R711" s="32"/>
      <c r="S711" s="32"/>
      <c r="T711" s="32"/>
      <c r="U711" s="29"/>
      <c r="V711" s="29"/>
      <c r="W711" s="24"/>
      <c r="X711" s="18"/>
      <c r="Y711" s="18"/>
      <c r="Z711" s="18"/>
      <c r="AA711" s="18"/>
      <c r="AB711" s="18"/>
      <c r="AC711" s="18"/>
      <c r="AD711" s="18"/>
      <c r="AE711" s="19"/>
      <c r="AF711" s="20"/>
      <c r="AG711" s="21"/>
      <c r="AH711" s="21"/>
      <c r="AI711" s="19"/>
      <c r="AJ711" s="29"/>
      <c r="AK711" s="29"/>
      <c r="AL711" s="29"/>
    </row>
    <row r="712" spans="2:38" s="28" customFormat="1" x14ac:dyDescent="0.3">
      <c r="B712" s="24"/>
      <c r="C712" s="37"/>
      <c r="D712" s="37"/>
      <c r="E712" s="37"/>
      <c r="F712" s="35"/>
      <c r="G712" s="35"/>
      <c r="H712" s="35"/>
      <c r="I712" s="35"/>
      <c r="J712" s="35"/>
      <c r="K712" s="35"/>
      <c r="L712" s="35"/>
      <c r="M712" s="31"/>
      <c r="N712" s="32"/>
      <c r="O712" s="32"/>
      <c r="P712" s="32"/>
      <c r="Q712" s="32"/>
      <c r="R712" s="32"/>
      <c r="S712" s="32"/>
      <c r="T712" s="32"/>
      <c r="U712" s="29"/>
      <c r="V712" s="29"/>
      <c r="W712" s="24"/>
      <c r="X712" s="18"/>
      <c r="Y712" s="18"/>
      <c r="Z712" s="18"/>
      <c r="AA712" s="18"/>
      <c r="AB712" s="18"/>
      <c r="AC712" s="18"/>
      <c r="AD712" s="18"/>
      <c r="AE712" s="19"/>
      <c r="AF712" s="20"/>
      <c r="AG712" s="21"/>
      <c r="AH712" s="21"/>
      <c r="AI712" s="19"/>
      <c r="AJ712" s="29"/>
      <c r="AK712" s="29"/>
      <c r="AL712" s="29"/>
    </row>
    <row r="713" spans="2:38" s="28" customFormat="1" x14ac:dyDescent="0.3">
      <c r="B713" s="24"/>
      <c r="C713" s="37"/>
      <c r="D713" s="37"/>
      <c r="E713" s="37"/>
      <c r="F713" s="35"/>
      <c r="G713" s="35"/>
      <c r="H713" s="35"/>
      <c r="I713" s="35"/>
      <c r="J713" s="35"/>
      <c r="K713" s="35"/>
      <c r="L713" s="35"/>
      <c r="M713" s="31"/>
      <c r="N713" s="32"/>
      <c r="O713" s="32"/>
      <c r="P713" s="32"/>
      <c r="Q713" s="32"/>
      <c r="R713" s="32"/>
      <c r="S713" s="32"/>
      <c r="T713" s="32"/>
      <c r="U713" s="29"/>
      <c r="V713" s="29"/>
      <c r="W713" s="24"/>
      <c r="X713" s="18"/>
      <c r="Y713" s="18"/>
      <c r="Z713" s="18"/>
      <c r="AA713" s="18"/>
      <c r="AB713" s="18"/>
      <c r="AC713" s="18"/>
      <c r="AD713" s="18"/>
      <c r="AE713" s="19"/>
      <c r="AF713" s="20"/>
      <c r="AG713" s="21"/>
      <c r="AH713" s="21"/>
      <c r="AI713" s="19"/>
      <c r="AJ713" s="29"/>
      <c r="AK713" s="29"/>
      <c r="AL713" s="29"/>
    </row>
    <row r="714" spans="2:38" s="28" customFormat="1" x14ac:dyDescent="0.3">
      <c r="B714" s="24"/>
      <c r="C714" s="37"/>
      <c r="D714" s="37"/>
      <c r="E714" s="37"/>
      <c r="F714" s="35"/>
      <c r="G714" s="35"/>
      <c r="H714" s="35"/>
      <c r="I714" s="35"/>
      <c r="J714" s="35"/>
      <c r="K714" s="35"/>
      <c r="L714" s="35"/>
      <c r="M714" s="31"/>
      <c r="N714" s="32"/>
      <c r="O714" s="32"/>
      <c r="P714" s="32"/>
      <c r="Q714" s="32"/>
      <c r="R714" s="32"/>
      <c r="S714" s="32"/>
      <c r="T714" s="32"/>
      <c r="U714" s="29"/>
      <c r="V714" s="29"/>
      <c r="W714" s="24"/>
      <c r="X714" s="18"/>
      <c r="Y714" s="18"/>
      <c r="Z714" s="18"/>
      <c r="AA714" s="18"/>
      <c r="AB714" s="18"/>
      <c r="AC714" s="18"/>
      <c r="AD714" s="18"/>
      <c r="AE714" s="19"/>
      <c r="AF714" s="20"/>
      <c r="AG714" s="21"/>
      <c r="AH714" s="21"/>
      <c r="AI714" s="19"/>
      <c r="AJ714" s="29"/>
      <c r="AK714" s="29"/>
      <c r="AL714" s="29"/>
    </row>
    <row r="715" spans="2:38" s="28" customFormat="1" x14ac:dyDescent="0.3">
      <c r="B715" s="24"/>
      <c r="C715" s="37"/>
      <c r="D715" s="37"/>
      <c r="E715" s="37"/>
      <c r="F715" s="35"/>
      <c r="G715" s="35"/>
      <c r="H715" s="35"/>
      <c r="I715" s="35"/>
      <c r="J715" s="35"/>
      <c r="K715" s="35"/>
      <c r="L715" s="35"/>
      <c r="M715" s="31"/>
      <c r="N715" s="32"/>
      <c r="O715" s="32"/>
      <c r="P715" s="32"/>
      <c r="Q715" s="32"/>
      <c r="R715" s="32"/>
      <c r="S715" s="32"/>
      <c r="T715" s="32"/>
      <c r="U715" s="29"/>
      <c r="V715" s="29"/>
      <c r="W715" s="24"/>
      <c r="X715" s="18"/>
      <c r="Y715" s="18"/>
      <c r="Z715" s="18"/>
      <c r="AA715" s="18"/>
      <c r="AB715" s="18"/>
      <c r="AC715" s="18"/>
      <c r="AD715" s="18"/>
      <c r="AE715" s="19"/>
      <c r="AF715" s="20"/>
      <c r="AG715" s="21"/>
      <c r="AH715" s="21"/>
      <c r="AI715" s="19"/>
      <c r="AJ715" s="29"/>
      <c r="AK715" s="29"/>
      <c r="AL715" s="29"/>
    </row>
    <row r="716" spans="2:38" s="28" customFormat="1" x14ac:dyDescent="0.3">
      <c r="B716" s="24"/>
      <c r="C716" s="37"/>
      <c r="D716" s="37"/>
      <c r="E716" s="37"/>
      <c r="F716" s="35"/>
      <c r="G716" s="35"/>
      <c r="H716" s="35"/>
      <c r="I716" s="35"/>
      <c r="J716" s="35"/>
      <c r="K716" s="35"/>
      <c r="L716" s="35"/>
      <c r="M716" s="31"/>
      <c r="N716" s="32"/>
      <c r="O716" s="32"/>
      <c r="P716" s="32"/>
      <c r="Q716" s="32"/>
      <c r="R716" s="32"/>
      <c r="S716" s="32"/>
      <c r="T716" s="32"/>
      <c r="U716" s="29"/>
      <c r="V716" s="29"/>
      <c r="W716" s="24"/>
      <c r="X716" s="18"/>
      <c r="Y716" s="18"/>
      <c r="Z716" s="18"/>
      <c r="AA716" s="18"/>
      <c r="AB716" s="18"/>
      <c r="AC716" s="18"/>
      <c r="AD716" s="18"/>
      <c r="AE716" s="19"/>
      <c r="AF716" s="20"/>
      <c r="AG716" s="21"/>
      <c r="AH716" s="21"/>
      <c r="AI716" s="19"/>
      <c r="AJ716" s="29"/>
      <c r="AK716" s="29"/>
      <c r="AL716" s="29"/>
    </row>
    <row r="717" spans="2:38" s="28" customFormat="1" x14ac:dyDescent="0.3">
      <c r="B717" s="24"/>
      <c r="C717" s="37"/>
      <c r="D717" s="37"/>
      <c r="E717" s="37"/>
      <c r="F717" s="35"/>
      <c r="G717" s="35"/>
      <c r="H717" s="35"/>
      <c r="I717" s="35"/>
      <c r="J717" s="35"/>
      <c r="K717" s="35"/>
      <c r="L717" s="35"/>
      <c r="M717" s="31"/>
      <c r="N717" s="32"/>
      <c r="O717" s="32"/>
      <c r="P717" s="32"/>
      <c r="Q717" s="32"/>
      <c r="R717" s="32"/>
      <c r="S717" s="32"/>
      <c r="T717" s="32"/>
      <c r="U717" s="29"/>
      <c r="V717" s="29"/>
      <c r="W717" s="24"/>
      <c r="X717" s="18"/>
      <c r="Y717" s="18"/>
      <c r="Z717" s="18"/>
      <c r="AA717" s="18"/>
      <c r="AB717" s="18"/>
      <c r="AC717" s="18"/>
      <c r="AD717" s="18"/>
      <c r="AE717" s="19"/>
      <c r="AF717" s="20"/>
      <c r="AG717" s="21"/>
      <c r="AH717" s="21"/>
      <c r="AI717" s="19"/>
      <c r="AJ717" s="29"/>
      <c r="AK717" s="29"/>
      <c r="AL717" s="29"/>
    </row>
    <row r="718" spans="2:38" s="28" customFormat="1" x14ac:dyDescent="0.3">
      <c r="B718" s="24"/>
      <c r="C718" s="37"/>
      <c r="D718" s="37"/>
      <c r="E718" s="37"/>
      <c r="F718" s="35"/>
      <c r="G718" s="35"/>
      <c r="H718" s="35"/>
      <c r="I718" s="35"/>
      <c r="J718" s="35"/>
      <c r="K718" s="35"/>
      <c r="L718" s="35"/>
      <c r="M718" s="31"/>
      <c r="N718" s="32"/>
      <c r="O718" s="32"/>
      <c r="P718" s="32"/>
      <c r="Q718" s="32"/>
      <c r="R718" s="32"/>
      <c r="S718" s="32"/>
      <c r="T718" s="32"/>
      <c r="U718" s="29"/>
      <c r="V718" s="29"/>
      <c r="W718" s="24"/>
      <c r="X718" s="18"/>
      <c r="Y718" s="18"/>
      <c r="Z718" s="18"/>
      <c r="AA718" s="18"/>
      <c r="AB718" s="18"/>
      <c r="AC718" s="18"/>
      <c r="AD718" s="18"/>
      <c r="AE718" s="19"/>
      <c r="AF718" s="20"/>
      <c r="AG718" s="21"/>
      <c r="AH718" s="21"/>
      <c r="AI718" s="19"/>
      <c r="AJ718" s="29"/>
      <c r="AK718" s="29"/>
      <c r="AL718" s="29"/>
    </row>
    <row r="719" spans="2:38" s="28" customFormat="1" x14ac:dyDescent="0.3">
      <c r="B719" s="24"/>
      <c r="C719" s="37"/>
      <c r="D719" s="37"/>
      <c r="E719" s="37"/>
      <c r="F719" s="35"/>
      <c r="G719" s="35"/>
      <c r="H719" s="35"/>
      <c r="I719" s="35"/>
      <c r="J719" s="35"/>
      <c r="K719" s="35"/>
      <c r="L719" s="35"/>
      <c r="M719" s="31"/>
      <c r="N719" s="32"/>
      <c r="O719" s="32"/>
      <c r="P719" s="32"/>
      <c r="Q719" s="32"/>
      <c r="R719" s="32"/>
      <c r="S719" s="32"/>
      <c r="T719" s="32"/>
      <c r="U719" s="29"/>
      <c r="V719" s="29"/>
      <c r="W719" s="24"/>
      <c r="X719" s="18"/>
      <c r="Y719" s="18"/>
      <c r="Z719" s="18"/>
      <c r="AA719" s="18"/>
      <c r="AB719" s="18"/>
      <c r="AC719" s="18"/>
      <c r="AD719" s="18"/>
      <c r="AE719" s="19"/>
      <c r="AF719" s="20"/>
      <c r="AG719" s="21"/>
      <c r="AH719" s="21"/>
      <c r="AI719" s="19"/>
      <c r="AJ719" s="29"/>
      <c r="AK719" s="29"/>
      <c r="AL719" s="29"/>
    </row>
    <row r="720" spans="2:38" s="28" customFormat="1" x14ac:dyDescent="0.3">
      <c r="B720" s="24"/>
      <c r="C720" s="37"/>
      <c r="D720" s="37"/>
      <c r="E720" s="37"/>
      <c r="F720" s="35"/>
      <c r="G720" s="35"/>
      <c r="H720" s="35"/>
      <c r="I720" s="35"/>
      <c r="J720" s="35"/>
      <c r="K720" s="35"/>
      <c r="L720" s="35"/>
      <c r="M720" s="31"/>
      <c r="N720" s="32"/>
      <c r="O720" s="32"/>
      <c r="P720" s="32"/>
      <c r="Q720" s="32"/>
      <c r="R720" s="32"/>
      <c r="S720" s="32"/>
      <c r="T720" s="32"/>
      <c r="U720" s="29"/>
      <c r="V720" s="29"/>
      <c r="W720" s="24"/>
      <c r="X720" s="18"/>
      <c r="Y720" s="18"/>
      <c r="Z720" s="18"/>
      <c r="AA720" s="18"/>
      <c r="AB720" s="18"/>
      <c r="AC720" s="18"/>
      <c r="AD720" s="18"/>
      <c r="AE720" s="19"/>
      <c r="AF720" s="20"/>
      <c r="AG720" s="21"/>
      <c r="AH720" s="21"/>
      <c r="AI720" s="19"/>
      <c r="AJ720" s="29"/>
      <c r="AK720" s="29"/>
      <c r="AL720" s="29"/>
    </row>
    <row r="721" spans="2:38" s="28" customFormat="1" x14ac:dyDescent="0.3">
      <c r="B721" s="24"/>
      <c r="C721" s="37"/>
      <c r="D721" s="37"/>
      <c r="E721" s="37"/>
      <c r="F721" s="35"/>
      <c r="G721" s="35"/>
      <c r="H721" s="35"/>
      <c r="I721" s="35"/>
      <c r="J721" s="35"/>
      <c r="K721" s="35"/>
      <c r="L721" s="35"/>
      <c r="M721" s="31"/>
      <c r="N721" s="32"/>
      <c r="O721" s="32"/>
      <c r="P721" s="32"/>
      <c r="Q721" s="32"/>
      <c r="R721" s="32"/>
      <c r="S721" s="32"/>
      <c r="T721" s="32"/>
      <c r="U721" s="29"/>
      <c r="V721" s="29"/>
      <c r="W721" s="24"/>
      <c r="X721" s="18"/>
      <c r="Y721" s="18"/>
      <c r="Z721" s="18"/>
      <c r="AA721" s="18"/>
      <c r="AB721" s="18"/>
      <c r="AC721" s="18"/>
      <c r="AD721" s="18"/>
      <c r="AE721" s="19"/>
      <c r="AF721" s="20"/>
      <c r="AG721" s="21"/>
      <c r="AH721" s="21"/>
      <c r="AI721" s="19"/>
      <c r="AJ721" s="29"/>
      <c r="AK721" s="29"/>
      <c r="AL721" s="29"/>
    </row>
    <row r="722" spans="2:38" s="28" customFormat="1" x14ac:dyDescent="0.3">
      <c r="B722" s="24"/>
      <c r="C722" s="37"/>
      <c r="D722" s="37"/>
      <c r="E722" s="37"/>
      <c r="F722" s="35"/>
      <c r="G722" s="35"/>
      <c r="H722" s="35"/>
      <c r="I722" s="35"/>
      <c r="J722" s="35"/>
      <c r="K722" s="35"/>
      <c r="L722" s="35"/>
      <c r="M722" s="31"/>
      <c r="N722" s="32"/>
      <c r="O722" s="32"/>
      <c r="P722" s="32"/>
      <c r="Q722" s="32"/>
      <c r="R722" s="32"/>
      <c r="S722" s="32"/>
      <c r="T722" s="32"/>
      <c r="U722" s="29"/>
      <c r="V722" s="29"/>
      <c r="W722" s="24"/>
      <c r="X722" s="18"/>
      <c r="Y722" s="18"/>
      <c r="Z722" s="18"/>
      <c r="AA722" s="18"/>
      <c r="AB722" s="18"/>
      <c r="AC722" s="18"/>
      <c r="AD722" s="18"/>
      <c r="AE722" s="19"/>
      <c r="AF722" s="20"/>
      <c r="AG722" s="21"/>
      <c r="AH722" s="21"/>
      <c r="AI722" s="19"/>
      <c r="AJ722" s="29"/>
      <c r="AK722" s="29"/>
      <c r="AL722" s="29"/>
    </row>
    <row r="723" spans="2:38" s="28" customFormat="1" x14ac:dyDescent="0.3">
      <c r="B723" s="24"/>
      <c r="C723" s="37"/>
      <c r="D723" s="37"/>
      <c r="E723" s="37"/>
      <c r="F723" s="35"/>
      <c r="G723" s="35"/>
      <c r="H723" s="35"/>
      <c r="I723" s="35"/>
      <c r="J723" s="35"/>
      <c r="K723" s="35"/>
      <c r="L723" s="35"/>
      <c r="M723" s="31"/>
      <c r="N723" s="32"/>
      <c r="O723" s="32"/>
      <c r="P723" s="32"/>
      <c r="Q723" s="32"/>
      <c r="R723" s="32"/>
      <c r="S723" s="32"/>
      <c r="T723" s="32"/>
      <c r="U723" s="29"/>
      <c r="V723" s="29"/>
      <c r="W723" s="24"/>
      <c r="X723" s="18"/>
      <c r="Y723" s="18"/>
      <c r="Z723" s="18"/>
      <c r="AA723" s="18"/>
      <c r="AB723" s="18"/>
      <c r="AC723" s="18"/>
      <c r="AD723" s="18"/>
      <c r="AE723" s="19"/>
      <c r="AF723" s="20"/>
      <c r="AG723" s="21"/>
      <c r="AH723" s="21"/>
      <c r="AI723" s="19"/>
      <c r="AJ723" s="29"/>
      <c r="AK723" s="29"/>
      <c r="AL723" s="29"/>
    </row>
    <row r="724" spans="2:38" s="28" customFormat="1" x14ac:dyDescent="0.3">
      <c r="B724" s="24"/>
      <c r="C724" s="37"/>
      <c r="D724" s="37"/>
      <c r="E724" s="37"/>
      <c r="F724" s="35"/>
      <c r="G724" s="35"/>
      <c r="H724" s="35"/>
      <c r="I724" s="35"/>
      <c r="J724" s="35"/>
      <c r="K724" s="35"/>
      <c r="L724" s="35"/>
      <c r="M724" s="31"/>
      <c r="N724" s="32"/>
      <c r="O724" s="32"/>
      <c r="P724" s="32"/>
      <c r="Q724" s="32"/>
      <c r="R724" s="32"/>
      <c r="S724" s="32"/>
      <c r="T724" s="32"/>
      <c r="U724" s="29"/>
      <c r="V724" s="29"/>
      <c r="W724" s="24"/>
      <c r="X724" s="18"/>
      <c r="Y724" s="18"/>
      <c r="Z724" s="18"/>
      <c r="AA724" s="18"/>
      <c r="AB724" s="18"/>
      <c r="AC724" s="18"/>
      <c r="AD724" s="18"/>
      <c r="AE724" s="19"/>
      <c r="AF724" s="20"/>
      <c r="AG724" s="21"/>
      <c r="AH724" s="21"/>
      <c r="AI724" s="19"/>
      <c r="AJ724" s="29"/>
      <c r="AK724" s="29"/>
      <c r="AL724" s="29"/>
    </row>
    <row r="725" spans="2:38" s="28" customFormat="1" x14ac:dyDescent="0.3">
      <c r="B725" s="24"/>
      <c r="C725" s="37"/>
      <c r="D725" s="37"/>
      <c r="E725" s="37"/>
      <c r="F725" s="35"/>
      <c r="G725" s="35"/>
      <c r="H725" s="35"/>
      <c r="I725" s="35"/>
      <c r="J725" s="35"/>
      <c r="K725" s="35"/>
      <c r="L725" s="35"/>
      <c r="M725" s="31"/>
      <c r="N725" s="32"/>
      <c r="O725" s="32"/>
      <c r="P725" s="32"/>
      <c r="Q725" s="32"/>
      <c r="R725" s="32"/>
      <c r="S725" s="32"/>
      <c r="T725" s="32"/>
      <c r="U725" s="29"/>
      <c r="V725" s="29"/>
      <c r="W725" s="24"/>
      <c r="X725" s="18"/>
      <c r="Y725" s="18"/>
      <c r="Z725" s="18"/>
      <c r="AA725" s="18"/>
      <c r="AB725" s="18"/>
      <c r="AC725" s="18"/>
      <c r="AD725" s="18"/>
      <c r="AE725" s="19"/>
      <c r="AF725" s="20"/>
      <c r="AG725" s="21"/>
      <c r="AH725" s="21"/>
      <c r="AI725" s="19"/>
      <c r="AJ725" s="29"/>
      <c r="AK725" s="29"/>
      <c r="AL725" s="29"/>
    </row>
    <row r="726" spans="2:38" s="28" customFormat="1" x14ac:dyDescent="0.3">
      <c r="B726" s="24"/>
      <c r="C726" s="37"/>
      <c r="D726" s="37"/>
      <c r="E726" s="37"/>
      <c r="F726" s="35"/>
      <c r="G726" s="35"/>
      <c r="H726" s="35"/>
      <c r="I726" s="35"/>
      <c r="J726" s="35"/>
      <c r="K726" s="35"/>
      <c r="L726" s="35"/>
      <c r="M726" s="31"/>
      <c r="N726" s="32"/>
      <c r="O726" s="32"/>
      <c r="P726" s="32"/>
      <c r="Q726" s="32"/>
      <c r="R726" s="32"/>
      <c r="S726" s="32"/>
      <c r="T726" s="32"/>
      <c r="U726" s="29"/>
      <c r="V726" s="29"/>
      <c r="W726" s="24"/>
      <c r="X726" s="18"/>
      <c r="Y726" s="18"/>
      <c r="Z726" s="18"/>
      <c r="AA726" s="18"/>
      <c r="AB726" s="18"/>
      <c r="AC726" s="18"/>
      <c r="AD726" s="18"/>
      <c r="AE726" s="19"/>
      <c r="AF726" s="20"/>
      <c r="AG726" s="21"/>
      <c r="AH726" s="21"/>
      <c r="AI726" s="19"/>
      <c r="AJ726" s="29"/>
      <c r="AK726" s="29"/>
      <c r="AL726" s="29"/>
    </row>
    <row r="727" spans="2:38" s="28" customFormat="1" x14ac:dyDescent="0.3">
      <c r="B727" s="24"/>
      <c r="C727" s="37"/>
      <c r="D727" s="37"/>
      <c r="E727" s="37"/>
      <c r="F727" s="35"/>
      <c r="G727" s="35"/>
      <c r="H727" s="35"/>
      <c r="I727" s="35"/>
      <c r="J727" s="35"/>
      <c r="K727" s="35"/>
      <c r="L727" s="35"/>
      <c r="M727" s="31"/>
      <c r="N727" s="32"/>
      <c r="O727" s="32"/>
      <c r="P727" s="32"/>
      <c r="Q727" s="32"/>
      <c r="R727" s="32"/>
      <c r="S727" s="32"/>
      <c r="T727" s="32"/>
      <c r="U727" s="29"/>
      <c r="V727" s="29"/>
      <c r="W727" s="24"/>
      <c r="X727" s="18"/>
      <c r="Y727" s="18"/>
      <c r="Z727" s="18"/>
      <c r="AA727" s="18"/>
      <c r="AB727" s="18"/>
      <c r="AC727" s="18"/>
      <c r="AD727" s="18"/>
      <c r="AE727" s="19"/>
      <c r="AF727" s="20"/>
      <c r="AG727" s="21"/>
      <c r="AH727" s="21"/>
      <c r="AI727" s="19"/>
      <c r="AJ727" s="29"/>
      <c r="AK727" s="29"/>
      <c r="AL727" s="29"/>
    </row>
    <row r="728" spans="2:38" s="28" customFormat="1" x14ac:dyDescent="0.3">
      <c r="B728" s="24"/>
      <c r="C728" s="37"/>
      <c r="D728" s="37"/>
      <c r="E728" s="37"/>
      <c r="F728" s="35"/>
      <c r="G728" s="35"/>
      <c r="H728" s="35"/>
      <c r="I728" s="35"/>
      <c r="J728" s="35"/>
      <c r="K728" s="35"/>
      <c r="L728" s="35"/>
      <c r="M728" s="31"/>
      <c r="N728" s="32"/>
      <c r="O728" s="32"/>
      <c r="P728" s="32"/>
      <c r="Q728" s="32"/>
      <c r="R728" s="32"/>
      <c r="S728" s="32"/>
      <c r="T728" s="32"/>
      <c r="U728" s="29"/>
      <c r="V728" s="29"/>
      <c r="W728" s="24"/>
      <c r="X728" s="18"/>
      <c r="Y728" s="18"/>
      <c r="Z728" s="18"/>
      <c r="AA728" s="18"/>
      <c r="AB728" s="18"/>
      <c r="AC728" s="18"/>
      <c r="AD728" s="18"/>
      <c r="AE728" s="19"/>
      <c r="AF728" s="20"/>
      <c r="AG728" s="21"/>
      <c r="AH728" s="21"/>
      <c r="AI728" s="19"/>
      <c r="AJ728" s="29"/>
      <c r="AK728" s="29"/>
      <c r="AL728" s="29"/>
    </row>
    <row r="729" spans="2:38" s="28" customFormat="1" x14ac:dyDescent="0.3">
      <c r="B729" s="24"/>
      <c r="C729" s="37"/>
      <c r="D729" s="37"/>
      <c r="E729" s="37"/>
      <c r="F729" s="35"/>
      <c r="G729" s="35"/>
      <c r="H729" s="35"/>
      <c r="I729" s="35"/>
      <c r="J729" s="35"/>
      <c r="K729" s="35"/>
      <c r="L729" s="35"/>
      <c r="M729" s="31"/>
      <c r="N729" s="32"/>
      <c r="O729" s="32"/>
      <c r="P729" s="32"/>
      <c r="Q729" s="32"/>
      <c r="R729" s="32"/>
      <c r="S729" s="32"/>
      <c r="T729" s="32"/>
      <c r="U729" s="29"/>
      <c r="V729" s="29"/>
      <c r="W729" s="24"/>
      <c r="X729" s="18"/>
      <c r="Y729" s="18"/>
      <c r="Z729" s="18"/>
      <c r="AA729" s="18"/>
      <c r="AB729" s="18"/>
      <c r="AC729" s="18"/>
      <c r="AD729" s="18"/>
      <c r="AE729" s="19"/>
      <c r="AF729" s="20"/>
      <c r="AG729" s="21"/>
      <c r="AH729" s="21"/>
      <c r="AI729" s="19"/>
      <c r="AJ729" s="29"/>
      <c r="AK729" s="29"/>
      <c r="AL729" s="29"/>
    </row>
    <row r="730" spans="2:38" s="28" customFormat="1" x14ac:dyDescent="0.3">
      <c r="B730" s="24"/>
      <c r="C730" s="37"/>
      <c r="D730" s="37"/>
      <c r="E730" s="37"/>
      <c r="F730" s="35"/>
      <c r="G730" s="35"/>
      <c r="H730" s="35"/>
      <c r="I730" s="35"/>
      <c r="J730" s="35"/>
      <c r="K730" s="35"/>
      <c r="L730" s="35"/>
      <c r="M730" s="31"/>
      <c r="N730" s="32"/>
      <c r="O730" s="32"/>
      <c r="P730" s="32"/>
      <c r="Q730" s="32"/>
      <c r="R730" s="32"/>
      <c r="S730" s="32"/>
      <c r="T730" s="32"/>
      <c r="U730" s="29"/>
      <c r="V730" s="29"/>
      <c r="W730" s="24"/>
      <c r="X730" s="18"/>
      <c r="Y730" s="18"/>
      <c r="Z730" s="18"/>
      <c r="AA730" s="18"/>
      <c r="AB730" s="18"/>
      <c r="AC730" s="18"/>
      <c r="AD730" s="18"/>
      <c r="AE730" s="19"/>
      <c r="AF730" s="20"/>
      <c r="AG730" s="21"/>
      <c r="AH730" s="21"/>
      <c r="AI730" s="19"/>
      <c r="AJ730" s="29"/>
      <c r="AK730" s="29"/>
      <c r="AL730" s="29"/>
    </row>
    <row r="731" spans="2:38" s="28" customFormat="1" x14ac:dyDescent="0.3">
      <c r="B731" s="24"/>
      <c r="C731" s="37"/>
      <c r="D731" s="37"/>
      <c r="E731" s="37"/>
      <c r="F731" s="35"/>
      <c r="G731" s="35"/>
      <c r="H731" s="35"/>
      <c r="I731" s="35"/>
      <c r="J731" s="35"/>
      <c r="K731" s="35"/>
      <c r="L731" s="35"/>
      <c r="M731" s="31"/>
      <c r="N731" s="32"/>
      <c r="O731" s="32"/>
      <c r="P731" s="32"/>
      <c r="Q731" s="32"/>
      <c r="R731" s="32"/>
      <c r="S731" s="32"/>
      <c r="T731" s="32"/>
      <c r="U731" s="29"/>
      <c r="V731" s="29"/>
      <c r="W731" s="24"/>
      <c r="X731" s="18"/>
      <c r="Y731" s="18"/>
      <c r="Z731" s="18"/>
      <c r="AA731" s="18"/>
      <c r="AB731" s="18"/>
      <c r="AC731" s="18"/>
      <c r="AD731" s="18"/>
      <c r="AE731" s="19"/>
      <c r="AF731" s="20"/>
      <c r="AG731" s="21"/>
      <c r="AH731" s="21"/>
      <c r="AI731" s="19"/>
      <c r="AJ731" s="29"/>
      <c r="AK731" s="29"/>
      <c r="AL731" s="29"/>
    </row>
    <row r="732" spans="2:38" s="28" customFormat="1" x14ac:dyDescent="0.3">
      <c r="B732" s="24"/>
      <c r="C732" s="37"/>
      <c r="D732" s="37"/>
      <c r="E732" s="37"/>
      <c r="F732" s="35"/>
      <c r="G732" s="35"/>
      <c r="H732" s="35"/>
      <c r="I732" s="35"/>
      <c r="J732" s="35"/>
      <c r="K732" s="35"/>
      <c r="L732" s="35"/>
      <c r="M732" s="31"/>
      <c r="N732" s="32"/>
      <c r="O732" s="32"/>
      <c r="P732" s="32"/>
      <c r="Q732" s="32"/>
      <c r="R732" s="32"/>
      <c r="S732" s="32"/>
      <c r="T732" s="32"/>
      <c r="U732" s="29"/>
      <c r="V732" s="29"/>
      <c r="W732" s="24"/>
      <c r="X732" s="18"/>
      <c r="Y732" s="18"/>
      <c r="Z732" s="18"/>
      <c r="AA732" s="18"/>
      <c r="AB732" s="18"/>
      <c r="AC732" s="18"/>
      <c r="AD732" s="18"/>
      <c r="AE732" s="19"/>
      <c r="AF732" s="20"/>
      <c r="AG732" s="21"/>
      <c r="AH732" s="21"/>
      <c r="AI732" s="19"/>
      <c r="AJ732" s="29"/>
      <c r="AK732" s="29"/>
      <c r="AL732" s="29"/>
    </row>
    <row r="733" spans="2:38" s="28" customFormat="1" x14ac:dyDescent="0.3">
      <c r="B733" s="24"/>
      <c r="C733" s="37"/>
      <c r="D733" s="37"/>
      <c r="E733" s="37"/>
      <c r="F733" s="35"/>
      <c r="G733" s="35"/>
      <c r="H733" s="35"/>
      <c r="I733" s="35"/>
      <c r="J733" s="35"/>
      <c r="K733" s="35"/>
      <c r="L733" s="35"/>
      <c r="M733" s="31"/>
      <c r="N733" s="32"/>
      <c r="O733" s="32"/>
      <c r="P733" s="32"/>
      <c r="Q733" s="32"/>
      <c r="R733" s="32"/>
      <c r="S733" s="32"/>
      <c r="T733" s="32"/>
      <c r="U733" s="29"/>
      <c r="V733" s="29"/>
      <c r="W733" s="24"/>
      <c r="X733" s="18"/>
      <c r="Y733" s="18"/>
      <c r="Z733" s="18"/>
      <c r="AA733" s="18"/>
      <c r="AB733" s="18"/>
      <c r="AC733" s="18"/>
      <c r="AD733" s="18"/>
      <c r="AE733" s="19"/>
      <c r="AF733" s="20"/>
      <c r="AG733" s="21"/>
      <c r="AH733" s="21"/>
      <c r="AI733" s="19"/>
      <c r="AJ733" s="29"/>
      <c r="AK733" s="29"/>
      <c r="AL733" s="29"/>
    </row>
    <row r="734" spans="2:38" s="28" customFormat="1" x14ac:dyDescent="0.3">
      <c r="B734" s="24"/>
      <c r="C734" s="37"/>
      <c r="D734" s="37"/>
      <c r="E734" s="37"/>
      <c r="F734" s="35"/>
      <c r="G734" s="35"/>
      <c r="H734" s="35"/>
      <c r="I734" s="35"/>
      <c r="J734" s="35"/>
      <c r="K734" s="35"/>
      <c r="L734" s="35"/>
      <c r="M734" s="31"/>
      <c r="N734" s="32"/>
      <c r="O734" s="32"/>
      <c r="P734" s="32"/>
      <c r="Q734" s="32"/>
      <c r="R734" s="32"/>
      <c r="S734" s="32"/>
      <c r="T734" s="32"/>
      <c r="U734" s="29"/>
      <c r="V734" s="29"/>
      <c r="W734" s="24"/>
      <c r="X734" s="18"/>
      <c r="Y734" s="18"/>
      <c r="Z734" s="18"/>
      <c r="AA734" s="18"/>
      <c r="AB734" s="18"/>
      <c r="AC734" s="18"/>
      <c r="AD734" s="18"/>
      <c r="AE734" s="19"/>
      <c r="AF734" s="20"/>
      <c r="AG734" s="21"/>
      <c r="AH734" s="21"/>
      <c r="AI734" s="19"/>
      <c r="AJ734" s="29"/>
      <c r="AK734" s="29"/>
      <c r="AL734" s="29"/>
    </row>
    <row r="735" spans="2:38" s="28" customFormat="1" x14ac:dyDescent="0.3">
      <c r="B735" s="24"/>
      <c r="C735" s="37"/>
      <c r="D735" s="37"/>
      <c r="E735" s="37"/>
      <c r="F735" s="35"/>
      <c r="G735" s="35"/>
      <c r="H735" s="35"/>
      <c r="I735" s="35"/>
      <c r="J735" s="35"/>
      <c r="K735" s="35"/>
      <c r="L735" s="35"/>
      <c r="M735" s="31"/>
      <c r="N735" s="32"/>
      <c r="O735" s="32"/>
      <c r="P735" s="32"/>
      <c r="Q735" s="32"/>
      <c r="R735" s="32"/>
      <c r="S735" s="32"/>
      <c r="T735" s="32"/>
      <c r="U735" s="29"/>
      <c r="V735" s="29"/>
      <c r="W735" s="24"/>
      <c r="X735" s="18"/>
      <c r="Y735" s="18"/>
      <c r="Z735" s="18"/>
      <c r="AA735" s="18"/>
      <c r="AB735" s="18"/>
      <c r="AC735" s="18"/>
      <c r="AD735" s="18"/>
      <c r="AE735" s="19"/>
      <c r="AF735" s="20"/>
      <c r="AG735" s="21"/>
      <c r="AH735" s="21"/>
      <c r="AI735" s="19"/>
      <c r="AJ735" s="29"/>
      <c r="AK735" s="29"/>
      <c r="AL735" s="29"/>
    </row>
    <row r="736" spans="2:38" s="28" customFormat="1" x14ac:dyDescent="0.3">
      <c r="B736" s="24"/>
      <c r="C736" s="37"/>
      <c r="D736" s="37"/>
      <c r="E736" s="37"/>
      <c r="F736" s="35"/>
      <c r="G736" s="35"/>
      <c r="H736" s="35"/>
      <c r="I736" s="35"/>
      <c r="J736" s="35"/>
      <c r="K736" s="35"/>
      <c r="L736" s="35"/>
      <c r="M736" s="31"/>
      <c r="N736" s="32"/>
      <c r="O736" s="32"/>
      <c r="P736" s="32"/>
      <c r="Q736" s="32"/>
      <c r="R736" s="32"/>
      <c r="S736" s="32"/>
      <c r="T736" s="32"/>
      <c r="U736" s="29"/>
      <c r="V736" s="29"/>
      <c r="W736" s="24"/>
      <c r="X736" s="18"/>
      <c r="Y736" s="18"/>
      <c r="Z736" s="18"/>
      <c r="AA736" s="18"/>
      <c r="AB736" s="18"/>
      <c r="AC736" s="18"/>
      <c r="AD736" s="18"/>
      <c r="AE736" s="19"/>
      <c r="AF736" s="20"/>
      <c r="AG736" s="21"/>
      <c r="AH736" s="21"/>
      <c r="AI736" s="19"/>
      <c r="AJ736" s="29"/>
      <c r="AK736" s="29"/>
      <c r="AL736" s="29"/>
    </row>
    <row r="737" spans="2:38" s="28" customFormat="1" x14ac:dyDescent="0.3">
      <c r="B737" s="24"/>
      <c r="C737" s="37"/>
      <c r="D737" s="37"/>
      <c r="E737" s="37"/>
      <c r="F737" s="35"/>
      <c r="G737" s="35"/>
      <c r="H737" s="35"/>
      <c r="I737" s="35"/>
      <c r="J737" s="35"/>
      <c r="K737" s="35"/>
      <c r="L737" s="35"/>
      <c r="M737" s="31"/>
      <c r="N737" s="32"/>
      <c r="O737" s="32"/>
      <c r="P737" s="32"/>
      <c r="Q737" s="32"/>
      <c r="R737" s="32"/>
      <c r="S737" s="32"/>
      <c r="T737" s="32"/>
      <c r="U737" s="29"/>
      <c r="V737" s="29"/>
      <c r="W737" s="24"/>
      <c r="X737" s="18"/>
      <c r="Y737" s="18"/>
      <c r="Z737" s="18"/>
      <c r="AA737" s="18"/>
      <c r="AB737" s="18"/>
      <c r="AC737" s="18"/>
      <c r="AD737" s="18"/>
      <c r="AE737" s="19"/>
      <c r="AF737" s="20"/>
      <c r="AG737" s="21"/>
      <c r="AH737" s="21"/>
      <c r="AI737" s="19"/>
      <c r="AJ737" s="29"/>
      <c r="AK737" s="29"/>
      <c r="AL737" s="29"/>
    </row>
    <row r="738" spans="2:38" s="28" customFormat="1" x14ac:dyDescent="0.3">
      <c r="B738" s="24"/>
      <c r="C738" s="37"/>
      <c r="D738" s="37"/>
      <c r="E738" s="37"/>
      <c r="F738" s="35"/>
      <c r="G738" s="35"/>
      <c r="H738" s="35"/>
      <c r="I738" s="35"/>
      <c r="J738" s="35"/>
      <c r="K738" s="35"/>
      <c r="L738" s="35"/>
      <c r="M738" s="31"/>
      <c r="N738" s="32"/>
      <c r="O738" s="32"/>
      <c r="P738" s="32"/>
      <c r="Q738" s="32"/>
      <c r="R738" s="32"/>
      <c r="S738" s="32"/>
      <c r="T738" s="32"/>
      <c r="U738" s="29"/>
      <c r="V738" s="29"/>
      <c r="W738" s="24"/>
      <c r="X738" s="18"/>
      <c r="Y738" s="18"/>
      <c r="Z738" s="18"/>
      <c r="AA738" s="18"/>
      <c r="AB738" s="18"/>
      <c r="AC738" s="18"/>
      <c r="AD738" s="18"/>
      <c r="AE738" s="19"/>
      <c r="AF738" s="20"/>
      <c r="AG738" s="21"/>
      <c r="AH738" s="21"/>
      <c r="AI738" s="19"/>
      <c r="AJ738" s="29"/>
      <c r="AK738" s="29"/>
      <c r="AL738" s="29"/>
    </row>
    <row r="739" spans="2:38" s="28" customFormat="1" x14ac:dyDescent="0.3">
      <c r="B739" s="24"/>
      <c r="C739" s="37"/>
      <c r="D739" s="37"/>
      <c r="E739" s="37"/>
      <c r="F739" s="35"/>
      <c r="G739" s="35"/>
      <c r="H739" s="35"/>
      <c r="I739" s="35"/>
      <c r="J739" s="35"/>
      <c r="K739" s="35"/>
      <c r="L739" s="35"/>
      <c r="M739" s="31"/>
      <c r="N739" s="32"/>
      <c r="O739" s="32"/>
      <c r="P739" s="32"/>
      <c r="Q739" s="32"/>
      <c r="R739" s="32"/>
      <c r="S739" s="32"/>
      <c r="T739" s="32"/>
      <c r="U739" s="29"/>
      <c r="V739" s="29"/>
      <c r="W739" s="24"/>
      <c r="X739" s="18"/>
      <c r="Y739" s="18"/>
      <c r="Z739" s="18"/>
      <c r="AA739" s="18"/>
      <c r="AB739" s="18"/>
      <c r="AC739" s="18"/>
      <c r="AD739" s="18"/>
      <c r="AE739" s="19"/>
      <c r="AF739" s="20"/>
      <c r="AG739" s="21"/>
      <c r="AH739" s="21"/>
      <c r="AI739" s="19"/>
      <c r="AJ739" s="29"/>
      <c r="AK739" s="29"/>
      <c r="AL739" s="29"/>
    </row>
    <row r="740" spans="2:38" s="28" customFormat="1" x14ac:dyDescent="0.3">
      <c r="B740" s="24"/>
      <c r="C740" s="37"/>
      <c r="D740" s="37"/>
      <c r="E740" s="37"/>
      <c r="F740" s="35"/>
      <c r="G740" s="35"/>
      <c r="H740" s="35"/>
      <c r="I740" s="35"/>
      <c r="J740" s="35"/>
      <c r="K740" s="35"/>
      <c r="L740" s="35"/>
      <c r="M740" s="31"/>
      <c r="N740" s="32"/>
      <c r="O740" s="32"/>
      <c r="P740" s="32"/>
      <c r="Q740" s="32"/>
      <c r="R740" s="32"/>
      <c r="S740" s="32"/>
      <c r="T740" s="32"/>
      <c r="U740" s="29"/>
      <c r="V740" s="29"/>
      <c r="W740" s="24"/>
      <c r="X740" s="18"/>
      <c r="Y740" s="18"/>
      <c r="Z740" s="18"/>
      <c r="AA740" s="18"/>
      <c r="AB740" s="18"/>
      <c r="AC740" s="18"/>
      <c r="AD740" s="18"/>
      <c r="AE740" s="19"/>
      <c r="AF740" s="20"/>
      <c r="AG740" s="21"/>
      <c r="AH740" s="21"/>
      <c r="AI740" s="19"/>
      <c r="AJ740" s="29"/>
      <c r="AK740" s="29"/>
      <c r="AL740" s="29"/>
    </row>
    <row r="741" spans="2:38" s="28" customFormat="1" x14ac:dyDescent="0.3">
      <c r="B741" s="24"/>
      <c r="C741" s="37"/>
      <c r="D741" s="37"/>
      <c r="E741" s="37"/>
      <c r="F741" s="35"/>
      <c r="G741" s="35"/>
      <c r="H741" s="35"/>
      <c r="I741" s="35"/>
      <c r="J741" s="35"/>
      <c r="K741" s="35"/>
      <c r="L741" s="35"/>
      <c r="M741" s="31"/>
      <c r="N741" s="32"/>
      <c r="O741" s="32"/>
      <c r="P741" s="32"/>
      <c r="Q741" s="32"/>
      <c r="R741" s="32"/>
      <c r="S741" s="32"/>
      <c r="T741" s="32"/>
      <c r="U741" s="29"/>
      <c r="V741" s="29"/>
      <c r="W741" s="24"/>
      <c r="X741" s="18"/>
      <c r="Y741" s="18"/>
      <c r="Z741" s="18"/>
      <c r="AA741" s="18"/>
      <c r="AB741" s="18"/>
      <c r="AC741" s="18"/>
      <c r="AD741" s="18"/>
      <c r="AE741" s="19"/>
      <c r="AF741" s="20"/>
      <c r="AG741" s="21"/>
      <c r="AH741" s="21"/>
      <c r="AI741" s="19"/>
      <c r="AJ741" s="29"/>
      <c r="AK741" s="29"/>
      <c r="AL741" s="29"/>
    </row>
    <row r="742" spans="2:38" s="28" customFormat="1" x14ac:dyDescent="0.3">
      <c r="B742" s="24"/>
      <c r="C742" s="37"/>
      <c r="D742" s="37"/>
      <c r="E742" s="37"/>
      <c r="F742" s="35"/>
      <c r="G742" s="35"/>
      <c r="H742" s="35"/>
      <c r="I742" s="35"/>
      <c r="J742" s="35"/>
      <c r="K742" s="35"/>
      <c r="L742" s="35"/>
      <c r="M742" s="31"/>
      <c r="N742" s="32"/>
      <c r="O742" s="32"/>
      <c r="P742" s="32"/>
      <c r="Q742" s="32"/>
      <c r="R742" s="32"/>
      <c r="S742" s="32"/>
      <c r="T742" s="32"/>
      <c r="U742" s="29"/>
      <c r="V742" s="29"/>
      <c r="W742" s="24"/>
      <c r="X742" s="18"/>
      <c r="Y742" s="18"/>
      <c r="Z742" s="18"/>
      <c r="AA742" s="18"/>
      <c r="AB742" s="18"/>
      <c r="AC742" s="18"/>
      <c r="AD742" s="18"/>
      <c r="AE742" s="19"/>
      <c r="AF742" s="20"/>
      <c r="AG742" s="21"/>
      <c r="AH742" s="21"/>
      <c r="AI742" s="19"/>
      <c r="AJ742" s="29"/>
      <c r="AK742" s="29"/>
      <c r="AL742" s="29"/>
    </row>
    <row r="743" spans="2:38" s="28" customFormat="1" x14ac:dyDescent="0.3">
      <c r="B743" s="24"/>
      <c r="C743" s="37"/>
      <c r="D743" s="37"/>
      <c r="E743" s="37"/>
      <c r="F743" s="35"/>
      <c r="G743" s="35"/>
      <c r="H743" s="35"/>
      <c r="I743" s="35"/>
      <c r="J743" s="35"/>
      <c r="K743" s="35"/>
      <c r="L743" s="35"/>
      <c r="M743" s="31"/>
      <c r="N743" s="32"/>
      <c r="O743" s="32"/>
      <c r="P743" s="32"/>
      <c r="Q743" s="32"/>
      <c r="R743" s="32"/>
      <c r="S743" s="32"/>
      <c r="T743" s="32"/>
      <c r="U743" s="29"/>
      <c r="V743" s="29"/>
      <c r="W743" s="24"/>
      <c r="X743" s="18"/>
      <c r="Y743" s="18"/>
      <c r="Z743" s="18"/>
      <c r="AA743" s="18"/>
      <c r="AB743" s="18"/>
      <c r="AC743" s="18"/>
      <c r="AD743" s="18"/>
      <c r="AE743" s="19"/>
      <c r="AF743" s="20"/>
      <c r="AG743" s="21"/>
      <c r="AH743" s="21"/>
      <c r="AI743" s="19"/>
      <c r="AJ743" s="29"/>
      <c r="AK743" s="29"/>
      <c r="AL743" s="29"/>
    </row>
    <row r="744" spans="2:38" s="28" customFormat="1" x14ac:dyDescent="0.3">
      <c r="B744" s="24"/>
      <c r="C744" s="37"/>
      <c r="D744" s="37"/>
      <c r="E744" s="37"/>
      <c r="F744" s="35"/>
      <c r="G744" s="35"/>
      <c r="H744" s="35"/>
      <c r="I744" s="35"/>
      <c r="J744" s="35"/>
      <c r="K744" s="35"/>
      <c r="L744" s="35"/>
      <c r="M744" s="31"/>
      <c r="N744" s="32"/>
      <c r="O744" s="32"/>
      <c r="P744" s="32"/>
      <c r="Q744" s="32"/>
      <c r="R744" s="32"/>
      <c r="S744" s="32"/>
      <c r="T744" s="32"/>
      <c r="U744" s="29"/>
      <c r="V744" s="29"/>
      <c r="W744" s="24"/>
      <c r="X744" s="18"/>
      <c r="Y744" s="18"/>
      <c r="Z744" s="18"/>
      <c r="AA744" s="18"/>
      <c r="AB744" s="18"/>
      <c r="AC744" s="18"/>
      <c r="AD744" s="18"/>
      <c r="AE744" s="19"/>
      <c r="AF744" s="20"/>
      <c r="AG744" s="21"/>
      <c r="AH744" s="21"/>
      <c r="AI744" s="19"/>
      <c r="AJ744" s="29"/>
      <c r="AK744" s="29"/>
      <c r="AL744" s="29"/>
    </row>
    <row r="745" spans="2:38" s="28" customFormat="1" x14ac:dyDescent="0.3">
      <c r="B745" s="24"/>
      <c r="C745" s="37"/>
      <c r="D745" s="37"/>
      <c r="E745" s="37"/>
      <c r="F745" s="35"/>
      <c r="G745" s="35"/>
      <c r="H745" s="35"/>
      <c r="I745" s="35"/>
      <c r="J745" s="35"/>
      <c r="K745" s="35"/>
      <c r="L745" s="35"/>
      <c r="M745" s="31"/>
      <c r="N745" s="32"/>
      <c r="O745" s="32"/>
      <c r="P745" s="32"/>
      <c r="Q745" s="32"/>
      <c r="R745" s="32"/>
      <c r="S745" s="32"/>
      <c r="T745" s="32"/>
      <c r="U745" s="29"/>
      <c r="V745" s="29"/>
      <c r="W745" s="24"/>
      <c r="X745" s="18"/>
      <c r="Y745" s="18"/>
      <c r="Z745" s="18"/>
      <c r="AA745" s="18"/>
      <c r="AB745" s="18"/>
      <c r="AC745" s="18"/>
      <c r="AD745" s="18"/>
      <c r="AE745" s="19"/>
      <c r="AF745" s="20"/>
      <c r="AG745" s="21"/>
      <c r="AH745" s="21"/>
      <c r="AI745" s="19"/>
      <c r="AJ745" s="29"/>
      <c r="AK745" s="29"/>
      <c r="AL745" s="29"/>
    </row>
    <row r="746" spans="2:38" s="28" customFormat="1" x14ac:dyDescent="0.3">
      <c r="B746" s="24"/>
      <c r="C746" s="37"/>
      <c r="D746" s="37"/>
      <c r="E746" s="37"/>
      <c r="F746" s="35"/>
      <c r="G746" s="35"/>
      <c r="H746" s="35"/>
      <c r="I746" s="35"/>
      <c r="J746" s="35"/>
      <c r="K746" s="35"/>
      <c r="L746" s="35"/>
      <c r="M746" s="31"/>
      <c r="N746" s="32"/>
      <c r="O746" s="32"/>
      <c r="P746" s="32"/>
      <c r="Q746" s="32"/>
      <c r="R746" s="32"/>
      <c r="S746" s="32"/>
      <c r="T746" s="32"/>
      <c r="U746" s="29"/>
      <c r="V746" s="29"/>
      <c r="W746" s="24"/>
      <c r="X746" s="18"/>
      <c r="Y746" s="18"/>
      <c r="Z746" s="18"/>
      <c r="AA746" s="18"/>
      <c r="AB746" s="18"/>
      <c r="AC746" s="18"/>
      <c r="AD746" s="18"/>
      <c r="AE746" s="19"/>
      <c r="AF746" s="20"/>
      <c r="AG746" s="21"/>
      <c r="AH746" s="21"/>
      <c r="AI746" s="19"/>
      <c r="AJ746" s="29"/>
      <c r="AK746" s="29"/>
      <c r="AL746" s="29"/>
    </row>
    <row r="747" spans="2:38" s="28" customFormat="1" x14ac:dyDescent="0.3">
      <c r="B747" s="24"/>
      <c r="C747" s="37"/>
      <c r="D747" s="37"/>
      <c r="E747" s="37"/>
      <c r="F747" s="35"/>
      <c r="G747" s="35"/>
      <c r="H747" s="35"/>
      <c r="I747" s="35"/>
      <c r="J747" s="35"/>
      <c r="K747" s="35"/>
      <c r="L747" s="35"/>
      <c r="M747" s="31"/>
      <c r="N747" s="32"/>
      <c r="O747" s="32"/>
      <c r="P747" s="32"/>
      <c r="Q747" s="32"/>
      <c r="R747" s="32"/>
      <c r="S747" s="32"/>
      <c r="T747" s="32"/>
      <c r="U747" s="29"/>
      <c r="V747" s="29"/>
      <c r="W747" s="24"/>
      <c r="X747" s="18"/>
      <c r="Y747" s="18"/>
      <c r="Z747" s="18"/>
      <c r="AA747" s="18"/>
      <c r="AB747" s="18"/>
      <c r="AC747" s="18"/>
      <c r="AD747" s="18"/>
      <c r="AE747" s="19"/>
      <c r="AF747" s="20"/>
      <c r="AG747" s="21"/>
      <c r="AH747" s="21"/>
      <c r="AI747" s="19"/>
      <c r="AJ747" s="29"/>
      <c r="AK747" s="29"/>
      <c r="AL747" s="29"/>
    </row>
    <row r="748" spans="2:38" s="28" customFormat="1" x14ac:dyDescent="0.3">
      <c r="B748" s="24"/>
      <c r="C748" s="37"/>
      <c r="D748" s="37"/>
      <c r="E748" s="37"/>
      <c r="F748" s="35"/>
      <c r="G748" s="35"/>
      <c r="H748" s="35"/>
      <c r="I748" s="35"/>
      <c r="J748" s="35"/>
      <c r="K748" s="35"/>
      <c r="L748" s="35"/>
      <c r="M748" s="31"/>
      <c r="N748" s="32"/>
      <c r="O748" s="32"/>
      <c r="P748" s="32"/>
      <c r="Q748" s="32"/>
      <c r="R748" s="32"/>
      <c r="S748" s="32"/>
      <c r="T748" s="32"/>
      <c r="U748" s="29"/>
      <c r="V748" s="29"/>
      <c r="W748" s="24"/>
      <c r="X748" s="18"/>
      <c r="Y748" s="18"/>
      <c r="Z748" s="18"/>
      <c r="AA748" s="18"/>
      <c r="AB748" s="18"/>
      <c r="AC748" s="18"/>
      <c r="AD748" s="18"/>
      <c r="AE748" s="19"/>
      <c r="AF748" s="20"/>
      <c r="AG748" s="21"/>
      <c r="AH748" s="21"/>
      <c r="AI748" s="19"/>
      <c r="AJ748" s="29"/>
      <c r="AK748" s="29"/>
      <c r="AL748" s="29"/>
    </row>
    <row r="749" spans="2:38" s="28" customFormat="1" x14ac:dyDescent="0.3">
      <c r="B749" s="24"/>
      <c r="C749" s="37"/>
      <c r="D749" s="37"/>
      <c r="E749" s="37"/>
      <c r="F749" s="35"/>
      <c r="G749" s="35"/>
      <c r="H749" s="35"/>
      <c r="I749" s="35"/>
      <c r="J749" s="35"/>
      <c r="K749" s="35"/>
      <c r="L749" s="35"/>
      <c r="M749" s="31"/>
      <c r="N749" s="32"/>
      <c r="O749" s="32"/>
      <c r="P749" s="32"/>
      <c r="Q749" s="32"/>
      <c r="R749" s="32"/>
      <c r="S749" s="32"/>
      <c r="T749" s="32"/>
      <c r="U749" s="29"/>
      <c r="V749" s="29"/>
      <c r="W749" s="24"/>
      <c r="X749" s="18"/>
      <c r="Y749" s="18"/>
      <c r="Z749" s="18"/>
      <c r="AA749" s="18"/>
      <c r="AB749" s="18"/>
      <c r="AC749" s="18"/>
      <c r="AD749" s="18"/>
      <c r="AE749" s="19"/>
      <c r="AF749" s="20"/>
      <c r="AG749" s="21"/>
      <c r="AH749" s="21"/>
      <c r="AI749" s="19"/>
      <c r="AJ749" s="29"/>
      <c r="AK749" s="29"/>
      <c r="AL749" s="29"/>
    </row>
    <row r="750" spans="2:38" s="28" customFormat="1" x14ac:dyDescent="0.3">
      <c r="B750" s="24"/>
      <c r="C750" s="37"/>
      <c r="D750" s="37"/>
      <c r="E750" s="37"/>
      <c r="F750" s="35"/>
      <c r="G750" s="35"/>
      <c r="H750" s="35"/>
      <c r="I750" s="35"/>
      <c r="J750" s="35"/>
      <c r="K750" s="35"/>
      <c r="L750" s="35"/>
      <c r="M750" s="31"/>
      <c r="N750" s="32"/>
      <c r="O750" s="32"/>
      <c r="P750" s="32"/>
      <c r="Q750" s="32"/>
      <c r="R750" s="32"/>
      <c r="S750" s="32"/>
      <c r="T750" s="32"/>
      <c r="U750" s="29"/>
      <c r="V750" s="29"/>
      <c r="W750" s="24"/>
      <c r="X750" s="18"/>
      <c r="Y750" s="18"/>
      <c r="Z750" s="18"/>
      <c r="AA750" s="18"/>
      <c r="AB750" s="18"/>
      <c r="AC750" s="18"/>
      <c r="AD750" s="18"/>
      <c r="AE750" s="19"/>
      <c r="AF750" s="20"/>
      <c r="AG750" s="21"/>
      <c r="AH750" s="21"/>
      <c r="AI750" s="19"/>
      <c r="AJ750" s="29"/>
      <c r="AK750" s="29"/>
      <c r="AL750" s="29"/>
    </row>
    <row r="751" spans="2:38" s="28" customFormat="1" x14ac:dyDescent="0.3">
      <c r="B751" s="24"/>
      <c r="C751" s="37"/>
      <c r="D751" s="37"/>
      <c r="E751" s="37"/>
      <c r="F751" s="35"/>
      <c r="G751" s="35"/>
      <c r="H751" s="35"/>
      <c r="I751" s="35"/>
      <c r="J751" s="35"/>
      <c r="K751" s="35"/>
      <c r="L751" s="35"/>
      <c r="M751" s="31"/>
      <c r="N751" s="32"/>
      <c r="O751" s="32"/>
      <c r="P751" s="32"/>
      <c r="Q751" s="32"/>
      <c r="R751" s="32"/>
      <c r="S751" s="32"/>
      <c r="T751" s="32"/>
      <c r="U751" s="29"/>
      <c r="V751" s="29"/>
      <c r="W751" s="24"/>
      <c r="X751" s="18"/>
      <c r="Y751" s="18"/>
      <c r="Z751" s="18"/>
      <c r="AA751" s="18"/>
      <c r="AB751" s="18"/>
      <c r="AC751" s="18"/>
      <c r="AD751" s="18"/>
      <c r="AE751" s="19"/>
      <c r="AF751" s="20"/>
      <c r="AG751" s="21"/>
      <c r="AH751" s="21"/>
      <c r="AI751" s="19"/>
      <c r="AJ751" s="29"/>
      <c r="AK751" s="29"/>
      <c r="AL751" s="29"/>
    </row>
    <row r="752" spans="2:38" s="28" customFormat="1" x14ac:dyDescent="0.3">
      <c r="B752" s="24"/>
      <c r="C752" s="37"/>
      <c r="D752" s="37"/>
      <c r="E752" s="37"/>
      <c r="F752" s="35"/>
      <c r="G752" s="35"/>
      <c r="H752" s="35"/>
      <c r="I752" s="35"/>
      <c r="J752" s="35"/>
      <c r="K752" s="35"/>
      <c r="L752" s="35"/>
      <c r="M752" s="31"/>
      <c r="N752" s="32"/>
      <c r="O752" s="32"/>
      <c r="P752" s="32"/>
      <c r="Q752" s="32"/>
      <c r="R752" s="32"/>
      <c r="S752" s="32"/>
      <c r="T752" s="32"/>
      <c r="U752" s="29"/>
      <c r="V752" s="29"/>
      <c r="W752" s="24"/>
      <c r="X752" s="18"/>
      <c r="Y752" s="18"/>
      <c r="Z752" s="18"/>
      <c r="AA752" s="18"/>
      <c r="AB752" s="18"/>
      <c r="AC752" s="18"/>
      <c r="AD752" s="18"/>
      <c r="AE752" s="19"/>
      <c r="AF752" s="20"/>
      <c r="AG752" s="21"/>
      <c r="AH752" s="21"/>
      <c r="AI752" s="19"/>
      <c r="AJ752" s="29"/>
      <c r="AK752" s="29"/>
      <c r="AL752" s="29"/>
    </row>
    <row r="753" spans="2:38" s="28" customFormat="1" x14ac:dyDescent="0.3">
      <c r="B753" s="24"/>
      <c r="C753" s="37"/>
      <c r="D753" s="37"/>
      <c r="E753" s="37"/>
      <c r="F753" s="35"/>
      <c r="G753" s="35"/>
      <c r="H753" s="35"/>
      <c r="I753" s="35"/>
      <c r="J753" s="35"/>
      <c r="K753" s="35"/>
      <c r="L753" s="35"/>
      <c r="M753" s="31"/>
      <c r="N753" s="32"/>
      <c r="O753" s="32"/>
      <c r="P753" s="32"/>
      <c r="Q753" s="32"/>
      <c r="R753" s="32"/>
      <c r="S753" s="32"/>
      <c r="T753" s="32"/>
      <c r="U753" s="29"/>
      <c r="V753" s="29"/>
      <c r="W753" s="24"/>
      <c r="X753" s="18"/>
      <c r="Y753" s="18"/>
      <c r="Z753" s="18"/>
      <c r="AA753" s="18"/>
      <c r="AB753" s="18"/>
      <c r="AC753" s="18"/>
      <c r="AD753" s="18"/>
      <c r="AE753" s="19"/>
      <c r="AF753" s="20"/>
      <c r="AG753" s="21"/>
      <c r="AH753" s="21"/>
      <c r="AI753" s="19"/>
      <c r="AJ753" s="29"/>
      <c r="AK753" s="29"/>
      <c r="AL753" s="29"/>
    </row>
    <row r="754" spans="2:38" s="28" customFormat="1" x14ac:dyDescent="0.3">
      <c r="B754" s="24"/>
      <c r="C754" s="37"/>
      <c r="D754" s="37"/>
      <c r="E754" s="37"/>
      <c r="F754" s="35"/>
      <c r="G754" s="35"/>
      <c r="H754" s="35"/>
      <c r="I754" s="35"/>
      <c r="J754" s="35"/>
      <c r="K754" s="35"/>
      <c r="L754" s="35"/>
      <c r="M754" s="31"/>
      <c r="N754" s="32"/>
      <c r="O754" s="32"/>
      <c r="P754" s="32"/>
      <c r="Q754" s="32"/>
      <c r="R754" s="32"/>
      <c r="S754" s="32"/>
      <c r="T754" s="32"/>
      <c r="U754" s="29"/>
      <c r="V754" s="29"/>
      <c r="W754" s="24"/>
      <c r="X754" s="18"/>
      <c r="Y754" s="18"/>
      <c r="Z754" s="18"/>
      <c r="AA754" s="18"/>
      <c r="AB754" s="18"/>
      <c r="AC754" s="18"/>
      <c r="AD754" s="18"/>
      <c r="AE754" s="19"/>
      <c r="AF754" s="20"/>
      <c r="AG754" s="21"/>
      <c r="AH754" s="21"/>
      <c r="AI754" s="19"/>
      <c r="AJ754" s="29"/>
      <c r="AK754" s="29"/>
      <c r="AL754" s="29"/>
    </row>
    <row r="755" spans="2:38" s="28" customFormat="1" x14ac:dyDescent="0.3">
      <c r="B755" s="24"/>
      <c r="C755" s="37"/>
      <c r="D755" s="37"/>
      <c r="E755" s="37"/>
      <c r="F755" s="35"/>
      <c r="G755" s="35"/>
      <c r="H755" s="35"/>
      <c r="I755" s="35"/>
      <c r="J755" s="35"/>
      <c r="K755" s="35"/>
      <c r="L755" s="35"/>
      <c r="M755" s="31"/>
      <c r="N755" s="32"/>
      <c r="O755" s="32"/>
      <c r="P755" s="32"/>
      <c r="Q755" s="32"/>
      <c r="R755" s="32"/>
      <c r="S755" s="32"/>
      <c r="T755" s="32"/>
      <c r="U755" s="29"/>
      <c r="V755" s="29"/>
      <c r="W755" s="24"/>
      <c r="X755" s="18"/>
      <c r="Y755" s="18"/>
      <c r="Z755" s="18"/>
      <c r="AA755" s="18"/>
      <c r="AB755" s="18"/>
      <c r="AC755" s="18"/>
      <c r="AD755" s="18"/>
      <c r="AE755" s="19"/>
      <c r="AF755" s="20"/>
      <c r="AG755" s="21"/>
      <c r="AH755" s="21"/>
      <c r="AI755" s="19"/>
      <c r="AJ755" s="29"/>
      <c r="AK755" s="29"/>
      <c r="AL755" s="29"/>
    </row>
    <row r="756" spans="2:38" s="28" customFormat="1" x14ac:dyDescent="0.3">
      <c r="B756" s="24"/>
      <c r="C756" s="37"/>
      <c r="D756" s="37"/>
      <c r="E756" s="37"/>
      <c r="F756" s="35"/>
      <c r="G756" s="35"/>
      <c r="H756" s="35"/>
      <c r="I756" s="35"/>
      <c r="J756" s="35"/>
      <c r="K756" s="35"/>
      <c r="L756" s="35"/>
      <c r="M756" s="31"/>
      <c r="N756" s="32"/>
      <c r="O756" s="32"/>
      <c r="P756" s="32"/>
      <c r="Q756" s="32"/>
      <c r="R756" s="32"/>
      <c r="S756" s="32"/>
      <c r="T756" s="32"/>
      <c r="U756" s="29"/>
      <c r="V756" s="29"/>
      <c r="W756" s="24"/>
      <c r="X756" s="18"/>
      <c r="Y756" s="18"/>
      <c r="Z756" s="18"/>
      <c r="AA756" s="18"/>
      <c r="AB756" s="18"/>
      <c r="AC756" s="18"/>
      <c r="AD756" s="18"/>
      <c r="AE756" s="19"/>
      <c r="AF756" s="20"/>
      <c r="AG756" s="21"/>
      <c r="AH756" s="21"/>
      <c r="AI756" s="19"/>
      <c r="AJ756" s="29"/>
      <c r="AK756" s="29"/>
      <c r="AL756" s="29"/>
    </row>
    <row r="757" spans="2:38" s="28" customFormat="1" x14ac:dyDescent="0.3">
      <c r="B757" s="24"/>
      <c r="C757" s="37"/>
      <c r="D757" s="37"/>
      <c r="E757" s="37"/>
      <c r="F757" s="35"/>
      <c r="G757" s="35"/>
      <c r="H757" s="35"/>
      <c r="I757" s="35"/>
      <c r="J757" s="35"/>
      <c r="K757" s="35"/>
      <c r="L757" s="35"/>
      <c r="M757" s="31"/>
      <c r="N757" s="32"/>
      <c r="O757" s="32"/>
      <c r="P757" s="32"/>
      <c r="Q757" s="32"/>
      <c r="R757" s="32"/>
      <c r="S757" s="32"/>
      <c r="T757" s="32"/>
      <c r="U757" s="29"/>
      <c r="V757" s="29"/>
      <c r="W757" s="24"/>
      <c r="X757" s="18"/>
      <c r="Y757" s="18"/>
      <c r="Z757" s="18"/>
      <c r="AA757" s="18"/>
      <c r="AB757" s="18"/>
      <c r="AC757" s="18"/>
      <c r="AD757" s="18"/>
      <c r="AE757" s="19"/>
      <c r="AF757" s="20"/>
      <c r="AG757" s="21"/>
      <c r="AH757" s="21"/>
      <c r="AI757" s="19"/>
      <c r="AJ757" s="29"/>
      <c r="AK757" s="29"/>
      <c r="AL757" s="29"/>
    </row>
    <row r="758" spans="2:38" s="28" customFormat="1" x14ac:dyDescent="0.3">
      <c r="B758" s="24"/>
      <c r="C758" s="37"/>
      <c r="D758" s="37"/>
      <c r="E758" s="37"/>
      <c r="F758" s="35"/>
      <c r="G758" s="35"/>
      <c r="H758" s="35"/>
      <c r="I758" s="35"/>
      <c r="J758" s="35"/>
      <c r="K758" s="35"/>
      <c r="L758" s="35"/>
      <c r="M758" s="31"/>
      <c r="N758" s="32"/>
      <c r="O758" s="32"/>
      <c r="P758" s="32"/>
      <c r="Q758" s="32"/>
      <c r="R758" s="32"/>
      <c r="S758" s="32"/>
      <c r="T758" s="32"/>
      <c r="U758" s="29"/>
      <c r="V758" s="29"/>
      <c r="W758" s="24"/>
      <c r="X758" s="18"/>
      <c r="Y758" s="18"/>
      <c r="Z758" s="18"/>
      <c r="AA758" s="18"/>
      <c r="AB758" s="18"/>
      <c r="AC758" s="18"/>
      <c r="AD758" s="18"/>
      <c r="AE758" s="19"/>
      <c r="AF758" s="20"/>
      <c r="AG758" s="21"/>
      <c r="AH758" s="21"/>
      <c r="AI758" s="19"/>
      <c r="AJ758" s="29"/>
      <c r="AK758" s="29"/>
      <c r="AL758" s="29"/>
    </row>
    <row r="759" spans="2:38" s="28" customFormat="1" x14ac:dyDescent="0.3">
      <c r="B759" s="24"/>
      <c r="C759" s="37"/>
      <c r="D759" s="37"/>
      <c r="E759" s="37"/>
      <c r="F759" s="35"/>
      <c r="G759" s="35"/>
      <c r="H759" s="35"/>
      <c r="I759" s="35"/>
      <c r="J759" s="35"/>
      <c r="K759" s="35"/>
      <c r="L759" s="35"/>
      <c r="M759" s="31"/>
      <c r="N759" s="32"/>
      <c r="O759" s="32"/>
      <c r="P759" s="32"/>
      <c r="Q759" s="32"/>
      <c r="R759" s="32"/>
      <c r="S759" s="32"/>
      <c r="T759" s="32"/>
      <c r="U759" s="29"/>
      <c r="V759" s="29"/>
      <c r="W759" s="24"/>
      <c r="X759" s="18"/>
      <c r="Y759" s="18"/>
      <c r="Z759" s="18"/>
      <c r="AA759" s="18"/>
      <c r="AB759" s="18"/>
      <c r="AC759" s="18"/>
      <c r="AD759" s="18"/>
      <c r="AE759" s="19"/>
      <c r="AF759" s="20"/>
      <c r="AG759" s="21"/>
      <c r="AH759" s="21"/>
      <c r="AI759" s="19"/>
      <c r="AJ759" s="29"/>
      <c r="AK759" s="29"/>
      <c r="AL759" s="29"/>
    </row>
    <row r="760" spans="2:38" s="28" customFormat="1" x14ac:dyDescent="0.3">
      <c r="B760" s="24"/>
      <c r="C760" s="37"/>
      <c r="D760" s="37"/>
      <c r="E760" s="37"/>
      <c r="F760" s="35"/>
      <c r="G760" s="35"/>
      <c r="H760" s="35"/>
      <c r="I760" s="35"/>
      <c r="J760" s="35"/>
      <c r="K760" s="35"/>
      <c r="L760" s="35"/>
      <c r="M760" s="31"/>
      <c r="N760" s="32"/>
      <c r="O760" s="32"/>
      <c r="P760" s="32"/>
      <c r="Q760" s="32"/>
      <c r="R760" s="32"/>
      <c r="S760" s="32"/>
      <c r="T760" s="32"/>
      <c r="U760" s="29"/>
      <c r="V760" s="29"/>
      <c r="W760" s="24"/>
      <c r="X760" s="18"/>
      <c r="Y760" s="18"/>
      <c r="Z760" s="18"/>
      <c r="AA760" s="18"/>
      <c r="AB760" s="18"/>
      <c r="AC760" s="18"/>
      <c r="AD760" s="18"/>
      <c r="AE760" s="19"/>
      <c r="AF760" s="20"/>
      <c r="AG760" s="21"/>
      <c r="AH760" s="21"/>
      <c r="AI760" s="19"/>
      <c r="AJ760" s="29"/>
      <c r="AK760" s="29"/>
      <c r="AL760" s="29"/>
    </row>
    <row r="761" spans="2:38" s="28" customFormat="1" x14ac:dyDescent="0.3">
      <c r="B761" s="24"/>
      <c r="C761" s="37"/>
      <c r="D761" s="37"/>
      <c r="E761" s="37"/>
      <c r="F761" s="35"/>
      <c r="G761" s="35"/>
      <c r="H761" s="35"/>
      <c r="I761" s="35"/>
      <c r="J761" s="35"/>
      <c r="K761" s="35"/>
      <c r="L761" s="35"/>
      <c r="M761" s="31"/>
      <c r="N761" s="32"/>
      <c r="O761" s="32"/>
      <c r="P761" s="32"/>
      <c r="Q761" s="32"/>
      <c r="R761" s="32"/>
      <c r="S761" s="32"/>
      <c r="T761" s="32"/>
      <c r="U761" s="29"/>
      <c r="V761" s="29"/>
      <c r="W761" s="24"/>
      <c r="X761" s="18"/>
      <c r="Y761" s="18"/>
      <c r="Z761" s="18"/>
      <c r="AA761" s="18"/>
      <c r="AB761" s="18"/>
      <c r="AC761" s="18"/>
      <c r="AD761" s="18"/>
      <c r="AE761" s="19"/>
      <c r="AF761" s="20"/>
      <c r="AG761" s="21"/>
      <c r="AH761" s="21"/>
      <c r="AI761" s="19"/>
      <c r="AJ761" s="29"/>
      <c r="AK761" s="29"/>
      <c r="AL761" s="29"/>
    </row>
    <row r="762" spans="2:38" s="28" customFormat="1" x14ac:dyDescent="0.3">
      <c r="B762" s="24"/>
      <c r="C762" s="37"/>
      <c r="D762" s="37"/>
      <c r="E762" s="37"/>
      <c r="F762" s="35"/>
      <c r="G762" s="35"/>
      <c r="H762" s="35"/>
      <c r="I762" s="35"/>
      <c r="J762" s="35"/>
      <c r="K762" s="35"/>
      <c r="L762" s="35"/>
      <c r="M762" s="31"/>
      <c r="N762" s="32"/>
      <c r="O762" s="32"/>
      <c r="P762" s="32"/>
      <c r="Q762" s="32"/>
      <c r="R762" s="32"/>
      <c r="S762" s="32"/>
      <c r="T762" s="32"/>
      <c r="U762" s="29"/>
      <c r="V762" s="29"/>
      <c r="W762" s="24"/>
      <c r="X762" s="18"/>
      <c r="Y762" s="18"/>
      <c r="Z762" s="18"/>
      <c r="AA762" s="18"/>
      <c r="AB762" s="18"/>
      <c r="AC762" s="18"/>
      <c r="AD762" s="18"/>
      <c r="AE762" s="19"/>
      <c r="AF762" s="20"/>
      <c r="AG762" s="21"/>
      <c r="AH762" s="21"/>
      <c r="AI762" s="19"/>
      <c r="AJ762" s="29"/>
      <c r="AK762" s="29"/>
      <c r="AL762" s="29"/>
    </row>
    <row r="763" spans="2:38" s="28" customFormat="1" x14ac:dyDescent="0.3">
      <c r="B763" s="24"/>
      <c r="C763" s="37"/>
      <c r="D763" s="37"/>
      <c r="E763" s="37"/>
      <c r="F763" s="35"/>
      <c r="G763" s="35"/>
      <c r="H763" s="35"/>
      <c r="I763" s="35"/>
      <c r="J763" s="35"/>
      <c r="K763" s="35"/>
      <c r="L763" s="35"/>
      <c r="M763" s="31"/>
      <c r="N763" s="32"/>
      <c r="O763" s="32"/>
      <c r="P763" s="32"/>
      <c r="Q763" s="32"/>
      <c r="R763" s="32"/>
      <c r="S763" s="32"/>
      <c r="T763" s="32"/>
      <c r="U763" s="29"/>
      <c r="V763" s="29"/>
      <c r="W763" s="24"/>
      <c r="X763" s="18"/>
      <c r="Y763" s="18"/>
      <c r="Z763" s="18"/>
      <c r="AA763" s="18"/>
      <c r="AB763" s="18"/>
      <c r="AC763" s="18"/>
      <c r="AD763" s="18"/>
      <c r="AE763" s="19"/>
      <c r="AF763" s="20"/>
      <c r="AG763" s="21"/>
      <c r="AH763" s="21"/>
      <c r="AI763" s="19"/>
      <c r="AJ763" s="29"/>
      <c r="AK763" s="29"/>
      <c r="AL763" s="29"/>
    </row>
    <row r="764" spans="2:38" s="28" customFormat="1" x14ac:dyDescent="0.3">
      <c r="B764" s="24"/>
      <c r="C764" s="37"/>
      <c r="D764" s="37"/>
      <c r="E764" s="37"/>
      <c r="F764" s="35"/>
      <c r="G764" s="35"/>
      <c r="H764" s="35"/>
      <c r="I764" s="35"/>
      <c r="J764" s="35"/>
      <c r="K764" s="35"/>
      <c r="L764" s="35"/>
      <c r="M764" s="31"/>
      <c r="N764" s="32"/>
      <c r="O764" s="32"/>
      <c r="P764" s="32"/>
      <c r="Q764" s="32"/>
      <c r="R764" s="32"/>
      <c r="S764" s="32"/>
      <c r="T764" s="32"/>
      <c r="U764" s="29"/>
      <c r="V764" s="29"/>
      <c r="W764" s="24"/>
      <c r="X764" s="18"/>
      <c r="Y764" s="18"/>
      <c r="Z764" s="18"/>
      <c r="AA764" s="18"/>
      <c r="AB764" s="18"/>
      <c r="AC764" s="18"/>
      <c r="AD764" s="18"/>
      <c r="AE764" s="19"/>
      <c r="AF764" s="20"/>
      <c r="AG764" s="21"/>
      <c r="AH764" s="21"/>
      <c r="AI764" s="19"/>
      <c r="AJ764" s="29"/>
      <c r="AK764" s="29"/>
      <c r="AL764" s="29"/>
    </row>
    <row r="765" spans="2:38" s="28" customFormat="1" x14ac:dyDescent="0.3">
      <c r="B765" s="24"/>
      <c r="C765" s="37"/>
      <c r="D765" s="37"/>
      <c r="E765" s="37"/>
      <c r="F765" s="35"/>
      <c r="G765" s="35"/>
      <c r="H765" s="35"/>
      <c r="I765" s="35"/>
      <c r="J765" s="35"/>
      <c r="K765" s="35"/>
      <c r="L765" s="35"/>
      <c r="M765" s="31"/>
      <c r="N765" s="32"/>
      <c r="O765" s="32"/>
      <c r="P765" s="32"/>
      <c r="Q765" s="32"/>
      <c r="R765" s="32"/>
      <c r="S765" s="32"/>
      <c r="T765" s="32"/>
      <c r="U765" s="29"/>
      <c r="V765" s="29"/>
      <c r="W765" s="24"/>
      <c r="X765" s="18"/>
      <c r="Y765" s="18"/>
      <c r="Z765" s="18"/>
      <c r="AA765" s="18"/>
      <c r="AB765" s="18"/>
      <c r="AC765" s="18"/>
      <c r="AD765" s="18"/>
      <c r="AE765" s="19"/>
      <c r="AF765" s="20"/>
      <c r="AG765" s="21"/>
      <c r="AH765" s="21"/>
      <c r="AI765" s="19"/>
      <c r="AJ765" s="29"/>
      <c r="AK765" s="29"/>
      <c r="AL765" s="29"/>
    </row>
    <row r="766" spans="2:38" s="28" customFormat="1" x14ac:dyDescent="0.3">
      <c r="B766" s="24"/>
      <c r="C766" s="37"/>
      <c r="D766" s="37"/>
      <c r="E766" s="37"/>
      <c r="F766" s="35"/>
      <c r="G766" s="35"/>
      <c r="H766" s="35"/>
      <c r="I766" s="35"/>
      <c r="J766" s="35"/>
      <c r="K766" s="35"/>
      <c r="L766" s="35"/>
      <c r="M766" s="31"/>
      <c r="N766" s="32"/>
      <c r="O766" s="32"/>
      <c r="P766" s="32"/>
      <c r="Q766" s="32"/>
      <c r="R766" s="32"/>
      <c r="S766" s="32"/>
      <c r="T766" s="32"/>
      <c r="U766" s="29"/>
      <c r="V766" s="29"/>
      <c r="W766" s="24"/>
      <c r="X766" s="18"/>
      <c r="Y766" s="18"/>
      <c r="Z766" s="18"/>
      <c r="AA766" s="18"/>
      <c r="AB766" s="18"/>
      <c r="AC766" s="18"/>
      <c r="AD766" s="18"/>
      <c r="AE766" s="19"/>
      <c r="AF766" s="20"/>
      <c r="AG766" s="21"/>
      <c r="AH766" s="21"/>
      <c r="AI766" s="19"/>
      <c r="AJ766" s="29"/>
      <c r="AK766" s="29"/>
      <c r="AL766" s="29"/>
    </row>
    <row r="767" spans="2:38" s="28" customFormat="1" x14ac:dyDescent="0.3">
      <c r="B767" s="24"/>
      <c r="C767" s="37"/>
      <c r="D767" s="37"/>
      <c r="E767" s="37"/>
      <c r="F767" s="35"/>
      <c r="G767" s="35"/>
      <c r="H767" s="35"/>
      <c r="I767" s="35"/>
      <c r="J767" s="35"/>
      <c r="K767" s="35"/>
      <c r="L767" s="35"/>
      <c r="M767" s="31"/>
      <c r="N767" s="32"/>
      <c r="O767" s="32"/>
      <c r="P767" s="32"/>
      <c r="Q767" s="32"/>
      <c r="R767" s="32"/>
      <c r="S767" s="32"/>
      <c r="T767" s="32"/>
      <c r="U767" s="29"/>
      <c r="V767" s="29"/>
      <c r="W767" s="24"/>
      <c r="X767" s="18"/>
      <c r="Y767" s="18"/>
      <c r="Z767" s="18"/>
      <c r="AA767" s="18"/>
      <c r="AB767" s="18"/>
      <c r="AC767" s="18"/>
      <c r="AD767" s="18"/>
      <c r="AE767" s="19"/>
      <c r="AF767" s="20"/>
      <c r="AG767" s="21"/>
      <c r="AH767" s="21"/>
      <c r="AI767" s="19"/>
      <c r="AJ767" s="29"/>
      <c r="AK767" s="29"/>
      <c r="AL767" s="29"/>
    </row>
    <row r="768" spans="2:38" s="28" customFormat="1" x14ac:dyDescent="0.3">
      <c r="B768" s="24"/>
      <c r="C768" s="37"/>
      <c r="D768" s="37"/>
      <c r="E768" s="37"/>
      <c r="F768" s="35"/>
      <c r="G768" s="35"/>
      <c r="H768" s="35"/>
      <c r="I768" s="35"/>
      <c r="J768" s="35"/>
      <c r="K768" s="35"/>
      <c r="L768" s="35"/>
      <c r="M768" s="31"/>
      <c r="N768" s="32"/>
      <c r="O768" s="32"/>
      <c r="P768" s="32"/>
      <c r="Q768" s="32"/>
      <c r="R768" s="32"/>
      <c r="S768" s="32"/>
      <c r="T768" s="32"/>
      <c r="U768" s="29"/>
      <c r="V768" s="29"/>
      <c r="W768" s="24"/>
      <c r="X768" s="18"/>
      <c r="Y768" s="18"/>
      <c r="Z768" s="18"/>
      <c r="AA768" s="18"/>
      <c r="AB768" s="18"/>
      <c r="AC768" s="18"/>
      <c r="AD768" s="18"/>
      <c r="AE768" s="19"/>
      <c r="AF768" s="20"/>
      <c r="AG768" s="21"/>
      <c r="AH768" s="21"/>
      <c r="AI768" s="19"/>
      <c r="AJ768" s="29"/>
      <c r="AK768" s="29"/>
      <c r="AL768" s="29"/>
    </row>
    <row r="769" spans="2:38" s="28" customFormat="1" x14ac:dyDescent="0.3">
      <c r="B769" s="24"/>
      <c r="C769" s="37"/>
      <c r="D769" s="37"/>
      <c r="E769" s="37"/>
      <c r="F769" s="35"/>
      <c r="G769" s="35"/>
      <c r="H769" s="35"/>
      <c r="I769" s="35"/>
      <c r="J769" s="35"/>
      <c r="K769" s="35"/>
      <c r="L769" s="35"/>
      <c r="M769" s="31"/>
      <c r="N769" s="32"/>
      <c r="O769" s="32"/>
      <c r="P769" s="32"/>
      <c r="Q769" s="32"/>
      <c r="R769" s="32"/>
      <c r="S769" s="32"/>
      <c r="T769" s="32"/>
      <c r="U769" s="29"/>
      <c r="V769" s="29"/>
      <c r="W769" s="24"/>
      <c r="X769" s="18"/>
      <c r="Y769" s="18"/>
      <c r="Z769" s="18"/>
      <c r="AA769" s="18"/>
      <c r="AB769" s="18"/>
      <c r="AC769" s="18"/>
      <c r="AD769" s="18"/>
      <c r="AE769" s="19"/>
      <c r="AF769" s="20"/>
      <c r="AG769" s="21"/>
      <c r="AH769" s="21"/>
      <c r="AI769" s="19"/>
      <c r="AJ769" s="29"/>
      <c r="AK769" s="29"/>
      <c r="AL769" s="29"/>
    </row>
    <row r="770" spans="2:38" s="28" customFormat="1" x14ac:dyDescent="0.3">
      <c r="B770" s="24"/>
      <c r="C770" s="37"/>
      <c r="D770" s="37"/>
      <c r="E770" s="37"/>
      <c r="F770" s="35"/>
      <c r="G770" s="35"/>
      <c r="H770" s="35"/>
      <c r="I770" s="35"/>
      <c r="J770" s="35"/>
      <c r="K770" s="35"/>
      <c r="L770" s="35"/>
      <c r="M770" s="31"/>
      <c r="N770" s="32"/>
      <c r="O770" s="32"/>
      <c r="P770" s="32"/>
      <c r="Q770" s="32"/>
      <c r="R770" s="32"/>
      <c r="S770" s="32"/>
      <c r="T770" s="32"/>
      <c r="U770" s="29"/>
      <c r="V770" s="29"/>
      <c r="W770" s="24"/>
      <c r="X770" s="18"/>
      <c r="Y770" s="18"/>
      <c r="Z770" s="18"/>
      <c r="AA770" s="18"/>
      <c r="AB770" s="18"/>
      <c r="AC770" s="18"/>
      <c r="AD770" s="18"/>
      <c r="AE770" s="19"/>
      <c r="AF770" s="20"/>
      <c r="AG770" s="21"/>
      <c r="AH770" s="21"/>
      <c r="AI770" s="19"/>
      <c r="AJ770" s="29"/>
      <c r="AK770" s="29"/>
      <c r="AL770" s="29"/>
    </row>
    <row r="771" spans="2:38" s="28" customFormat="1" x14ac:dyDescent="0.3">
      <c r="B771" s="24"/>
      <c r="C771" s="37"/>
      <c r="D771" s="37"/>
      <c r="E771" s="37"/>
      <c r="F771" s="35"/>
      <c r="G771" s="35"/>
      <c r="H771" s="35"/>
      <c r="I771" s="35"/>
      <c r="J771" s="35"/>
      <c r="K771" s="35"/>
      <c r="L771" s="35"/>
      <c r="M771" s="31"/>
      <c r="N771" s="32"/>
      <c r="O771" s="32"/>
      <c r="P771" s="32"/>
      <c r="Q771" s="32"/>
      <c r="R771" s="32"/>
      <c r="S771" s="32"/>
      <c r="T771" s="32"/>
      <c r="U771" s="29"/>
      <c r="V771" s="29"/>
      <c r="W771" s="24"/>
      <c r="X771" s="18"/>
      <c r="Y771" s="18"/>
      <c r="Z771" s="18"/>
      <c r="AA771" s="18"/>
      <c r="AB771" s="18"/>
      <c r="AC771" s="18"/>
      <c r="AD771" s="18"/>
      <c r="AE771" s="19"/>
      <c r="AF771" s="20"/>
      <c r="AG771" s="21"/>
      <c r="AH771" s="21"/>
      <c r="AI771" s="19"/>
      <c r="AJ771" s="29"/>
      <c r="AK771" s="29"/>
      <c r="AL771" s="29"/>
    </row>
    <row r="772" spans="2:38" s="28" customFormat="1" x14ac:dyDescent="0.3">
      <c r="B772" s="24"/>
      <c r="C772" s="37"/>
      <c r="D772" s="37"/>
      <c r="E772" s="37"/>
      <c r="F772" s="35"/>
      <c r="G772" s="35"/>
      <c r="H772" s="35"/>
      <c r="I772" s="35"/>
      <c r="J772" s="35"/>
      <c r="K772" s="35"/>
      <c r="L772" s="35"/>
      <c r="M772" s="31"/>
      <c r="N772" s="32"/>
      <c r="O772" s="32"/>
      <c r="P772" s="32"/>
      <c r="Q772" s="32"/>
      <c r="R772" s="32"/>
      <c r="S772" s="32"/>
      <c r="T772" s="32"/>
      <c r="U772" s="29"/>
      <c r="V772" s="29"/>
      <c r="W772" s="24"/>
      <c r="X772" s="18"/>
      <c r="Y772" s="18"/>
      <c r="Z772" s="18"/>
      <c r="AA772" s="18"/>
      <c r="AB772" s="18"/>
      <c r="AC772" s="18"/>
      <c r="AD772" s="18"/>
      <c r="AE772" s="19"/>
      <c r="AF772" s="20"/>
      <c r="AG772" s="21"/>
      <c r="AH772" s="21"/>
      <c r="AI772" s="19"/>
      <c r="AJ772" s="29"/>
      <c r="AK772" s="29"/>
      <c r="AL772" s="29"/>
    </row>
    <row r="773" spans="2:38" s="28" customFormat="1" x14ac:dyDescent="0.3">
      <c r="B773" s="24"/>
      <c r="C773" s="37"/>
      <c r="D773" s="37"/>
      <c r="E773" s="37"/>
      <c r="F773" s="35"/>
      <c r="G773" s="35"/>
      <c r="H773" s="35"/>
      <c r="I773" s="35"/>
      <c r="J773" s="35"/>
      <c r="K773" s="35"/>
      <c r="L773" s="35"/>
      <c r="M773" s="31"/>
      <c r="N773" s="32"/>
      <c r="O773" s="32"/>
      <c r="P773" s="32"/>
      <c r="Q773" s="32"/>
      <c r="R773" s="32"/>
      <c r="S773" s="32"/>
      <c r="T773" s="32"/>
      <c r="U773" s="29"/>
      <c r="V773" s="29"/>
      <c r="W773" s="24"/>
      <c r="X773" s="18"/>
      <c r="Y773" s="18"/>
      <c r="Z773" s="18"/>
      <c r="AA773" s="18"/>
      <c r="AB773" s="18"/>
      <c r="AC773" s="18"/>
      <c r="AD773" s="18"/>
      <c r="AE773" s="19"/>
      <c r="AF773" s="20"/>
      <c r="AG773" s="21"/>
      <c r="AH773" s="21"/>
      <c r="AI773" s="19"/>
      <c r="AJ773" s="29"/>
      <c r="AK773" s="29"/>
      <c r="AL773" s="29"/>
    </row>
    <row r="774" spans="2:38" s="28" customFormat="1" x14ac:dyDescent="0.3">
      <c r="B774" s="24"/>
      <c r="C774" s="37"/>
      <c r="D774" s="37"/>
      <c r="E774" s="37"/>
      <c r="F774" s="35"/>
      <c r="G774" s="35"/>
      <c r="H774" s="35"/>
      <c r="I774" s="35"/>
      <c r="J774" s="35"/>
      <c r="K774" s="35"/>
      <c r="L774" s="35"/>
      <c r="M774" s="31"/>
      <c r="N774" s="32"/>
      <c r="O774" s="32"/>
      <c r="P774" s="32"/>
      <c r="Q774" s="32"/>
      <c r="R774" s="32"/>
      <c r="S774" s="32"/>
      <c r="T774" s="32"/>
      <c r="U774" s="29"/>
      <c r="V774" s="29"/>
      <c r="W774" s="24"/>
      <c r="X774" s="18"/>
      <c r="Y774" s="18"/>
      <c r="Z774" s="18"/>
      <c r="AA774" s="18"/>
      <c r="AB774" s="18"/>
      <c r="AC774" s="18"/>
      <c r="AD774" s="18"/>
      <c r="AE774" s="19"/>
      <c r="AF774" s="20"/>
      <c r="AG774" s="21"/>
      <c r="AH774" s="21"/>
      <c r="AI774" s="19"/>
      <c r="AJ774" s="29"/>
      <c r="AK774" s="29"/>
      <c r="AL774" s="29"/>
    </row>
    <row r="775" spans="2:38" s="28" customFormat="1" x14ac:dyDescent="0.3">
      <c r="B775" s="24"/>
      <c r="C775" s="37"/>
      <c r="D775" s="37"/>
      <c r="E775" s="37"/>
      <c r="F775" s="35"/>
      <c r="G775" s="35"/>
      <c r="H775" s="35"/>
      <c r="I775" s="35"/>
      <c r="J775" s="35"/>
      <c r="K775" s="35"/>
      <c r="L775" s="35"/>
      <c r="M775" s="31"/>
      <c r="N775" s="32"/>
      <c r="O775" s="32"/>
      <c r="P775" s="32"/>
      <c r="Q775" s="32"/>
      <c r="R775" s="32"/>
      <c r="S775" s="32"/>
      <c r="T775" s="32"/>
      <c r="U775" s="29"/>
      <c r="V775" s="29"/>
      <c r="W775" s="24"/>
      <c r="X775" s="18"/>
      <c r="Y775" s="18"/>
      <c r="Z775" s="18"/>
      <c r="AA775" s="18"/>
      <c r="AB775" s="18"/>
      <c r="AC775" s="18"/>
      <c r="AD775" s="18"/>
      <c r="AE775" s="19"/>
      <c r="AF775" s="20"/>
      <c r="AG775" s="21"/>
      <c r="AH775" s="21"/>
      <c r="AI775" s="19"/>
      <c r="AJ775" s="29"/>
      <c r="AK775" s="29"/>
      <c r="AL775" s="29"/>
    </row>
    <row r="776" spans="2:38" s="28" customFormat="1" x14ac:dyDescent="0.3">
      <c r="B776" s="24"/>
      <c r="C776" s="37"/>
      <c r="D776" s="37"/>
      <c r="E776" s="37"/>
      <c r="F776" s="35"/>
      <c r="G776" s="35"/>
      <c r="H776" s="35"/>
      <c r="I776" s="35"/>
      <c r="J776" s="35"/>
      <c r="K776" s="35"/>
      <c r="L776" s="35"/>
      <c r="M776" s="31"/>
      <c r="N776" s="32"/>
      <c r="O776" s="32"/>
      <c r="P776" s="32"/>
      <c r="Q776" s="32"/>
      <c r="R776" s="32"/>
      <c r="S776" s="32"/>
      <c r="T776" s="32"/>
      <c r="U776" s="29"/>
      <c r="V776" s="29"/>
      <c r="W776" s="24"/>
      <c r="X776" s="18"/>
      <c r="Y776" s="18"/>
      <c r="Z776" s="18"/>
      <c r="AA776" s="18"/>
      <c r="AB776" s="18"/>
      <c r="AC776" s="18"/>
      <c r="AD776" s="18"/>
      <c r="AE776" s="19"/>
      <c r="AF776" s="20"/>
      <c r="AG776" s="21"/>
      <c r="AH776" s="21"/>
      <c r="AI776" s="19"/>
      <c r="AJ776" s="29"/>
      <c r="AK776" s="29"/>
      <c r="AL776" s="29"/>
    </row>
    <row r="777" spans="2:38" s="28" customFormat="1" x14ac:dyDescent="0.3">
      <c r="B777" s="24"/>
      <c r="C777" s="37"/>
      <c r="D777" s="37"/>
      <c r="E777" s="37"/>
      <c r="F777" s="35"/>
      <c r="G777" s="35"/>
      <c r="H777" s="35"/>
      <c r="I777" s="35"/>
      <c r="J777" s="35"/>
      <c r="K777" s="35"/>
      <c r="L777" s="35"/>
      <c r="M777" s="31"/>
      <c r="N777" s="32"/>
      <c r="O777" s="32"/>
      <c r="P777" s="32"/>
      <c r="Q777" s="32"/>
      <c r="R777" s="32"/>
      <c r="S777" s="32"/>
      <c r="T777" s="32"/>
      <c r="U777" s="29"/>
      <c r="V777" s="29"/>
      <c r="W777" s="24"/>
      <c r="X777" s="18"/>
      <c r="Y777" s="18"/>
      <c r="Z777" s="18"/>
      <c r="AA777" s="18"/>
      <c r="AB777" s="18"/>
      <c r="AC777" s="18"/>
      <c r="AD777" s="18"/>
      <c r="AE777" s="19"/>
      <c r="AF777" s="20"/>
      <c r="AG777" s="21"/>
      <c r="AH777" s="21"/>
      <c r="AI777" s="19"/>
      <c r="AJ777" s="29"/>
      <c r="AK777" s="29"/>
      <c r="AL777" s="29"/>
    </row>
    <row r="778" spans="2:38" s="28" customFormat="1" x14ac:dyDescent="0.3">
      <c r="B778" s="24"/>
      <c r="C778" s="37"/>
      <c r="D778" s="37"/>
      <c r="E778" s="37"/>
      <c r="F778" s="35"/>
      <c r="G778" s="35"/>
      <c r="H778" s="35"/>
      <c r="I778" s="35"/>
      <c r="J778" s="35"/>
      <c r="K778" s="35"/>
      <c r="L778" s="35"/>
      <c r="M778" s="31"/>
      <c r="N778" s="32"/>
      <c r="O778" s="32"/>
      <c r="P778" s="32"/>
      <c r="Q778" s="32"/>
      <c r="R778" s="32"/>
      <c r="S778" s="32"/>
      <c r="T778" s="32"/>
      <c r="U778" s="29"/>
      <c r="V778" s="29"/>
      <c r="W778" s="24"/>
      <c r="X778" s="18"/>
      <c r="Y778" s="18"/>
      <c r="Z778" s="18"/>
      <c r="AA778" s="18"/>
      <c r="AB778" s="18"/>
      <c r="AC778" s="18"/>
      <c r="AD778" s="18"/>
      <c r="AE778" s="19"/>
      <c r="AF778" s="20"/>
      <c r="AG778" s="21"/>
      <c r="AH778" s="21"/>
      <c r="AI778" s="19"/>
      <c r="AJ778" s="29"/>
      <c r="AK778" s="29"/>
      <c r="AL778" s="29"/>
    </row>
    <row r="779" spans="2:38" s="28" customFormat="1" x14ac:dyDescent="0.3">
      <c r="B779" s="24"/>
      <c r="C779" s="37"/>
      <c r="D779" s="37"/>
      <c r="E779" s="37"/>
      <c r="F779" s="35"/>
      <c r="G779" s="35"/>
      <c r="H779" s="35"/>
      <c r="I779" s="35"/>
      <c r="J779" s="35"/>
      <c r="K779" s="35"/>
      <c r="L779" s="35"/>
      <c r="M779" s="31"/>
      <c r="N779" s="32"/>
      <c r="O779" s="32"/>
      <c r="P779" s="32"/>
      <c r="Q779" s="32"/>
      <c r="R779" s="32"/>
      <c r="S779" s="32"/>
      <c r="T779" s="32"/>
      <c r="U779" s="29"/>
      <c r="V779" s="29"/>
      <c r="W779" s="24"/>
      <c r="X779" s="18"/>
      <c r="Y779" s="18"/>
      <c r="Z779" s="18"/>
      <c r="AA779" s="18"/>
      <c r="AB779" s="18"/>
      <c r="AC779" s="18"/>
      <c r="AD779" s="18"/>
      <c r="AE779" s="19"/>
      <c r="AF779" s="20"/>
      <c r="AG779" s="21"/>
      <c r="AH779" s="21"/>
      <c r="AI779" s="19"/>
      <c r="AJ779" s="29"/>
      <c r="AK779" s="29"/>
      <c r="AL779" s="29"/>
    </row>
    <row r="780" spans="2:38" s="28" customFormat="1" x14ac:dyDescent="0.3">
      <c r="B780" s="24"/>
      <c r="C780" s="37"/>
      <c r="D780" s="37"/>
      <c r="E780" s="37"/>
      <c r="F780" s="35"/>
      <c r="G780" s="35"/>
      <c r="H780" s="35"/>
      <c r="I780" s="35"/>
      <c r="J780" s="35"/>
      <c r="K780" s="35"/>
      <c r="L780" s="35"/>
      <c r="M780" s="31"/>
      <c r="N780" s="32"/>
      <c r="O780" s="32"/>
      <c r="P780" s="32"/>
      <c r="Q780" s="32"/>
      <c r="R780" s="32"/>
      <c r="S780" s="32"/>
      <c r="T780" s="32"/>
      <c r="U780" s="29"/>
      <c r="V780" s="29"/>
      <c r="W780" s="24"/>
      <c r="X780" s="18"/>
      <c r="Y780" s="18"/>
      <c r="Z780" s="18"/>
      <c r="AA780" s="18"/>
      <c r="AB780" s="18"/>
      <c r="AC780" s="18"/>
      <c r="AD780" s="18"/>
      <c r="AE780" s="19"/>
      <c r="AF780" s="20"/>
      <c r="AG780" s="21"/>
      <c r="AH780" s="21"/>
      <c r="AI780" s="19"/>
      <c r="AJ780" s="29"/>
      <c r="AK780" s="29"/>
      <c r="AL780" s="29"/>
    </row>
    <row r="781" spans="2:38" s="28" customFormat="1" x14ac:dyDescent="0.3">
      <c r="B781" s="24"/>
      <c r="C781" s="37"/>
      <c r="D781" s="37"/>
      <c r="E781" s="37"/>
      <c r="F781" s="35"/>
      <c r="G781" s="35"/>
      <c r="H781" s="35"/>
      <c r="I781" s="35"/>
      <c r="J781" s="35"/>
      <c r="K781" s="35"/>
      <c r="L781" s="35"/>
      <c r="M781" s="31"/>
      <c r="N781" s="32"/>
      <c r="O781" s="32"/>
      <c r="P781" s="32"/>
      <c r="Q781" s="32"/>
      <c r="R781" s="32"/>
      <c r="S781" s="32"/>
      <c r="T781" s="32"/>
      <c r="U781" s="29"/>
      <c r="V781" s="29"/>
      <c r="W781" s="24"/>
      <c r="X781" s="18"/>
      <c r="Y781" s="18"/>
      <c r="Z781" s="18"/>
      <c r="AA781" s="18"/>
      <c r="AB781" s="18"/>
      <c r="AC781" s="18"/>
      <c r="AD781" s="18"/>
      <c r="AE781" s="19"/>
      <c r="AF781" s="20"/>
      <c r="AG781" s="21"/>
      <c r="AH781" s="21"/>
      <c r="AI781" s="19"/>
      <c r="AJ781" s="29"/>
      <c r="AK781" s="29"/>
      <c r="AL781" s="29"/>
    </row>
    <row r="782" spans="2:38" s="28" customFormat="1" x14ac:dyDescent="0.3">
      <c r="B782" s="24"/>
      <c r="C782" s="37"/>
      <c r="D782" s="37"/>
      <c r="E782" s="37"/>
      <c r="F782" s="35"/>
      <c r="G782" s="35"/>
      <c r="H782" s="35"/>
      <c r="I782" s="35"/>
      <c r="J782" s="35"/>
      <c r="K782" s="35"/>
      <c r="L782" s="35"/>
      <c r="M782" s="31"/>
      <c r="N782" s="32"/>
      <c r="O782" s="32"/>
      <c r="P782" s="32"/>
      <c r="Q782" s="32"/>
      <c r="R782" s="32"/>
      <c r="S782" s="32"/>
      <c r="T782" s="32"/>
      <c r="U782" s="29"/>
      <c r="V782" s="29"/>
      <c r="W782" s="24"/>
      <c r="X782" s="18"/>
      <c r="Y782" s="18"/>
      <c r="Z782" s="18"/>
      <c r="AA782" s="18"/>
      <c r="AB782" s="18"/>
      <c r="AC782" s="18"/>
      <c r="AD782" s="18"/>
      <c r="AE782" s="19"/>
      <c r="AF782" s="20"/>
      <c r="AG782" s="21"/>
      <c r="AH782" s="21"/>
      <c r="AI782" s="19"/>
      <c r="AJ782" s="29"/>
      <c r="AK782" s="29"/>
      <c r="AL782" s="29"/>
    </row>
    <row r="783" spans="2:38" s="28" customFormat="1" x14ac:dyDescent="0.3">
      <c r="B783" s="24"/>
      <c r="C783" s="37"/>
      <c r="D783" s="37"/>
      <c r="E783" s="37"/>
      <c r="F783" s="35"/>
      <c r="G783" s="35"/>
      <c r="H783" s="35"/>
      <c r="I783" s="35"/>
      <c r="J783" s="35"/>
      <c r="K783" s="35"/>
      <c r="L783" s="35"/>
      <c r="M783" s="31"/>
      <c r="N783" s="32"/>
      <c r="O783" s="32"/>
      <c r="P783" s="32"/>
      <c r="Q783" s="32"/>
      <c r="R783" s="32"/>
      <c r="S783" s="32"/>
      <c r="T783" s="32"/>
      <c r="U783" s="29"/>
      <c r="V783" s="29"/>
      <c r="W783" s="24"/>
      <c r="X783" s="18"/>
      <c r="Y783" s="18"/>
      <c r="Z783" s="18"/>
      <c r="AA783" s="18"/>
      <c r="AB783" s="18"/>
      <c r="AC783" s="18"/>
      <c r="AD783" s="18"/>
      <c r="AE783" s="19"/>
      <c r="AF783" s="20"/>
      <c r="AG783" s="21"/>
      <c r="AH783" s="21"/>
      <c r="AI783" s="19"/>
      <c r="AJ783" s="29"/>
      <c r="AK783" s="29"/>
      <c r="AL783" s="29"/>
    </row>
    <row r="784" spans="2:38" s="28" customFormat="1" x14ac:dyDescent="0.3">
      <c r="B784" s="24"/>
      <c r="C784" s="37"/>
      <c r="D784" s="37"/>
      <c r="E784" s="37"/>
      <c r="F784" s="35"/>
      <c r="G784" s="35"/>
      <c r="H784" s="35"/>
      <c r="I784" s="35"/>
      <c r="J784" s="35"/>
      <c r="K784" s="35"/>
      <c r="L784" s="35"/>
      <c r="M784" s="31"/>
      <c r="N784" s="32"/>
      <c r="O784" s="32"/>
      <c r="P784" s="32"/>
      <c r="Q784" s="32"/>
      <c r="R784" s="32"/>
      <c r="S784" s="32"/>
      <c r="T784" s="32"/>
      <c r="U784" s="29"/>
      <c r="V784" s="29"/>
      <c r="W784" s="24"/>
      <c r="X784" s="18"/>
      <c r="Y784" s="18"/>
      <c r="Z784" s="18"/>
      <c r="AA784" s="18"/>
      <c r="AB784" s="18"/>
      <c r="AC784" s="18"/>
      <c r="AD784" s="18"/>
      <c r="AE784" s="19"/>
      <c r="AF784" s="20"/>
      <c r="AG784" s="21"/>
      <c r="AH784" s="21"/>
      <c r="AI784" s="19"/>
      <c r="AJ784" s="29"/>
      <c r="AK784" s="29"/>
      <c r="AL784" s="29"/>
    </row>
    <row r="785" spans="2:38" s="28" customFormat="1" x14ac:dyDescent="0.3">
      <c r="B785" s="24"/>
      <c r="C785" s="37"/>
      <c r="D785" s="37"/>
      <c r="E785" s="37"/>
      <c r="F785" s="35"/>
      <c r="G785" s="35"/>
      <c r="H785" s="35"/>
      <c r="I785" s="35"/>
      <c r="J785" s="35"/>
      <c r="K785" s="35"/>
      <c r="L785" s="35"/>
      <c r="M785" s="31"/>
      <c r="N785" s="32"/>
      <c r="O785" s="32"/>
      <c r="P785" s="32"/>
      <c r="Q785" s="32"/>
      <c r="R785" s="32"/>
      <c r="S785" s="32"/>
      <c r="T785" s="32"/>
      <c r="U785" s="29"/>
      <c r="V785" s="29"/>
      <c r="W785" s="24"/>
      <c r="X785" s="18"/>
      <c r="Y785" s="18"/>
      <c r="Z785" s="18"/>
      <c r="AA785" s="18"/>
      <c r="AB785" s="18"/>
      <c r="AC785" s="18"/>
      <c r="AD785" s="18"/>
      <c r="AE785" s="19"/>
      <c r="AF785" s="20"/>
      <c r="AG785" s="21"/>
      <c r="AH785" s="21"/>
      <c r="AI785" s="19"/>
      <c r="AJ785" s="29"/>
      <c r="AK785" s="29"/>
      <c r="AL785" s="29"/>
    </row>
    <row r="786" spans="2:38" s="28" customFormat="1" x14ac:dyDescent="0.3">
      <c r="B786" s="24"/>
      <c r="C786" s="37"/>
      <c r="D786" s="37"/>
      <c r="E786" s="37"/>
      <c r="F786" s="35"/>
      <c r="G786" s="35"/>
      <c r="H786" s="35"/>
      <c r="I786" s="35"/>
      <c r="J786" s="35"/>
      <c r="K786" s="35"/>
      <c r="L786" s="35"/>
      <c r="M786" s="31"/>
      <c r="N786" s="32"/>
      <c r="O786" s="32"/>
      <c r="P786" s="32"/>
      <c r="Q786" s="32"/>
      <c r="R786" s="32"/>
      <c r="S786" s="32"/>
      <c r="T786" s="32"/>
      <c r="U786" s="29"/>
      <c r="V786" s="29"/>
      <c r="W786" s="24"/>
      <c r="X786" s="18"/>
      <c r="Y786" s="18"/>
      <c r="Z786" s="18"/>
      <c r="AA786" s="18"/>
      <c r="AB786" s="18"/>
      <c r="AC786" s="18"/>
      <c r="AD786" s="18"/>
      <c r="AE786" s="19"/>
      <c r="AF786" s="20"/>
      <c r="AG786" s="21"/>
      <c r="AH786" s="21"/>
      <c r="AI786" s="19"/>
      <c r="AJ786" s="29"/>
      <c r="AK786" s="29"/>
      <c r="AL786" s="29"/>
    </row>
    <row r="787" spans="2:38" s="28" customFormat="1" x14ac:dyDescent="0.3">
      <c r="B787" s="24"/>
      <c r="C787" s="37"/>
      <c r="D787" s="37"/>
      <c r="E787" s="37"/>
      <c r="F787" s="35"/>
      <c r="G787" s="35"/>
      <c r="H787" s="35"/>
      <c r="I787" s="35"/>
      <c r="J787" s="35"/>
      <c r="K787" s="35"/>
      <c r="L787" s="35"/>
      <c r="M787" s="31"/>
      <c r="N787" s="32"/>
      <c r="O787" s="32"/>
      <c r="P787" s="32"/>
      <c r="Q787" s="32"/>
      <c r="R787" s="32"/>
      <c r="S787" s="32"/>
      <c r="T787" s="32"/>
      <c r="U787" s="29"/>
      <c r="V787" s="29"/>
      <c r="W787" s="24"/>
      <c r="X787" s="18"/>
      <c r="Y787" s="18"/>
      <c r="Z787" s="18"/>
      <c r="AA787" s="18"/>
      <c r="AB787" s="18"/>
      <c r="AC787" s="18"/>
      <c r="AD787" s="18"/>
      <c r="AE787" s="19"/>
      <c r="AF787" s="20"/>
      <c r="AG787" s="21"/>
      <c r="AH787" s="21"/>
      <c r="AI787" s="19"/>
      <c r="AJ787" s="29"/>
      <c r="AK787" s="29"/>
      <c r="AL787" s="29"/>
    </row>
    <row r="788" spans="2:38" s="28" customFormat="1" x14ac:dyDescent="0.3">
      <c r="B788" s="24"/>
      <c r="C788" s="37"/>
      <c r="D788" s="37"/>
      <c r="E788" s="37"/>
      <c r="F788" s="35"/>
      <c r="G788" s="35"/>
      <c r="H788" s="35"/>
      <c r="I788" s="35"/>
      <c r="J788" s="35"/>
      <c r="K788" s="35"/>
      <c r="L788" s="35"/>
      <c r="M788" s="31"/>
      <c r="N788" s="32"/>
      <c r="O788" s="32"/>
      <c r="P788" s="32"/>
      <c r="Q788" s="32"/>
      <c r="R788" s="32"/>
      <c r="S788" s="32"/>
      <c r="T788" s="32"/>
      <c r="U788" s="29"/>
      <c r="V788" s="29"/>
      <c r="W788" s="24"/>
      <c r="X788" s="18"/>
      <c r="Y788" s="18"/>
      <c r="Z788" s="18"/>
      <c r="AA788" s="18"/>
      <c r="AB788" s="18"/>
      <c r="AC788" s="18"/>
      <c r="AD788" s="18"/>
      <c r="AE788" s="19"/>
      <c r="AF788" s="20"/>
      <c r="AG788" s="21"/>
      <c r="AH788" s="21"/>
      <c r="AI788" s="19"/>
      <c r="AJ788" s="29"/>
      <c r="AK788" s="29"/>
      <c r="AL788" s="29"/>
    </row>
    <row r="789" spans="2:38" s="28" customFormat="1" x14ac:dyDescent="0.3">
      <c r="B789" s="24"/>
      <c r="C789" s="37"/>
      <c r="D789" s="37"/>
      <c r="E789" s="37"/>
      <c r="F789" s="35"/>
      <c r="G789" s="35"/>
      <c r="H789" s="35"/>
      <c r="I789" s="35"/>
      <c r="J789" s="35"/>
      <c r="K789" s="35"/>
      <c r="L789" s="35"/>
      <c r="M789" s="31"/>
      <c r="N789" s="32"/>
      <c r="O789" s="32"/>
      <c r="P789" s="32"/>
      <c r="Q789" s="32"/>
      <c r="R789" s="32"/>
      <c r="S789" s="32"/>
      <c r="T789" s="32"/>
      <c r="U789" s="29"/>
      <c r="V789" s="29"/>
      <c r="W789" s="24"/>
      <c r="X789" s="18"/>
      <c r="Y789" s="18"/>
      <c r="Z789" s="18"/>
      <c r="AA789" s="18"/>
      <c r="AB789" s="18"/>
      <c r="AC789" s="18"/>
      <c r="AD789" s="18"/>
      <c r="AE789" s="19"/>
      <c r="AF789" s="20"/>
      <c r="AG789" s="21"/>
      <c r="AH789" s="21"/>
      <c r="AI789" s="19"/>
      <c r="AJ789" s="29"/>
      <c r="AK789" s="29"/>
      <c r="AL789" s="29"/>
    </row>
    <row r="790" spans="2:38" s="28" customFormat="1" x14ac:dyDescent="0.3">
      <c r="B790" s="24"/>
      <c r="C790" s="37"/>
      <c r="D790" s="37"/>
      <c r="E790" s="37"/>
      <c r="F790" s="35"/>
      <c r="G790" s="35"/>
      <c r="H790" s="35"/>
      <c r="I790" s="35"/>
      <c r="J790" s="35"/>
      <c r="K790" s="35"/>
      <c r="L790" s="35"/>
      <c r="M790" s="31"/>
      <c r="N790" s="32"/>
      <c r="O790" s="32"/>
      <c r="P790" s="32"/>
      <c r="Q790" s="32"/>
      <c r="R790" s="32"/>
      <c r="S790" s="32"/>
      <c r="T790" s="32"/>
      <c r="U790" s="29"/>
      <c r="V790" s="29"/>
      <c r="W790" s="24"/>
      <c r="X790" s="18"/>
      <c r="Y790" s="18"/>
      <c r="Z790" s="18"/>
      <c r="AA790" s="18"/>
      <c r="AB790" s="18"/>
      <c r="AC790" s="18"/>
      <c r="AD790" s="18"/>
      <c r="AE790" s="19"/>
      <c r="AF790" s="20"/>
      <c r="AG790" s="21"/>
      <c r="AH790" s="21"/>
      <c r="AI790" s="19"/>
      <c r="AJ790" s="29"/>
      <c r="AK790" s="29"/>
      <c r="AL790" s="29"/>
    </row>
    <row r="791" spans="2:38" s="28" customFormat="1" x14ac:dyDescent="0.3">
      <c r="B791" s="24"/>
      <c r="C791" s="37"/>
      <c r="D791" s="37"/>
      <c r="E791" s="37"/>
      <c r="F791" s="35"/>
      <c r="G791" s="35"/>
      <c r="H791" s="35"/>
      <c r="I791" s="35"/>
      <c r="J791" s="35"/>
      <c r="K791" s="35"/>
      <c r="L791" s="35"/>
      <c r="M791" s="31"/>
      <c r="N791" s="32"/>
      <c r="O791" s="32"/>
      <c r="P791" s="32"/>
      <c r="Q791" s="32"/>
      <c r="R791" s="32"/>
      <c r="S791" s="32"/>
      <c r="T791" s="32"/>
      <c r="U791" s="29"/>
      <c r="V791" s="29"/>
      <c r="W791" s="24"/>
      <c r="X791" s="18"/>
      <c r="Y791" s="18"/>
      <c r="Z791" s="18"/>
      <c r="AA791" s="18"/>
      <c r="AB791" s="18"/>
      <c r="AC791" s="18"/>
      <c r="AD791" s="18"/>
      <c r="AE791" s="19"/>
      <c r="AF791" s="20"/>
      <c r="AG791" s="21"/>
      <c r="AH791" s="21"/>
      <c r="AI791" s="19"/>
      <c r="AJ791" s="29"/>
      <c r="AK791" s="29"/>
      <c r="AL791" s="29"/>
    </row>
    <row r="792" spans="2:38" s="28" customFormat="1" x14ac:dyDescent="0.3">
      <c r="B792" s="24"/>
      <c r="C792" s="37"/>
      <c r="D792" s="37"/>
      <c r="E792" s="37"/>
      <c r="F792" s="35"/>
      <c r="G792" s="35"/>
      <c r="H792" s="35"/>
      <c r="I792" s="35"/>
      <c r="J792" s="35"/>
      <c r="K792" s="35"/>
      <c r="L792" s="35"/>
      <c r="M792" s="31"/>
      <c r="N792" s="32"/>
      <c r="O792" s="32"/>
      <c r="P792" s="32"/>
      <c r="Q792" s="32"/>
      <c r="R792" s="32"/>
      <c r="S792" s="32"/>
      <c r="T792" s="32"/>
      <c r="U792" s="29"/>
      <c r="V792" s="29"/>
      <c r="W792" s="24"/>
      <c r="X792" s="18"/>
      <c r="Y792" s="18"/>
      <c r="Z792" s="18"/>
      <c r="AA792" s="18"/>
      <c r="AB792" s="18"/>
      <c r="AC792" s="18"/>
      <c r="AD792" s="18"/>
      <c r="AE792" s="19"/>
      <c r="AF792" s="20"/>
      <c r="AG792" s="21"/>
      <c r="AH792" s="21"/>
      <c r="AI792" s="19"/>
      <c r="AJ792" s="29"/>
      <c r="AK792" s="29"/>
      <c r="AL792" s="29"/>
    </row>
    <row r="793" spans="2:38" s="28" customFormat="1" x14ac:dyDescent="0.3">
      <c r="B793" s="24"/>
      <c r="C793" s="37"/>
      <c r="D793" s="37"/>
      <c r="E793" s="37"/>
      <c r="F793" s="35"/>
      <c r="G793" s="35"/>
      <c r="H793" s="35"/>
      <c r="I793" s="35"/>
      <c r="J793" s="35"/>
      <c r="K793" s="35"/>
      <c r="L793" s="35"/>
      <c r="M793" s="31"/>
      <c r="N793" s="32"/>
      <c r="O793" s="32"/>
      <c r="P793" s="32"/>
      <c r="Q793" s="32"/>
      <c r="R793" s="32"/>
      <c r="S793" s="32"/>
      <c r="T793" s="32"/>
      <c r="U793" s="29"/>
      <c r="V793" s="29"/>
      <c r="W793" s="24"/>
      <c r="X793" s="18"/>
      <c r="Y793" s="18"/>
      <c r="Z793" s="18"/>
      <c r="AA793" s="18"/>
      <c r="AB793" s="18"/>
      <c r="AC793" s="18"/>
      <c r="AD793" s="18"/>
      <c r="AE793" s="19"/>
      <c r="AF793" s="20"/>
      <c r="AG793" s="21"/>
      <c r="AH793" s="21"/>
      <c r="AI793" s="19"/>
      <c r="AJ793" s="29"/>
      <c r="AK793" s="29"/>
      <c r="AL793" s="29"/>
    </row>
    <row r="794" spans="2:38" s="28" customFormat="1" x14ac:dyDescent="0.3">
      <c r="B794" s="24"/>
      <c r="C794" s="37"/>
      <c r="D794" s="37"/>
      <c r="E794" s="37"/>
      <c r="F794" s="35"/>
      <c r="G794" s="35"/>
      <c r="H794" s="35"/>
      <c r="I794" s="35"/>
      <c r="J794" s="35"/>
      <c r="K794" s="35"/>
      <c r="L794" s="35"/>
      <c r="M794" s="31"/>
      <c r="N794" s="32"/>
      <c r="O794" s="32"/>
      <c r="P794" s="32"/>
      <c r="Q794" s="32"/>
      <c r="R794" s="32"/>
      <c r="S794" s="32"/>
      <c r="T794" s="32"/>
      <c r="U794" s="29"/>
      <c r="V794" s="29"/>
      <c r="W794" s="24"/>
      <c r="X794" s="18"/>
      <c r="Y794" s="18"/>
      <c r="Z794" s="18"/>
      <c r="AA794" s="18"/>
      <c r="AB794" s="18"/>
      <c r="AC794" s="18"/>
      <c r="AD794" s="18"/>
      <c r="AE794" s="19"/>
      <c r="AF794" s="20"/>
      <c r="AG794" s="21"/>
      <c r="AH794" s="21"/>
      <c r="AI794" s="19"/>
      <c r="AJ794" s="29"/>
      <c r="AK794" s="29"/>
      <c r="AL794" s="29"/>
    </row>
    <row r="795" spans="2:38" s="28" customFormat="1" x14ac:dyDescent="0.3">
      <c r="B795" s="24"/>
      <c r="C795" s="37"/>
      <c r="D795" s="37"/>
      <c r="E795" s="37"/>
      <c r="F795" s="35"/>
      <c r="G795" s="35"/>
      <c r="H795" s="35"/>
      <c r="I795" s="35"/>
      <c r="J795" s="35"/>
      <c r="K795" s="35"/>
      <c r="L795" s="35"/>
      <c r="M795" s="31"/>
      <c r="N795" s="32"/>
      <c r="O795" s="32"/>
      <c r="P795" s="32"/>
      <c r="Q795" s="32"/>
      <c r="R795" s="32"/>
      <c r="S795" s="32"/>
      <c r="T795" s="32"/>
      <c r="U795" s="29"/>
      <c r="V795" s="29"/>
      <c r="W795" s="24"/>
      <c r="X795" s="18"/>
      <c r="Y795" s="18"/>
      <c r="Z795" s="18"/>
      <c r="AA795" s="18"/>
      <c r="AB795" s="18"/>
      <c r="AC795" s="18"/>
      <c r="AD795" s="18"/>
      <c r="AE795" s="19"/>
      <c r="AF795" s="20"/>
      <c r="AG795" s="21"/>
      <c r="AH795" s="21"/>
      <c r="AI795" s="19"/>
      <c r="AJ795" s="29"/>
      <c r="AK795" s="29"/>
      <c r="AL795" s="29"/>
    </row>
    <row r="796" spans="2:38" s="28" customFormat="1" x14ac:dyDescent="0.3">
      <c r="B796" s="24"/>
      <c r="C796" s="37"/>
      <c r="D796" s="37"/>
      <c r="E796" s="37"/>
      <c r="F796" s="35"/>
      <c r="G796" s="35"/>
      <c r="H796" s="35"/>
      <c r="I796" s="35"/>
      <c r="J796" s="35"/>
      <c r="K796" s="35"/>
      <c r="L796" s="35"/>
      <c r="M796" s="31"/>
      <c r="N796" s="32"/>
      <c r="O796" s="32"/>
      <c r="P796" s="32"/>
      <c r="Q796" s="32"/>
      <c r="R796" s="32"/>
      <c r="S796" s="32"/>
      <c r="T796" s="32"/>
      <c r="U796" s="29"/>
      <c r="V796" s="29"/>
      <c r="W796" s="24"/>
      <c r="X796" s="18"/>
      <c r="Y796" s="18"/>
      <c r="Z796" s="18"/>
      <c r="AA796" s="18"/>
      <c r="AB796" s="18"/>
      <c r="AC796" s="18"/>
      <c r="AD796" s="18"/>
      <c r="AE796" s="19"/>
      <c r="AF796" s="20"/>
      <c r="AG796" s="21"/>
      <c r="AH796" s="21"/>
      <c r="AI796" s="19"/>
      <c r="AJ796" s="29"/>
      <c r="AK796" s="29"/>
      <c r="AL796" s="29"/>
    </row>
    <row r="797" spans="2:38" s="28" customFormat="1" x14ac:dyDescent="0.3">
      <c r="B797" s="24"/>
      <c r="C797" s="37"/>
      <c r="D797" s="37"/>
      <c r="E797" s="37"/>
      <c r="F797" s="35"/>
      <c r="G797" s="35"/>
      <c r="H797" s="35"/>
      <c r="I797" s="35"/>
      <c r="J797" s="35"/>
      <c r="K797" s="35"/>
      <c r="L797" s="35"/>
      <c r="M797" s="31"/>
      <c r="N797" s="32"/>
      <c r="O797" s="32"/>
      <c r="P797" s="32"/>
      <c r="Q797" s="32"/>
      <c r="R797" s="32"/>
      <c r="S797" s="32"/>
      <c r="T797" s="32"/>
      <c r="U797" s="29"/>
      <c r="V797" s="29"/>
      <c r="W797" s="24"/>
      <c r="X797" s="18"/>
      <c r="Y797" s="18"/>
      <c r="Z797" s="18"/>
      <c r="AA797" s="18"/>
      <c r="AB797" s="18"/>
      <c r="AC797" s="18"/>
      <c r="AD797" s="18"/>
      <c r="AE797" s="19"/>
      <c r="AF797" s="20"/>
      <c r="AG797" s="21"/>
      <c r="AH797" s="21"/>
      <c r="AI797" s="19"/>
      <c r="AJ797" s="29"/>
      <c r="AK797" s="29"/>
      <c r="AL797" s="29"/>
    </row>
    <row r="798" spans="2:38" s="28" customFormat="1" x14ac:dyDescent="0.3">
      <c r="B798" s="24"/>
      <c r="C798" s="37"/>
      <c r="D798" s="37"/>
      <c r="E798" s="37"/>
      <c r="F798" s="35"/>
      <c r="G798" s="35"/>
      <c r="H798" s="35"/>
      <c r="I798" s="35"/>
      <c r="J798" s="35"/>
      <c r="K798" s="35"/>
      <c r="L798" s="35"/>
      <c r="M798" s="31"/>
      <c r="N798" s="32"/>
      <c r="O798" s="32"/>
      <c r="P798" s="32"/>
      <c r="Q798" s="32"/>
      <c r="R798" s="32"/>
      <c r="S798" s="32"/>
      <c r="T798" s="32"/>
      <c r="U798" s="29"/>
      <c r="V798" s="29"/>
      <c r="W798" s="24"/>
      <c r="X798" s="18"/>
      <c r="Y798" s="18"/>
      <c r="Z798" s="18"/>
      <c r="AA798" s="18"/>
      <c r="AB798" s="18"/>
      <c r="AC798" s="18"/>
      <c r="AD798" s="18"/>
      <c r="AE798" s="19"/>
      <c r="AF798" s="20"/>
      <c r="AG798" s="21"/>
      <c r="AH798" s="21"/>
      <c r="AI798" s="19"/>
      <c r="AJ798" s="29"/>
      <c r="AK798" s="29"/>
      <c r="AL798" s="29"/>
    </row>
    <row r="799" spans="2:38" s="28" customFormat="1" x14ac:dyDescent="0.3">
      <c r="B799" s="24"/>
      <c r="C799" s="37"/>
      <c r="D799" s="37"/>
      <c r="E799" s="37"/>
      <c r="F799" s="35"/>
      <c r="G799" s="35"/>
      <c r="H799" s="35"/>
      <c r="I799" s="35"/>
      <c r="J799" s="35"/>
      <c r="K799" s="35"/>
      <c r="L799" s="35"/>
      <c r="M799" s="31"/>
      <c r="N799" s="32"/>
      <c r="O799" s="32"/>
      <c r="P799" s="32"/>
      <c r="Q799" s="32"/>
      <c r="R799" s="32"/>
      <c r="S799" s="32"/>
      <c r="T799" s="32"/>
      <c r="U799" s="29"/>
      <c r="V799" s="29"/>
      <c r="W799" s="24"/>
      <c r="X799" s="18"/>
      <c r="Y799" s="18"/>
      <c r="Z799" s="18"/>
      <c r="AA799" s="18"/>
      <c r="AB799" s="18"/>
      <c r="AC799" s="18"/>
      <c r="AD799" s="18"/>
      <c r="AE799" s="19"/>
      <c r="AF799" s="20"/>
      <c r="AG799" s="21"/>
      <c r="AH799" s="21"/>
      <c r="AI799" s="19"/>
      <c r="AJ799" s="29"/>
      <c r="AK799" s="29"/>
      <c r="AL799" s="29"/>
    </row>
    <row r="800" spans="2:38" s="28" customFormat="1" x14ac:dyDescent="0.3">
      <c r="B800" s="24"/>
      <c r="C800" s="37"/>
      <c r="D800" s="37"/>
      <c r="E800" s="37"/>
      <c r="F800" s="35"/>
      <c r="G800" s="35"/>
      <c r="H800" s="35"/>
      <c r="I800" s="35"/>
      <c r="J800" s="35"/>
      <c r="K800" s="35"/>
      <c r="L800" s="35"/>
      <c r="M800" s="31"/>
      <c r="N800" s="32"/>
      <c r="O800" s="32"/>
      <c r="P800" s="32"/>
      <c r="Q800" s="32"/>
      <c r="R800" s="32"/>
      <c r="S800" s="32"/>
      <c r="T800" s="32"/>
      <c r="U800" s="29"/>
      <c r="V800" s="29"/>
      <c r="W800" s="24"/>
      <c r="X800" s="18"/>
      <c r="Y800" s="18"/>
      <c r="Z800" s="18"/>
      <c r="AA800" s="18"/>
      <c r="AB800" s="18"/>
      <c r="AC800" s="18"/>
      <c r="AD800" s="18"/>
      <c r="AE800" s="19"/>
      <c r="AF800" s="20"/>
      <c r="AG800" s="21"/>
      <c r="AH800" s="21"/>
      <c r="AI800" s="19"/>
      <c r="AJ800" s="29"/>
      <c r="AK800" s="29"/>
      <c r="AL800" s="29"/>
    </row>
    <row r="801" spans="2:38" s="28" customFormat="1" x14ac:dyDescent="0.3">
      <c r="B801" s="24"/>
      <c r="C801" s="37"/>
      <c r="D801" s="37"/>
      <c r="E801" s="37"/>
      <c r="F801" s="35"/>
      <c r="G801" s="35"/>
      <c r="H801" s="35"/>
      <c r="I801" s="35"/>
      <c r="J801" s="35"/>
      <c r="K801" s="35"/>
      <c r="L801" s="35"/>
      <c r="M801" s="31"/>
      <c r="N801" s="32"/>
      <c r="O801" s="32"/>
      <c r="P801" s="32"/>
      <c r="Q801" s="32"/>
      <c r="R801" s="32"/>
      <c r="S801" s="32"/>
      <c r="T801" s="32"/>
      <c r="U801" s="29"/>
      <c r="V801" s="29"/>
      <c r="W801" s="24"/>
      <c r="X801" s="18"/>
      <c r="Y801" s="18"/>
      <c r="Z801" s="18"/>
      <c r="AA801" s="18"/>
      <c r="AB801" s="18"/>
      <c r="AC801" s="18"/>
      <c r="AD801" s="18"/>
      <c r="AE801" s="19"/>
      <c r="AF801" s="20"/>
      <c r="AG801" s="21"/>
      <c r="AH801" s="21"/>
      <c r="AI801" s="19"/>
      <c r="AJ801" s="29"/>
      <c r="AK801" s="29"/>
      <c r="AL801" s="29"/>
    </row>
    <row r="802" spans="2:38" s="28" customFormat="1" x14ac:dyDescent="0.3">
      <c r="B802" s="24"/>
      <c r="C802" s="37"/>
      <c r="D802" s="37"/>
      <c r="E802" s="37"/>
      <c r="F802" s="35"/>
      <c r="G802" s="35"/>
      <c r="H802" s="35"/>
      <c r="I802" s="35"/>
      <c r="J802" s="35"/>
      <c r="K802" s="35"/>
      <c r="L802" s="35"/>
      <c r="M802" s="31"/>
      <c r="N802" s="32"/>
      <c r="O802" s="32"/>
      <c r="P802" s="32"/>
      <c r="Q802" s="32"/>
      <c r="R802" s="32"/>
      <c r="S802" s="32"/>
      <c r="T802" s="32"/>
      <c r="U802" s="29"/>
      <c r="V802" s="29"/>
      <c r="W802" s="24"/>
      <c r="X802" s="18"/>
      <c r="Y802" s="18"/>
      <c r="Z802" s="18"/>
      <c r="AA802" s="18"/>
      <c r="AB802" s="18"/>
      <c r="AC802" s="18"/>
      <c r="AD802" s="18"/>
      <c r="AE802" s="19"/>
      <c r="AF802" s="20"/>
      <c r="AG802" s="21"/>
      <c r="AH802" s="21"/>
      <c r="AI802" s="19"/>
      <c r="AJ802" s="29"/>
      <c r="AK802" s="29"/>
      <c r="AL802" s="29"/>
    </row>
    <row r="803" spans="2:38" s="28" customFormat="1" x14ac:dyDescent="0.3">
      <c r="B803" s="24"/>
      <c r="C803" s="37"/>
      <c r="D803" s="37"/>
      <c r="E803" s="37"/>
      <c r="F803" s="35"/>
      <c r="G803" s="35"/>
      <c r="H803" s="35"/>
      <c r="I803" s="35"/>
      <c r="J803" s="35"/>
      <c r="K803" s="35"/>
      <c r="L803" s="35"/>
      <c r="M803" s="31"/>
      <c r="N803" s="32"/>
      <c r="O803" s="32"/>
      <c r="P803" s="32"/>
      <c r="Q803" s="32"/>
      <c r="R803" s="32"/>
      <c r="S803" s="32"/>
      <c r="T803" s="32"/>
      <c r="U803" s="29"/>
      <c r="V803" s="29"/>
      <c r="W803" s="24"/>
      <c r="X803" s="18"/>
      <c r="Y803" s="18"/>
      <c r="Z803" s="18"/>
      <c r="AA803" s="18"/>
      <c r="AB803" s="18"/>
      <c r="AC803" s="18"/>
      <c r="AD803" s="18"/>
      <c r="AE803" s="19"/>
      <c r="AF803" s="20"/>
      <c r="AG803" s="21"/>
      <c r="AH803" s="21"/>
      <c r="AI803" s="19"/>
      <c r="AJ803" s="29"/>
      <c r="AK803" s="29"/>
      <c r="AL803" s="29"/>
    </row>
    <row r="804" spans="2:38" s="28" customFormat="1" x14ac:dyDescent="0.3">
      <c r="B804" s="24"/>
      <c r="C804" s="37"/>
      <c r="D804" s="37"/>
      <c r="E804" s="37"/>
      <c r="F804" s="35"/>
      <c r="G804" s="35"/>
      <c r="H804" s="35"/>
      <c r="I804" s="35"/>
      <c r="J804" s="35"/>
      <c r="K804" s="35"/>
      <c r="L804" s="35"/>
      <c r="M804" s="31"/>
      <c r="N804" s="32"/>
      <c r="O804" s="32"/>
      <c r="P804" s="32"/>
      <c r="Q804" s="32"/>
      <c r="R804" s="32"/>
      <c r="S804" s="32"/>
      <c r="T804" s="32"/>
      <c r="U804" s="29"/>
      <c r="V804" s="29"/>
      <c r="W804" s="24"/>
      <c r="X804" s="18"/>
      <c r="Y804" s="18"/>
      <c r="Z804" s="18"/>
      <c r="AA804" s="18"/>
      <c r="AB804" s="18"/>
      <c r="AC804" s="18"/>
      <c r="AD804" s="18"/>
      <c r="AE804" s="19"/>
      <c r="AF804" s="20"/>
      <c r="AG804" s="21"/>
      <c r="AH804" s="21"/>
      <c r="AI804" s="19"/>
      <c r="AJ804" s="29"/>
      <c r="AK804" s="29"/>
      <c r="AL804" s="29"/>
    </row>
    <row r="805" spans="2:38" s="28" customFormat="1" x14ac:dyDescent="0.3">
      <c r="B805" s="24"/>
      <c r="C805" s="37"/>
      <c r="D805" s="37"/>
      <c r="E805" s="37"/>
      <c r="F805" s="35"/>
      <c r="G805" s="35"/>
      <c r="H805" s="35"/>
      <c r="I805" s="35"/>
      <c r="J805" s="35"/>
      <c r="K805" s="35"/>
      <c r="L805" s="35"/>
      <c r="M805" s="31"/>
      <c r="N805" s="32"/>
      <c r="O805" s="32"/>
      <c r="P805" s="32"/>
      <c r="Q805" s="32"/>
      <c r="R805" s="32"/>
      <c r="S805" s="32"/>
      <c r="T805" s="32"/>
      <c r="U805" s="29"/>
      <c r="V805" s="29"/>
      <c r="W805" s="24"/>
      <c r="X805" s="18"/>
      <c r="Y805" s="18"/>
      <c r="Z805" s="18"/>
      <c r="AA805" s="18"/>
      <c r="AB805" s="18"/>
      <c r="AC805" s="18"/>
      <c r="AD805" s="18"/>
      <c r="AE805" s="19"/>
      <c r="AF805" s="20"/>
      <c r="AG805" s="21"/>
      <c r="AH805" s="21"/>
      <c r="AI805" s="19"/>
      <c r="AJ805" s="29"/>
      <c r="AK805" s="29"/>
      <c r="AL805" s="29"/>
    </row>
    <row r="806" spans="2:38" s="28" customFormat="1" x14ac:dyDescent="0.3">
      <c r="B806" s="24"/>
      <c r="C806" s="37"/>
      <c r="D806" s="37"/>
      <c r="E806" s="37"/>
      <c r="F806" s="35"/>
      <c r="G806" s="35"/>
      <c r="H806" s="35"/>
      <c r="I806" s="35"/>
      <c r="J806" s="35"/>
      <c r="K806" s="35"/>
      <c r="L806" s="35"/>
      <c r="M806" s="31"/>
      <c r="N806" s="32"/>
      <c r="O806" s="32"/>
      <c r="P806" s="32"/>
      <c r="Q806" s="32"/>
      <c r="R806" s="32"/>
      <c r="S806" s="32"/>
      <c r="T806" s="32"/>
      <c r="U806" s="29"/>
      <c r="V806" s="29"/>
      <c r="W806" s="24"/>
      <c r="X806" s="18"/>
      <c r="Y806" s="18"/>
      <c r="Z806" s="18"/>
      <c r="AA806" s="18"/>
      <c r="AB806" s="18"/>
      <c r="AC806" s="18"/>
      <c r="AD806" s="18"/>
      <c r="AE806" s="19"/>
      <c r="AF806" s="20"/>
      <c r="AG806" s="21"/>
      <c r="AH806" s="21"/>
      <c r="AI806" s="19"/>
      <c r="AJ806" s="29"/>
      <c r="AK806" s="29"/>
      <c r="AL806" s="29"/>
    </row>
    <row r="807" spans="2:38" s="28" customFormat="1" x14ac:dyDescent="0.3">
      <c r="B807" s="24"/>
      <c r="C807" s="37"/>
      <c r="D807" s="37"/>
      <c r="E807" s="37"/>
      <c r="F807" s="35"/>
      <c r="G807" s="35"/>
      <c r="H807" s="35"/>
      <c r="I807" s="35"/>
      <c r="J807" s="35"/>
      <c r="K807" s="35"/>
      <c r="L807" s="35"/>
      <c r="M807" s="31"/>
      <c r="N807" s="32"/>
      <c r="O807" s="32"/>
      <c r="P807" s="32"/>
      <c r="Q807" s="32"/>
      <c r="R807" s="32"/>
      <c r="S807" s="32"/>
      <c r="T807" s="32"/>
      <c r="U807" s="29"/>
      <c r="V807" s="29"/>
      <c r="W807" s="24"/>
      <c r="X807" s="18"/>
      <c r="Y807" s="18"/>
      <c r="Z807" s="18"/>
      <c r="AA807" s="18"/>
      <c r="AB807" s="18"/>
      <c r="AC807" s="18"/>
      <c r="AD807" s="18"/>
      <c r="AE807" s="19"/>
      <c r="AF807" s="20"/>
      <c r="AG807" s="21"/>
      <c r="AH807" s="21"/>
      <c r="AI807" s="19"/>
      <c r="AJ807" s="29"/>
      <c r="AK807" s="29"/>
      <c r="AL807" s="29"/>
    </row>
    <row r="808" spans="2:38" s="28" customFormat="1" x14ac:dyDescent="0.3">
      <c r="B808" s="24"/>
      <c r="C808" s="37"/>
      <c r="D808" s="37"/>
      <c r="E808" s="37"/>
      <c r="F808" s="35"/>
      <c r="G808" s="35"/>
      <c r="H808" s="35"/>
      <c r="I808" s="35"/>
      <c r="J808" s="35"/>
      <c r="K808" s="35"/>
      <c r="L808" s="35"/>
      <c r="M808" s="31"/>
      <c r="N808" s="32"/>
      <c r="O808" s="32"/>
      <c r="P808" s="32"/>
      <c r="Q808" s="32"/>
      <c r="R808" s="32"/>
      <c r="S808" s="32"/>
      <c r="T808" s="32"/>
      <c r="U808" s="29"/>
      <c r="V808" s="29"/>
      <c r="W808" s="24"/>
      <c r="X808" s="18"/>
      <c r="Y808" s="18"/>
      <c r="Z808" s="18"/>
      <c r="AA808" s="18"/>
      <c r="AB808" s="18"/>
      <c r="AC808" s="18"/>
      <c r="AD808" s="18"/>
      <c r="AE808" s="19"/>
      <c r="AF808" s="20"/>
      <c r="AG808" s="21"/>
      <c r="AH808" s="21"/>
      <c r="AI808" s="19"/>
      <c r="AJ808" s="29"/>
      <c r="AK808" s="29"/>
      <c r="AL808" s="29"/>
    </row>
    <row r="809" spans="2:38" s="28" customFormat="1" x14ac:dyDescent="0.3">
      <c r="B809" s="24"/>
      <c r="C809" s="37"/>
      <c r="D809" s="37"/>
      <c r="E809" s="37"/>
      <c r="F809" s="35"/>
      <c r="G809" s="35"/>
      <c r="H809" s="35"/>
      <c r="I809" s="35"/>
      <c r="J809" s="35"/>
      <c r="K809" s="35"/>
      <c r="L809" s="35"/>
      <c r="M809" s="31"/>
      <c r="N809" s="32"/>
      <c r="O809" s="32"/>
      <c r="P809" s="32"/>
      <c r="Q809" s="32"/>
      <c r="R809" s="32"/>
      <c r="S809" s="32"/>
      <c r="T809" s="32"/>
      <c r="U809" s="29"/>
      <c r="V809" s="29"/>
      <c r="W809" s="24"/>
      <c r="X809" s="18"/>
      <c r="Y809" s="18"/>
      <c r="Z809" s="18"/>
      <c r="AA809" s="18"/>
      <c r="AB809" s="18"/>
      <c r="AC809" s="18"/>
      <c r="AD809" s="18"/>
      <c r="AE809" s="19"/>
      <c r="AF809" s="20"/>
      <c r="AG809" s="21"/>
      <c r="AH809" s="21"/>
      <c r="AI809" s="19"/>
      <c r="AJ809" s="29"/>
      <c r="AK809" s="29"/>
      <c r="AL809" s="29"/>
    </row>
    <row r="810" spans="2:38" s="28" customFormat="1" x14ac:dyDescent="0.3">
      <c r="B810" s="24"/>
      <c r="C810" s="37"/>
      <c r="D810" s="37"/>
      <c r="E810" s="37"/>
      <c r="F810" s="35"/>
      <c r="G810" s="35"/>
      <c r="H810" s="35"/>
      <c r="I810" s="35"/>
      <c r="J810" s="35"/>
      <c r="K810" s="35"/>
      <c r="L810" s="35"/>
      <c r="M810" s="31"/>
      <c r="N810" s="32"/>
      <c r="O810" s="32"/>
      <c r="P810" s="32"/>
      <c r="Q810" s="32"/>
      <c r="R810" s="32"/>
      <c r="S810" s="32"/>
      <c r="T810" s="32"/>
      <c r="U810" s="29"/>
      <c r="V810" s="29"/>
      <c r="W810" s="24"/>
      <c r="X810" s="18"/>
      <c r="Y810" s="18"/>
      <c r="Z810" s="18"/>
      <c r="AA810" s="18"/>
      <c r="AB810" s="18"/>
      <c r="AC810" s="18"/>
      <c r="AD810" s="18"/>
      <c r="AE810" s="19"/>
      <c r="AF810" s="20"/>
      <c r="AG810" s="21"/>
      <c r="AH810" s="21"/>
      <c r="AI810" s="19"/>
      <c r="AJ810" s="29"/>
      <c r="AK810" s="29"/>
      <c r="AL810" s="29"/>
    </row>
    <row r="811" spans="2:38" s="28" customFormat="1" x14ac:dyDescent="0.3">
      <c r="B811" s="24"/>
      <c r="C811" s="37"/>
      <c r="D811" s="37"/>
      <c r="E811" s="37"/>
      <c r="F811" s="35"/>
      <c r="G811" s="35"/>
      <c r="H811" s="35"/>
      <c r="I811" s="35"/>
      <c r="J811" s="35"/>
      <c r="K811" s="35"/>
      <c r="L811" s="35"/>
      <c r="M811" s="31"/>
      <c r="N811" s="32"/>
      <c r="O811" s="32"/>
      <c r="P811" s="32"/>
      <c r="Q811" s="32"/>
      <c r="R811" s="32"/>
      <c r="S811" s="32"/>
      <c r="T811" s="32"/>
      <c r="U811" s="29"/>
      <c r="V811" s="29"/>
      <c r="W811" s="24"/>
      <c r="X811" s="18"/>
      <c r="Y811" s="18"/>
      <c r="Z811" s="18"/>
      <c r="AA811" s="18"/>
      <c r="AB811" s="18"/>
      <c r="AC811" s="18"/>
      <c r="AD811" s="18"/>
      <c r="AE811" s="19"/>
      <c r="AF811" s="20"/>
      <c r="AG811" s="21"/>
      <c r="AH811" s="21"/>
      <c r="AI811" s="19"/>
      <c r="AJ811" s="29"/>
      <c r="AK811" s="29"/>
      <c r="AL811" s="29"/>
    </row>
    <row r="812" spans="2:38" s="28" customFormat="1" x14ac:dyDescent="0.3">
      <c r="B812" s="24"/>
      <c r="C812" s="37"/>
      <c r="D812" s="37"/>
      <c r="E812" s="37"/>
      <c r="F812" s="35"/>
      <c r="G812" s="35"/>
      <c r="H812" s="35"/>
      <c r="I812" s="35"/>
      <c r="J812" s="35"/>
      <c r="K812" s="35"/>
      <c r="L812" s="35"/>
      <c r="M812" s="31"/>
      <c r="N812" s="32"/>
      <c r="O812" s="32"/>
      <c r="P812" s="32"/>
      <c r="Q812" s="32"/>
      <c r="R812" s="32"/>
      <c r="S812" s="32"/>
      <c r="T812" s="32"/>
      <c r="U812" s="29"/>
      <c r="V812" s="29"/>
      <c r="W812" s="24"/>
      <c r="X812" s="18"/>
      <c r="Y812" s="18"/>
      <c r="Z812" s="18"/>
      <c r="AA812" s="18"/>
      <c r="AB812" s="18"/>
      <c r="AC812" s="18"/>
      <c r="AD812" s="18"/>
      <c r="AE812" s="19"/>
      <c r="AF812" s="20"/>
      <c r="AG812" s="21"/>
      <c r="AH812" s="21"/>
      <c r="AI812" s="19"/>
      <c r="AJ812" s="29"/>
      <c r="AK812" s="29"/>
      <c r="AL812" s="29"/>
    </row>
    <row r="813" spans="2:38" s="28" customFormat="1" x14ac:dyDescent="0.3">
      <c r="B813" s="24"/>
      <c r="C813" s="37"/>
      <c r="D813" s="37"/>
      <c r="E813" s="37"/>
      <c r="F813" s="35"/>
      <c r="G813" s="35"/>
      <c r="H813" s="35"/>
      <c r="I813" s="35"/>
      <c r="J813" s="35"/>
      <c r="K813" s="35"/>
      <c r="L813" s="35"/>
      <c r="M813" s="31"/>
      <c r="N813" s="32"/>
      <c r="O813" s="32"/>
      <c r="P813" s="32"/>
      <c r="Q813" s="32"/>
      <c r="R813" s="32"/>
      <c r="S813" s="32"/>
      <c r="T813" s="32"/>
      <c r="U813" s="29"/>
      <c r="V813" s="29"/>
      <c r="W813" s="24"/>
      <c r="X813" s="18"/>
      <c r="Y813" s="18"/>
      <c r="Z813" s="18"/>
      <c r="AA813" s="18"/>
      <c r="AB813" s="18"/>
      <c r="AC813" s="18"/>
      <c r="AD813" s="18"/>
      <c r="AE813" s="19"/>
      <c r="AF813" s="20"/>
      <c r="AG813" s="21"/>
      <c r="AH813" s="21"/>
      <c r="AI813" s="19"/>
      <c r="AJ813" s="29"/>
      <c r="AK813" s="29"/>
      <c r="AL813" s="29"/>
    </row>
    <row r="814" spans="2:38" s="28" customFormat="1" x14ac:dyDescent="0.3">
      <c r="B814" s="24"/>
      <c r="C814" s="37"/>
      <c r="D814" s="37"/>
      <c r="E814" s="37"/>
      <c r="F814" s="35"/>
      <c r="G814" s="35"/>
      <c r="H814" s="35"/>
      <c r="I814" s="35"/>
      <c r="J814" s="35"/>
      <c r="K814" s="35"/>
      <c r="L814" s="35"/>
      <c r="M814" s="31"/>
      <c r="N814" s="32"/>
      <c r="O814" s="32"/>
      <c r="P814" s="32"/>
      <c r="Q814" s="32"/>
      <c r="R814" s="32"/>
      <c r="S814" s="32"/>
      <c r="T814" s="32"/>
      <c r="U814" s="29"/>
      <c r="V814" s="29"/>
      <c r="W814" s="24"/>
      <c r="X814" s="18"/>
      <c r="Y814" s="18"/>
      <c r="Z814" s="18"/>
      <c r="AA814" s="18"/>
      <c r="AB814" s="18"/>
      <c r="AC814" s="18"/>
      <c r="AD814" s="18"/>
      <c r="AE814" s="19"/>
      <c r="AF814" s="20"/>
      <c r="AG814" s="21"/>
      <c r="AH814" s="21"/>
      <c r="AI814" s="19"/>
      <c r="AJ814" s="29"/>
      <c r="AK814" s="29"/>
      <c r="AL814" s="29"/>
    </row>
    <row r="815" spans="2:38" s="28" customFormat="1" x14ac:dyDescent="0.3">
      <c r="B815" s="24"/>
      <c r="C815" s="37"/>
      <c r="D815" s="37"/>
      <c r="E815" s="37"/>
      <c r="F815" s="35"/>
      <c r="G815" s="35"/>
      <c r="H815" s="35"/>
      <c r="I815" s="35"/>
      <c r="J815" s="35"/>
      <c r="K815" s="35"/>
      <c r="L815" s="35"/>
      <c r="M815" s="31"/>
      <c r="N815" s="32"/>
      <c r="O815" s="32"/>
      <c r="P815" s="32"/>
      <c r="Q815" s="32"/>
      <c r="R815" s="32"/>
      <c r="S815" s="32"/>
      <c r="T815" s="32"/>
      <c r="U815" s="29"/>
      <c r="V815" s="29"/>
      <c r="W815" s="24"/>
      <c r="X815" s="18"/>
      <c r="Y815" s="18"/>
      <c r="Z815" s="18"/>
      <c r="AA815" s="18"/>
      <c r="AB815" s="18"/>
      <c r="AC815" s="18"/>
      <c r="AD815" s="18"/>
      <c r="AE815" s="19"/>
      <c r="AF815" s="20"/>
      <c r="AG815" s="21"/>
      <c r="AH815" s="21"/>
      <c r="AI815" s="19"/>
      <c r="AJ815" s="29"/>
      <c r="AK815" s="29"/>
      <c r="AL815" s="29"/>
    </row>
    <row r="816" spans="2:38" s="28" customFormat="1" x14ac:dyDescent="0.3">
      <c r="B816" s="24"/>
      <c r="C816" s="37"/>
      <c r="D816" s="37"/>
      <c r="E816" s="37"/>
      <c r="F816" s="35"/>
      <c r="G816" s="35"/>
      <c r="H816" s="35"/>
      <c r="I816" s="35"/>
      <c r="J816" s="35"/>
      <c r="K816" s="35"/>
      <c r="L816" s="35"/>
      <c r="M816" s="31"/>
      <c r="N816" s="32"/>
      <c r="O816" s="32"/>
      <c r="P816" s="32"/>
      <c r="Q816" s="32"/>
      <c r="R816" s="32"/>
      <c r="S816" s="32"/>
      <c r="T816" s="32"/>
      <c r="U816" s="29"/>
      <c r="V816" s="29"/>
      <c r="W816" s="24"/>
      <c r="X816" s="18"/>
      <c r="Y816" s="18"/>
      <c r="Z816" s="18"/>
      <c r="AA816" s="18"/>
      <c r="AB816" s="18"/>
      <c r="AC816" s="18"/>
      <c r="AD816" s="18"/>
      <c r="AE816" s="19"/>
      <c r="AF816" s="20"/>
      <c r="AG816" s="21"/>
      <c r="AH816" s="21"/>
      <c r="AI816" s="19"/>
      <c r="AJ816" s="29"/>
      <c r="AK816" s="29"/>
      <c r="AL816" s="29"/>
    </row>
    <row r="817" spans="2:38" s="28" customFormat="1" x14ac:dyDescent="0.3">
      <c r="B817" s="24"/>
      <c r="C817" s="37"/>
      <c r="D817" s="37"/>
      <c r="E817" s="37"/>
      <c r="F817" s="35"/>
      <c r="G817" s="35"/>
      <c r="H817" s="35"/>
      <c r="I817" s="35"/>
      <c r="J817" s="35"/>
      <c r="K817" s="35"/>
      <c r="L817" s="35"/>
      <c r="M817" s="31"/>
      <c r="N817" s="32"/>
      <c r="O817" s="32"/>
      <c r="P817" s="32"/>
      <c r="Q817" s="32"/>
      <c r="R817" s="32"/>
      <c r="S817" s="32"/>
      <c r="T817" s="32"/>
      <c r="U817" s="29"/>
      <c r="V817" s="29"/>
      <c r="W817" s="24"/>
      <c r="X817" s="18"/>
      <c r="Y817" s="18"/>
      <c r="Z817" s="18"/>
      <c r="AA817" s="18"/>
      <c r="AB817" s="18"/>
      <c r="AC817" s="18"/>
      <c r="AD817" s="18"/>
      <c r="AE817" s="19"/>
      <c r="AF817" s="20"/>
      <c r="AG817" s="21"/>
      <c r="AH817" s="21"/>
      <c r="AI817" s="19"/>
      <c r="AJ817" s="29"/>
      <c r="AK817" s="29"/>
      <c r="AL817" s="29"/>
    </row>
    <row r="818" spans="2:38" s="28" customFormat="1" x14ac:dyDescent="0.3">
      <c r="B818" s="24"/>
      <c r="C818" s="37"/>
      <c r="D818" s="37"/>
      <c r="E818" s="37"/>
      <c r="F818" s="35"/>
      <c r="G818" s="35"/>
      <c r="H818" s="35"/>
      <c r="I818" s="35"/>
      <c r="J818" s="35"/>
      <c r="K818" s="35"/>
      <c r="L818" s="35"/>
      <c r="M818" s="31"/>
      <c r="N818" s="32"/>
      <c r="O818" s="32"/>
      <c r="P818" s="32"/>
      <c r="Q818" s="32"/>
      <c r="R818" s="32"/>
      <c r="S818" s="32"/>
      <c r="T818" s="32"/>
      <c r="U818" s="29"/>
      <c r="V818" s="29"/>
      <c r="W818" s="24"/>
      <c r="X818" s="18"/>
      <c r="Y818" s="18"/>
      <c r="Z818" s="18"/>
      <c r="AA818" s="18"/>
      <c r="AB818" s="18"/>
      <c r="AC818" s="18"/>
      <c r="AD818" s="18"/>
      <c r="AE818" s="19"/>
      <c r="AF818" s="20"/>
      <c r="AG818" s="21"/>
      <c r="AH818" s="21"/>
      <c r="AI818" s="19"/>
      <c r="AJ818" s="29"/>
      <c r="AK818" s="29"/>
      <c r="AL818" s="29"/>
    </row>
    <row r="819" spans="2:38" s="28" customFormat="1" x14ac:dyDescent="0.3">
      <c r="B819" s="24"/>
      <c r="C819" s="37"/>
      <c r="D819" s="37"/>
      <c r="E819" s="37"/>
      <c r="F819" s="35"/>
      <c r="G819" s="35"/>
      <c r="H819" s="35"/>
      <c r="I819" s="35"/>
      <c r="J819" s="35"/>
      <c r="K819" s="35"/>
      <c r="L819" s="35"/>
      <c r="M819" s="31"/>
      <c r="N819" s="32"/>
      <c r="O819" s="32"/>
      <c r="P819" s="32"/>
      <c r="Q819" s="32"/>
      <c r="R819" s="32"/>
      <c r="S819" s="32"/>
      <c r="T819" s="32"/>
      <c r="U819" s="29"/>
      <c r="V819" s="29"/>
      <c r="W819" s="24"/>
      <c r="X819" s="18"/>
      <c r="Y819" s="18"/>
      <c r="Z819" s="18"/>
      <c r="AA819" s="18"/>
      <c r="AB819" s="18"/>
      <c r="AC819" s="18"/>
      <c r="AD819" s="18"/>
      <c r="AE819" s="19"/>
      <c r="AF819" s="20"/>
      <c r="AG819" s="21"/>
      <c r="AH819" s="21"/>
      <c r="AI819" s="19"/>
      <c r="AJ819" s="29"/>
      <c r="AK819" s="29"/>
      <c r="AL819" s="29"/>
    </row>
    <row r="820" spans="2:38" s="28" customFormat="1" x14ac:dyDescent="0.3">
      <c r="B820" s="24"/>
      <c r="C820" s="37"/>
      <c r="D820" s="37"/>
      <c r="E820" s="37"/>
      <c r="F820" s="35"/>
      <c r="G820" s="35"/>
      <c r="H820" s="35"/>
      <c r="I820" s="35"/>
      <c r="J820" s="35"/>
      <c r="K820" s="35"/>
      <c r="L820" s="35"/>
      <c r="M820" s="31"/>
      <c r="N820" s="32"/>
      <c r="O820" s="32"/>
      <c r="P820" s="32"/>
      <c r="Q820" s="32"/>
      <c r="R820" s="32"/>
      <c r="S820" s="32"/>
      <c r="T820" s="32"/>
      <c r="U820" s="29"/>
      <c r="V820" s="29"/>
      <c r="W820" s="24"/>
      <c r="X820" s="18"/>
      <c r="Y820" s="18"/>
      <c r="Z820" s="18"/>
      <c r="AA820" s="18"/>
      <c r="AB820" s="18"/>
      <c r="AC820" s="18"/>
      <c r="AD820" s="18"/>
      <c r="AE820" s="19"/>
      <c r="AF820" s="20"/>
      <c r="AG820" s="21"/>
      <c r="AH820" s="21"/>
      <c r="AI820" s="19"/>
      <c r="AJ820" s="29"/>
      <c r="AK820" s="29"/>
      <c r="AL820" s="29"/>
    </row>
    <row r="821" spans="2:38" s="28" customFormat="1" x14ac:dyDescent="0.3">
      <c r="B821" s="24"/>
      <c r="C821" s="37"/>
      <c r="D821" s="37"/>
      <c r="E821" s="37"/>
      <c r="F821" s="35"/>
      <c r="G821" s="35"/>
      <c r="H821" s="35"/>
      <c r="I821" s="35"/>
      <c r="J821" s="35"/>
      <c r="K821" s="35"/>
      <c r="L821" s="35"/>
      <c r="M821" s="31"/>
      <c r="N821" s="32"/>
      <c r="O821" s="32"/>
      <c r="P821" s="32"/>
      <c r="Q821" s="32"/>
      <c r="R821" s="32"/>
      <c r="S821" s="32"/>
      <c r="T821" s="32"/>
      <c r="U821" s="29"/>
      <c r="V821" s="29"/>
      <c r="W821" s="24"/>
      <c r="X821" s="18"/>
      <c r="Y821" s="18"/>
      <c r="Z821" s="18"/>
      <c r="AA821" s="18"/>
      <c r="AB821" s="18"/>
      <c r="AC821" s="18"/>
      <c r="AD821" s="18"/>
      <c r="AE821" s="19"/>
      <c r="AF821" s="20"/>
      <c r="AG821" s="21"/>
      <c r="AH821" s="21"/>
      <c r="AI821" s="19"/>
      <c r="AJ821" s="29"/>
      <c r="AK821" s="29"/>
      <c r="AL821" s="29"/>
    </row>
    <row r="822" spans="2:38" s="28" customFormat="1" x14ac:dyDescent="0.3">
      <c r="B822" s="24"/>
      <c r="C822" s="37"/>
      <c r="D822" s="37"/>
      <c r="E822" s="37"/>
      <c r="F822" s="35"/>
      <c r="G822" s="35"/>
      <c r="H822" s="35"/>
      <c r="I822" s="35"/>
      <c r="J822" s="35"/>
      <c r="K822" s="35"/>
      <c r="L822" s="35"/>
      <c r="M822" s="31"/>
      <c r="N822" s="32"/>
      <c r="O822" s="32"/>
      <c r="P822" s="32"/>
      <c r="Q822" s="32"/>
      <c r="R822" s="32"/>
      <c r="S822" s="32"/>
      <c r="T822" s="32"/>
      <c r="U822" s="29"/>
      <c r="V822" s="29"/>
      <c r="W822" s="24"/>
      <c r="X822" s="18"/>
      <c r="Y822" s="18"/>
      <c r="Z822" s="18"/>
      <c r="AA822" s="18"/>
      <c r="AB822" s="18"/>
      <c r="AC822" s="18"/>
      <c r="AD822" s="18"/>
      <c r="AE822" s="19"/>
      <c r="AF822" s="20"/>
      <c r="AG822" s="21"/>
      <c r="AH822" s="21"/>
      <c r="AI822" s="19"/>
      <c r="AJ822" s="29"/>
      <c r="AK822" s="29"/>
      <c r="AL822" s="29"/>
    </row>
    <row r="823" spans="2:38" s="28" customFormat="1" x14ac:dyDescent="0.3">
      <c r="B823" s="24"/>
      <c r="C823" s="37"/>
      <c r="D823" s="37"/>
      <c r="E823" s="37"/>
      <c r="F823" s="35"/>
      <c r="G823" s="35"/>
      <c r="H823" s="35"/>
      <c r="I823" s="35"/>
      <c r="J823" s="35"/>
      <c r="K823" s="35"/>
      <c r="L823" s="35"/>
      <c r="M823" s="31"/>
      <c r="N823" s="32"/>
      <c r="O823" s="32"/>
      <c r="P823" s="32"/>
      <c r="Q823" s="32"/>
      <c r="R823" s="32"/>
      <c r="S823" s="32"/>
      <c r="T823" s="32"/>
      <c r="U823" s="29"/>
      <c r="V823" s="29"/>
      <c r="W823" s="24"/>
      <c r="X823" s="18"/>
      <c r="Y823" s="18"/>
      <c r="Z823" s="18"/>
      <c r="AA823" s="18"/>
      <c r="AB823" s="18"/>
      <c r="AC823" s="18"/>
      <c r="AD823" s="18"/>
      <c r="AE823" s="19"/>
      <c r="AF823" s="20"/>
      <c r="AG823" s="21"/>
      <c r="AH823" s="21"/>
      <c r="AI823" s="19"/>
      <c r="AJ823" s="29"/>
      <c r="AK823" s="29"/>
      <c r="AL823" s="29"/>
    </row>
    <row r="824" spans="2:38" s="28" customFormat="1" x14ac:dyDescent="0.3">
      <c r="B824" s="24"/>
      <c r="C824" s="37"/>
      <c r="D824" s="37"/>
      <c r="E824" s="37"/>
      <c r="F824" s="35"/>
      <c r="G824" s="35"/>
      <c r="H824" s="35"/>
      <c r="I824" s="35"/>
      <c r="J824" s="35"/>
      <c r="K824" s="35"/>
      <c r="L824" s="35"/>
      <c r="M824" s="31"/>
      <c r="N824" s="32"/>
      <c r="O824" s="32"/>
      <c r="P824" s="32"/>
      <c r="Q824" s="32"/>
      <c r="R824" s="32"/>
      <c r="S824" s="32"/>
      <c r="T824" s="32"/>
      <c r="U824" s="29"/>
      <c r="V824" s="29"/>
      <c r="W824" s="24"/>
      <c r="X824" s="18"/>
      <c r="Y824" s="18"/>
      <c r="Z824" s="18"/>
      <c r="AA824" s="18"/>
      <c r="AB824" s="18"/>
      <c r="AC824" s="18"/>
      <c r="AD824" s="18"/>
      <c r="AE824" s="19"/>
      <c r="AF824" s="20"/>
      <c r="AG824" s="21"/>
      <c r="AH824" s="21"/>
      <c r="AI824" s="19"/>
      <c r="AJ824" s="29"/>
      <c r="AK824" s="29"/>
      <c r="AL824" s="29"/>
    </row>
    <row r="825" spans="2:38" s="28" customFormat="1" x14ac:dyDescent="0.3">
      <c r="B825" s="24"/>
      <c r="C825" s="37"/>
      <c r="D825" s="37"/>
      <c r="E825" s="37"/>
      <c r="F825" s="35"/>
      <c r="G825" s="35"/>
      <c r="H825" s="35"/>
      <c r="I825" s="35"/>
      <c r="J825" s="35"/>
      <c r="K825" s="35"/>
      <c r="L825" s="35"/>
      <c r="M825" s="31"/>
      <c r="N825" s="32"/>
      <c r="O825" s="32"/>
      <c r="P825" s="32"/>
      <c r="Q825" s="32"/>
      <c r="R825" s="32"/>
      <c r="S825" s="32"/>
      <c r="T825" s="32"/>
      <c r="U825" s="29"/>
      <c r="V825" s="29"/>
      <c r="W825" s="24"/>
      <c r="X825" s="18"/>
      <c r="Y825" s="18"/>
      <c r="Z825" s="18"/>
      <c r="AA825" s="18"/>
      <c r="AB825" s="18"/>
      <c r="AC825" s="18"/>
      <c r="AD825" s="18"/>
      <c r="AE825" s="19"/>
      <c r="AF825" s="20"/>
      <c r="AG825" s="21"/>
      <c r="AH825" s="21"/>
      <c r="AI825" s="19"/>
      <c r="AJ825" s="29"/>
      <c r="AK825" s="29"/>
      <c r="AL825" s="29"/>
    </row>
    <row r="826" spans="2:38" s="28" customFormat="1" x14ac:dyDescent="0.3">
      <c r="B826" s="24"/>
      <c r="C826" s="37"/>
      <c r="D826" s="37"/>
      <c r="E826" s="37"/>
      <c r="F826" s="35"/>
      <c r="G826" s="35"/>
      <c r="H826" s="35"/>
      <c r="I826" s="35"/>
      <c r="J826" s="35"/>
      <c r="K826" s="35"/>
      <c r="L826" s="35"/>
      <c r="M826" s="31"/>
      <c r="N826" s="32"/>
      <c r="O826" s="32"/>
      <c r="P826" s="32"/>
      <c r="Q826" s="32"/>
      <c r="R826" s="32"/>
      <c r="S826" s="32"/>
      <c r="T826" s="32"/>
      <c r="U826" s="29"/>
      <c r="V826" s="29"/>
      <c r="W826" s="24"/>
      <c r="X826" s="18"/>
      <c r="Y826" s="18"/>
      <c r="Z826" s="18"/>
      <c r="AA826" s="18"/>
      <c r="AB826" s="18"/>
      <c r="AC826" s="18"/>
      <c r="AD826" s="18"/>
      <c r="AE826" s="19"/>
      <c r="AF826" s="20"/>
      <c r="AG826" s="21"/>
      <c r="AH826" s="21"/>
      <c r="AI826" s="19"/>
      <c r="AJ826" s="29"/>
      <c r="AK826" s="29"/>
      <c r="AL826" s="29"/>
    </row>
    <row r="827" spans="2:38" s="28" customFormat="1" x14ac:dyDescent="0.3">
      <c r="B827" s="24"/>
      <c r="C827" s="37"/>
      <c r="D827" s="37"/>
      <c r="E827" s="37"/>
      <c r="F827" s="35"/>
      <c r="G827" s="35"/>
      <c r="H827" s="35"/>
      <c r="I827" s="35"/>
      <c r="J827" s="35"/>
      <c r="K827" s="35"/>
      <c r="L827" s="35"/>
      <c r="M827" s="31"/>
      <c r="N827" s="32"/>
      <c r="O827" s="32"/>
      <c r="P827" s="32"/>
      <c r="Q827" s="32"/>
      <c r="R827" s="32"/>
      <c r="S827" s="32"/>
      <c r="T827" s="32"/>
      <c r="U827" s="29"/>
      <c r="V827" s="29"/>
      <c r="W827" s="24"/>
      <c r="X827" s="18"/>
      <c r="Y827" s="18"/>
      <c r="Z827" s="18"/>
      <c r="AA827" s="18"/>
      <c r="AB827" s="18"/>
      <c r="AC827" s="18"/>
      <c r="AD827" s="18"/>
      <c r="AE827" s="19"/>
      <c r="AF827" s="20"/>
      <c r="AG827" s="21"/>
      <c r="AH827" s="21"/>
      <c r="AI827" s="19"/>
      <c r="AJ827" s="29"/>
      <c r="AK827" s="29"/>
      <c r="AL827" s="29"/>
    </row>
    <row r="828" spans="2:38" s="28" customFormat="1" x14ac:dyDescent="0.3">
      <c r="B828" s="24"/>
      <c r="C828" s="37"/>
      <c r="D828" s="37"/>
      <c r="E828" s="37"/>
      <c r="F828" s="35"/>
      <c r="G828" s="35"/>
      <c r="H828" s="35"/>
      <c r="I828" s="35"/>
      <c r="J828" s="35"/>
      <c r="K828" s="35"/>
      <c r="L828" s="35"/>
      <c r="M828" s="31"/>
      <c r="N828" s="32"/>
      <c r="O828" s="32"/>
      <c r="P828" s="32"/>
      <c r="Q828" s="32"/>
      <c r="R828" s="32"/>
      <c r="S828" s="32"/>
      <c r="T828" s="32"/>
      <c r="U828" s="29"/>
      <c r="V828" s="29"/>
      <c r="W828" s="24"/>
      <c r="X828" s="18"/>
      <c r="Y828" s="18"/>
      <c r="Z828" s="18"/>
      <c r="AA828" s="18"/>
      <c r="AB828" s="18"/>
      <c r="AC828" s="18"/>
      <c r="AD828" s="18"/>
      <c r="AE828" s="19"/>
      <c r="AF828" s="20"/>
      <c r="AG828" s="21"/>
      <c r="AH828" s="21"/>
      <c r="AI828" s="19"/>
      <c r="AJ828" s="29"/>
      <c r="AK828" s="29"/>
      <c r="AL828" s="29"/>
    </row>
    <row r="829" spans="2:38" s="28" customFormat="1" x14ac:dyDescent="0.3">
      <c r="B829" s="24"/>
      <c r="C829" s="37"/>
      <c r="D829" s="37"/>
      <c r="E829" s="37"/>
      <c r="F829" s="35"/>
      <c r="G829" s="35"/>
      <c r="H829" s="35"/>
      <c r="I829" s="35"/>
      <c r="J829" s="35"/>
      <c r="K829" s="35"/>
      <c r="L829" s="35"/>
      <c r="M829" s="31"/>
      <c r="N829" s="32"/>
      <c r="O829" s="32"/>
      <c r="P829" s="32"/>
      <c r="Q829" s="32"/>
      <c r="R829" s="32"/>
      <c r="S829" s="32"/>
      <c r="T829" s="32"/>
      <c r="U829" s="29"/>
      <c r="V829" s="29"/>
      <c r="W829" s="24"/>
      <c r="X829" s="18"/>
      <c r="Y829" s="18"/>
      <c r="Z829" s="18"/>
      <c r="AA829" s="18"/>
      <c r="AB829" s="18"/>
      <c r="AC829" s="18"/>
      <c r="AD829" s="18"/>
      <c r="AE829" s="19"/>
      <c r="AF829" s="20"/>
      <c r="AG829" s="21"/>
      <c r="AH829" s="21"/>
      <c r="AI829" s="19"/>
      <c r="AJ829" s="29"/>
      <c r="AK829" s="29"/>
      <c r="AL829" s="29"/>
    </row>
    <row r="830" spans="2:38" s="28" customFormat="1" x14ac:dyDescent="0.3">
      <c r="B830" s="24"/>
      <c r="C830" s="37"/>
      <c r="D830" s="37"/>
      <c r="E830" s="37"/>
      <c r="F830" s="35"/>
      <c r="G830" s="35"/>
      <c r="H830" s="35"/>
      <c r="I830" s="35"/>
      <c r="J830" s="35"/>
      <c r="K830" s="35"/>
      <c r="L830" s="35"/>
      <c r="M830" s="31"/>
      <c r="N830" s="32"/>
      <c r="O830" s="32"/>
      <c r="P830" s="32"/>
      <c r="Q830" s="32"/>
      <c r="R830" s="32"/>
      <c r="S830" s="32"/>
      <c r="T830" s="32"/>
      <c r="U830" s="29"/>
      <c r="V830" s="29"/>
      <c r="W830" s="24"/>
      <c r="X830" s="18"/>
      <c r="Y830" s="18"/>
      <c r="Z830" s="18"/>
      <c r="AA830" s="18"/>
      <c r="AB830" s="18"/>
      <c r="AC830" s="18"/>
      <c r="AD830" s="18"/>
      <c r="AE830" s="19"/>
      <c r="AF830" s="20"/>
      <c r="AG830" s="21"/>
      <c r="AH830" s="21"/>
      <c r="AI830" s="19"/>
      <c r="AJ830" s="29"/>
      <c r="AK830" s="29"/>
      <c r="AL830" s="29"/>
    </row>
    <row r="831" spans="2:38" s="28" customFormat="1" x14ac:dyDescent="0.3">
      <c r="B831" s="24"/>
      <c r="C831" s="37"/>
      <c r="D831" s="37"/>
      <c r="E831" s="37"/>
      <c r="F831" s="35"/>
      <c r="G831" s="35"/>
      <c r="H831" s="35"/>
      <c r="I831" s="35"/>
      <c r="J831" s="35"/>
      <c r="K831" s="35"/>
      <c r="L831" s="35"/>
      <c r="M831" s="31"/>
      <c r="N831" s="32"/>
      <c r="O831" s="32"/>
      <c r="P831" s="32"/>
      <c r="Q831" s="32"/>
      <c r="R831" s="32"/>
      <c r="S831" s="32"/>
      <c r="T831" s="32"/>
      <c r="U831" s="29"/>
      <c r="V831" s="29"/>
      <c r="W831" s="24"/>
      <c r="X831" s="18"/>
      <c r="Y831" s="18"/>
      <c r="Z831" s="18"/>
      <c r="AA831" s="18"/>
      <c r="AB831" s="18"/>
      <c r="AC831" s="18"/>
      <c r="AD831" s="18"/>
      <c r="AE831" s="19"/>
      <c r="AF831" s="20"/>
      <c r="AG831" s="21"/>
      <c r="AH831" s="21"/>
      <c r="AI831" s="19"/>
      <c r="AJ831" s="29"/>
      <c r="AK831" s="29"/>
      <c r="AL831" s="29"/>
    </row>
    <row r="832" spans="2:38" s="28" customFormat="1" x14ac:dyDescent="0.3">
      <c r="B832" s="24"/>
      <c r="C832" s="37"/>
      <c r="D832" s="37"/>
      <c r="E832" s="37"/>
      <c r="F832" s="35"/>
      <c r="G832" s="35"/>
      <c r="H832" s="35"/>
      <c r="I832" s="35"/>
      <c r="J832" s="35"/>
      <c r="K832" s="35"/>
      <c r="L832" s="35"/>
      <c r="M832" s="31"/>
      <c r="N832" s="32"/>
      <c r="O832" s="32"/>
      <c r="P832" s="32"/>
      <c r="Q832" s="32"/>
      <c r="R832" s="32"/>
      <c r="S832" s="32"/>
      <c r="T832" s="32"/>
      <c r="U832" s="29"/>
      <c r="V832" s="29"/>
      <c r="W832" s="24"/>
      <c r="X832" s="18"/>
      <c r="Y832" s="18"/>
      <c r="Z832" s="18"/>
      <c r="AA832" s="18"/>
      <c r="AB832" s="18"/>
      <c r="AC832" s="18"/>
      <c r="AD832" s="18"/>
      <c r="AE832" s="19"/>
      <c r="AF832" s="20"/>
      <c r="AG832" s="21"/>
      <c r="AH832" s="21"/>
      <c r="AI832" s="19"/>
      <c r="AJ832" s="29"/>
      <c r="AK832" s="29"/>
      <c r="AL832" s="29"/>
    </row>
    <row r="833" spans="2:38" s="28" customFormat="1" x14ac:dyDescent="0.3">
      <c r="B833" s="24"/>
      <c r="C833" s="37"/>
      <c r="D833" s="37"/>
      <c r="E833" s="37"/>
      <c r="F833" s="35"/>
      <c r="G833" s="35"/>
      <c r="H833" s="35"/>
      <c r="I833" s="35"/>
      <c r="J833" s="35"/>
      <c r="K833" s="35"/>
      <c r="L833" s="35"/>
      <c r="M833" s="31"/>
      <c r="N833" s="32"/>
      <c r="O833" s="32"/>
      <c r="P833" s="32"/>
      <c r="Q833" s="32"/>
      <c r="R833" s="32"/>
      <c r="S833" s="32"/>
      <c r="T833" s="32"/>
      <c r="U833" s="29"/>
      <c r="V833" s="29"/>
      <c r="W833" s="24"/>
      <c r="X833" s="18"/>
      <c r="Y833" s="18"/>
      <c r="Z833" s="18"/>
      <c r="AA833" s="18"/>
      <c r="AB833" s="18"/>
      <c r="AC833" s="18"/>
      <c r="AD833" s="18"/>
      <c r="AE833" s="19"/>
      <c r="AF833" s="20"/>
      <c r="AG833" s="21"/>
      <c r="AH833" s="21"/>
      <c r="AI833" s="19"/>
      <c r="AJ833" s="29"/>
      <c r="AK833" s="29"/>
      <c r="AL833" s="29"/>
    </row>
    <row r="834" spans="2:38" s="28" customFormat="1" x14ac:dyDescent="0.3">
      <c r="B834" s="24"/>
      <c r="C834" s="37"/>
      <c r="D834" s="37"/>
      <c r="E834" s="37"/>
      <c r="F834" s="35"/>
      <c r="G834" s="35"/>
      <c r="H834" s="35"/>
      <c r="I834" s="35"/>
      <c r="J834" s="35"/>
      <c r="K834" s="35"/>
      <c r="L834" s="35"/>
      <c r="M834" s="31"/>
      <c r="N834" s="32"/>
      <c r="O834" s="32"/>
      <c r="P834" s="32"/>
      <c r="Q834" s="32"/>
      <c r="R834" s="32"/>
      <c r="S834" s="32"/>
      <c r="T834" s="32"/>
      <c r="U834" s="29"/>
      <c r="V834" s="29"/>
      <c r="W834" s="24"/>
      <c r="X834" s="18"/>
      <c r="Y834" s="18"/>
      <c r="Z834" s="18"/>
      <c r="AA834" s="18"/>
      <c r="AB834" s="18"/>
      <c r="AC834" s="18"/>
      <c r="AD834" s="18"/>
      <c r="AE834" s="19"/>
      <c r="AF834" s="20"/>
      <c r="AG834" s="21"/>
      <c r="AH834" s="21"/>
      <c r="AI834" s="19"/>
      <c r="AJ834" s="29"/>
      <c r="AK834" s="29"/>
      <c r="AL834" s="29"/>
    </row>
    <row r="835" spans="2:38" s="28" customFormat="1" x14ac:dyDescent="0.3">
      <c r="B835" s="24"/>
      <c r="C835" s="37"/>
      <c r="D835" s="37"/>
      <c r="E835" s="37"/>
      <c r="F835" s="35"/>
      <c r="G835" s="35"/>
      <c r="H835" s="35"/>
      <c r="I835" s="35"/>
      <c r="J835" s="35"/>
      <c r="K835" s="35"/>
      <c r="L835" s="35"/>
      <c r="M835" s="31"/>
      <c r="N835" s="32"/>
      <c r="O835" s="32"/>
      <c r="P835" s="32"/>
      <c r="Q835" s="32"/>
      <c r="R835" s="32"/>
      <c r="S835" s="32"/>
      <c r="T835" s="32"/>
      <c r="U835" s="29"/>
      <c r="V835" s="29"/>
      <c r="W835" s="24"/>
      <c r="X835" s="18"/>
      <c r="Y835" s="18"/>
      <c r="Z835" s="18"/>
      <c r="AA835" s="18"/>
      <c r="AB835" s="18"/>
      <c r="AC835" s="18"/>
      <c r="AD835" s="18"/>
      <c r="AE835" s="19"/>
      <c r="AF835" s="20"/>
      <c r="AG835" s="21"/>
      <c r="AH835" s="21"/>
      <c r="AI835" s="19"/>
      <c r="AJ835" s="29"/>
      <c r="AK835" s="29"/>
      <c r="AL835" s="29"/>
    </row>
    <row r="836" spans="2:38" s="28" customFormat="1" x14ac:dyDescent="0.3">
      <c r="B836" s="24"/>
      <c r="C836" s="37"/>
      <c r="D836" s="37"/>
      <c r="E836" s="37"/>
      <c r="F836" s="35"/>
      <c r="G836" s="35"/>
      <c r="H836" s="35"/>
      <c r="I836" s="35"/>
      <c r="J836" s="35"/>
      <c r="K836" s="35"/>
      <c r="L836" s="35"/>
      <c r="M836" s="31"/>
      <c r="N836" s="32"/>
      <c r="O836" s="32"/>
      <c r="P836" s="32"/>
      <c r="Q836" s="32"/>
      <c r="R836" s="32"/>
      <c r="S836" s="32"/>
      <c r="T836" s="32"/>
      <c r="U836" s="29"/>
      <c r="V836" s="29"/>
      <c r="W836" s="24"/>
      <c r="X836" s="18"/>
      <c r="Y836" s="18"/>
      <c r="Z836" s="18"/>
      <c r="AA836" s="18"/>
      <c r="AB836" s="18"/>
      <c r="AC836" s="18"/>
      <c r="AD836" s="18"/>
      <c r="AE836" s="19"/>
      <c r="AF836" s="20"/>
      <c r="AG836" s="21"/>
      <c r="AH836" s="21"/>
      <c r="AI836" s="19"/>
      <c r="AJ836" s="29"/>
      <c r="AK836" s="29"/>
      <c r="AL836" s="29"/>
    </row>
    <row r="837" spans="2:38" s="28" customFormat="1" x14ac:dyDescent="0.3">
      <c r="B837" s="24"/>
      <c r="C837" s="37"/>
      <c r="D837" s="37"/>
      <c r="E837" s="37"/>
      <c r="F837" s="35"/>
      <c r="G837" s="35"/>
      <c r="H837" s="35"/>
      <c r="I837" s="35"/>
      <c r="J837" s="35"/>
      <c r="K837" s="35"/>
      <c r="L837" s="35"/>
      <c r="M837" s="31"/>
      <c r="N837" s="32"/>
      <c r="O837" s="32"/>
      <c r="P837" s="32"/>
      <c r="Q837" s="32"/>
      <c r="R837" s="32"/>
      <c r="S837" s="32"/>
      <c r="T837" s="32"/>
      <c r="U837" s="29"/>
      <c r="V837" s="29"/>
      <c r="W837" s="24"/>
      <c r="X837" s="18"/>
      <c r="Y837" s="18"/>
      <c r="Z837" s="18"/>
      <c r="AA837" s="18"/>
      <c r="AB837" s="18"/>
      <c r="AC837" s="18"/>
      <c r="AD837" s="18"/>
      <c r="AE837" s="19"/>
      <c r="AF837" s="20"/>
      <c r="AG837" s="21"/>
      <c r="AH837" s="21"/>
      <c r="AI837" s="19"/>
      <c r="AJ837" s="29"/>
      <c r="AK837" s="29"/>
      <c r="AL837" s="29"/>
    </row>
    <row r="838" spans="2:38" s="28" customFormat="1" x14ac:dyDescent="0.3">
      <c r="B838" s="24"/>
      <c r="C838" s="37"/>
      <c r="D838" s="37"/>
      <c r="E838" s="37"/>
      <c r="F838" s="35"/>
      <c r="G838" s="35"/>
      <c r="H838" s="35"/>
      <c r="I838" s="35"/>
      <c r="J838" s="35"/>
      <c r="K838" s="35"/>
      <c r="L838" s="35"/>
      <c r="M838" s="31"/>
      <c r="N838" s="32"/>
      <c r="O838" s="32"/>
      <c r="P838" s="32"/>
      <c r="Q838" s="32"/>
      <c r="R838" s="32"/>
      <c r="S838" s="32"/>
      <c r="T838" s="32"/>
      <c r="U838" s="29"/>
      <c r="V838" s="29"/>
      <c r="W838" s="24"/>
      <c r="X838" s="18"/>
      <c r="Y838" s="18"/>
      <c r="Z838" s="18"/>
      <c r="AA838" s="18"/>
      <c r="AB838" s="18"/>
      <c r="AC838" s="18"/>
      <c r="AD838" s="18"/>
      <c r="AE838" s="19"/>
      <c r="AF838" s="20"/>
      <c r="AG838" s="21"/>
      <c r="AH838" s="21"/>
      <c r="AI838" s="19"/>
      <c r="AJ838" s="29"/>
      <c r="AK838" s="29"/>
      <c r="AL838" s="29"/>
    </row>
    <row r="839" spans="2:38" s="28" customFormat="1" x14ac:dyDescent="0.3">
      <c r="B839" s="24"/>
      <c r="C839" s="37"/>
      <c r="D839" s="37"/>
      <c r="E839" s="37"/>
      <c r="F839" s="35"/>
      <c r="G839" s="35"/>
      <c r="H839" s="35"/>
      <c r="I839" s="35"/>
      <c r="J839" s="35"/>
      <c r="K839" s="35"/>
      <c r="L839" s="35"/>
      <c r="M839" s="31"/>
      <c r="N839" s="32"/>
      <c r="O839" s="32"/>
      <c r="P839" s="32"/>
      <c r="Q839" s="32"/>
      <c r="R839" s="32"/>
      <c r="S839" s="32"/>
      <c r="T839" s="32"/>
      <c r="U839" s="29"/>
      <c r="V839" s="29"/>
      <c r="W839" s="24"/>
      <c r="X839" s="18"/>
      <c r="Y839" s="18"/>
      <c r="Z839" s="18"/>
      <c r="AA839" s="18"/>
      <c r="AB839" s="18"/>
      <c r="AC839" s="18"/>
      <c r="AD839" s="18"/>
      <c r="AE839" s="19"/>
      <c r="AF839" s="20"/>
      <c r="AG839" s="21"/>
      <c r="AH839" s="21"/>
      <c r="AI839" s="19"/>
      <c r="AJ839" s="29"/>
      <c r="AK839" s="29"/>
      <c r="AL839" s="29"/>
    </row>
    <row r="840" spans="2:38" s="28" customFormat="1" x14ac:dyDescent="0.3">
      <c r="B840" s="24"/>
      <c r="C840" s="37"/>
      <c r="D840" s="37"/>
      <c r="E840" s="37"/>
      <c r="F840" s="35"/>
      <c r="G840" s="35"/>
      <c r="H840" s="35"/>
      <c r="I840" s="35"/>
      <c r="J840" s="35"/>
      <c r="K840" s="35"/>
      <c r="L840" s="35"/>
      <c r="M840" s="31"/>
      <c r="N840" s="32"/>
      <c r="O840" s="32"/>
      <c r="P840" s="32"/>
      <c r="Q840" s="32"/>
      <c r="R840" s="32"/>
      <c r="S840" s="32"/>
      <c r="T840" s="32"/>
      <c r="U840" s="29"/>
      <c r="V840" s="29"/>
      <c r="W840" s="24"/>
      <c r="X840" s="18"/>
      <c r="Y840" s="18"/>
      <c r="Z840" s="18"/>
      <c r="AA840" s="18"/>
      <c r="AB840" s="18"/>
      <c r="AC840" s="18"/>
      <c r="AD840" s="18"/>
      <c r="AE840" s="19"/>
      <c r="AF840" s="20"/>
      <c r="AG840" s="21"/>
      <c r="AH840" s="21"/>
      <c r="AI840" s="19"/>
      <c r="AJ840" s="29"/>
      <c r="AK840" s="29"/>
      <c r="AL840" s="29"/>
    </row>
    <row r="841" spans="2:38" s="28" customFormat="1" x14ac:dyDescent="0.3">
      <c r="B841" s="24"/>
      <c r="C841" s="37"/>
      <c r="D841" s="37"/>
      <c r="E841" s="37"/>
      <c r="F841" s="35"/>
      <c r="G841" s="35"/>
      <c r="H841" s="35"/>
      <c r="I841" s="35"/>
      <c r="J841" s="35"/>
      <c r="K841" s="35"/>
      <c r="L841" s="35"/>
      <c r="M841" s="31"/>
      <c r="N841" s="32"/>
      <c r="O841" s="32"/>
      <c r="P841" s="32"/>
      <c r="Q841" s="32"/>
      <c r="R841" s="32"/>
      <c r="S841" s="32"/>
      <c r="T841" s="32"/>
      <c r="U841" s="29"/>
      <c r="V841" s="29"/>
      <c r="W841" s="24"/>
      <c r="X841" s="18"/>
      <c r="Y841" s="18"/>
      <c r="Z841" s="18"/>
      <c r="AA841" s="18"/>
      <c r="AB841" s="18"/>
      <c r="AC841" s="18"/>
      <c r="AD841" s="18"/>
      <c r="AE841" s="19"/>
      <c r="AF841" s="20"/>
      <c r="AG841" s="21"/>
      <c r="AH841" s="21"/>
      <c r="AI841" s="19"/>
      <c r="AJ841" s="29"/>
      <c r="AK841" s="29"/>
      <c r="AL841" s="29"/>
    </row>
    <row r="842" spans="2:38" s="28" customFormat="1" x14ac:dyDescent="0.3">
      <c r="B842" s="24"/>
      <c r="C842" s="37"/>
      <c r="D842" s="37"/>
      <c r="E842" s="37"/>
      <c r="F842" s="35"/>
      <c r="G842" s="35"/>
      <c r="H842" s="35"/>
      <c r="I842" s="35"/>
      <c r="J842" s="35"/>
      <c r="K842" s="35"/>
      <c r="L842" s="35"/>
      <c r="M842" s="31"/>
      <c r="N842" s="32"/>
      <c r="O842" s="32"/>
      <c r="P842" s="32"/>
      <c r="Q842" s="32"/>
      <c r="R842" s="32"/>
      <c r="S842" s="32"/>
      <c r="T842" s="32"/>
      <c r="U842" s="29"/>
      <c r="V842" s="29"/>
      <c r="W842" s="24"/>
      <c r="X842" s="18"/>
      <c r="Y842" s="18"/>
      <c r="Z842" s="18"/>
      <c r="AA842" s="18"/>
      <c r="AB842" s="18"/>
      <c r="AC842" s="18"/>
      <c r="AD842" s="18"/>
      <c r="AE842" s="19"/>
      <c r="AF842" s="20"/>
      <c r="AG842" s="21"/>
      <c r="AH842" s="21"/>
      <c r="AI842" s="19"/>
      <c r="AJ842" s="29"/>
      <c r="AK842" s="29"/>
      <c r="AL842" s="29"/>
    </row>
    <row r="843" spans="2:38" s="28" customFormat="1" x14ac:dyDescent="0.3">
      <c r="B843" s="24"/>
      <c r="C843" s="37"/>
      <c r="D843" s="37"/>
      <c r="E843" s="37"/>
      <c r="F843" s="35"/>
      <c r="G843" s="35"/>
      <c r="H843" s="35"/>
      <c r="I843" s="35"/>
      <c r="J843" s="35"/>
      <c r="K843" s="35"/>
      <c r="L843" s="35"/>
      <c r="M843" s="31"/>
      <c r="N843" s="32"/>
      <c r="O843" s="32"/>
      <c r="P843" s="32"/>
      <c r="Q843" s="32"/>
      <c r="R843" s="32"/>
      <c r="S843" s="32"/>
      <c r="T843" s="32"/>
      <c r="U843" s="29"/>
      <c r="V843" s="29"/>
      <c r="W843" s="24"/>
      <c r="X843" s="18"/>
      <c r="Y843" s="18"/>
      <c r="Z843" s="18"/>
      <c r="AA843" s="18"/>
      <c r="AB843" s="18"/>
      <c r="AC843" s="18"/>
      <c r="AD843" s="18"/>
      <c r="AE843" s="19"/>
      <c r="AF843" s="20"/>
      <c r="AG843" s="21"/>
      <c r="AH843" s="21"/>
      <c r="AI843" s="19"/>
      <c r="AJ843" s="29"/>
      <c r="AK843" s="29"/>
      <c r="AL843" s="29"/>
    </row>
    <row r="844" spans="2:38" s="28" customFormat="1" x14ac:dyDescent="0.3">
      <c r="B844" s="24"/>
      <c r="C844" s="37"/>
      <c r="D844" s="37"/>
      <c r="E844" s="37"/>
      <c r="F844" s="35"/>
      <c r="G844" s="35"/>
      <c r="H844" s="35"/>
      <c r="I844" s="35"/>
      <c r="J844" s="35"/>
      <c r="K844" s="35"/>
      <c r="L844" s="35"/>
      <c r="M844" s="31"/>
      <c r="N844" s="32"/>
      <c r="O844" s="32"/>
      <c r="P844" s="32"/>
      <c r="Q844" s="32"/>
      <c r="R844" s="32"/>
      <c r="S844" s="32"/>
      <c r="T844" s="32"/>
      <c r="U844" s="29"/>
      <c r="V844" s="29"/>
      <c r="W844" s="24"/>
      <c r="X844" s="18"/>
      <c r="Y844" s="18"/>
      <c r="Z844" s="18"/>
      <c r="AA844" s="18"/>
      <c r="AB844" s="18"/>
      <c r="AC844" s="18"/>
      <c r="AD844" s="18"/>
      <c r="AE844" s="19"/>
      <c r="AF844" s="20"/>
      <c r="AG844" s="21"/>
      <c r="AH844" s="21"/>
      <c r="AI844" s="19"/>
      <c r="AJ844" s="29"/>
      <c r="AK844" s="29"/>
      <c r="AL844" s="29"/>
    </row>
    <row r="845" spans="2:38" s="28" customFormat="1" x14ac:dyDescent="0.3">
      <c r="B845" s="24"/>
      <c r="C845" s="37"/>
      <c r="D845" s="37"/>
      <c r="E845" s="37"/>
      <c r="F845" s="35"/>
      <c r="G845" s="35"/>
      <c r="H845" s="35"/>
      <c r="I845" s="35"/>
      <c r="J845" s="35"/>
      <c r="K845" s="35"/>
      <c r="L845" s="35"/>
      <c r="M845" s="31"/>
      <c r="N845" s="32"/>
      <c r="O845" s="32"/>
      <c r="P845" s="32"/>
      <c r="Q845" s="32"/>
      <c r="R845" s="32"/>
      <c r="S845" s="32"/>
      <c r="T845" s="32"/>
      <c r="U845" s="29"/>
      <c r="V845" s="29"/>
      <c r="W845" s="24"/>
      <c r="X845" s="18"/>
      <c r="Y845" s="18"/>
      <c r="Z845" s="18"/>
      <c r="AA845" s="18"/>
      <c r="AB845" s="18"/>
      <c r="AC845" s="18"/>
      <c r="AD845" s="18"/>
      <c r="AE845" s="19"/>
      <c r="AF845" s="20"/>
      <c r="AG845" s="21"/>
      <c r="AH845" s="21"/>
      <c r="AI845" s="19"/>
      <c r="AJ845" s="29"/>
      <c r="AK845" s="29"/>
      <c r="AL845" s="29"/>
    </row>
    <row r="846" spans="2:38" s="28" customFormat="1" x14ac:dyDescent="0.3">
      <c r="B846" s="24"/>
      <c r="C846" s="37"/>
      <c r="D846" s="37"/>
      <c r="E846" s="37"/>
      <c r="F846" s="35"/>
      <c r="G846" s="35"/>
      <c r="H846" s="35"/>
      <c r="I846" s="35"/>
      <c r="J846" s="35"/>
      <c r="K846" s="35"/>
      <c r="L846" s="35"/>
      <c r="M846" s="31"/>
      <c r="N846" s="32"/>
      <c r="O846" s="32"/>
      <c r="P846" s="32"/>
      <c r="Q846" s="32"/>
      <c r="R846" s="32"/>
      <c r="S846" s="32"/>
      <c r="T846" s="32"/>
      <c r="U846" s="29"/>
      <c r="V846" s="29"/>
      <c r="W846" s="24"/>
      <c r="X846" s="18"/>
      <c r="Y846" s="18"/>
      <c r="Z846" s="18"/>
      <c r="AA846" s="18"/>
      <c r="AB846" s="18"/>
      <c r="AC846" s="18"/>
      <c r="AD846" s="18"/>
      <c r="AE846" s="19"/>
      <c r="AF846" s="20"/>
      <c r="AG846" s="21"/>
      <c r="AH846" s="21"/>
      <c r="AI846" s="19"/>
      <c r="AJ846" s="29"/>
      <c r="AK846" s="29"/>
      <c r="AL846" s="29"/>
    </row>
    <row r="847" spans="2:38" s="28" customFormat="1" x14ac:dyDescent="0.3">
      <c r="B847" s="24"/>
      <c r="C847" s="37"/>
      <c r="D847" s="37"/>
      <c r="E847" s="37"/>
      <c r="F847" s="35"/>
      <c r="G847" s="35"/>
      <c r="H847" s="35"/>
      <c r="I847" s="35"/>
      <c r="J847" s="35"/>
      <c r="K847" s="35"/>
      <c r="L847" s="35"/>
      <c r="M847" s="31"/>
      <c r="N847" s="32"/>
      <c r="O847" s="32"/>
      <c r="P847" s="32"/>
      <c r="Q847" s="32"/>
      <c r="R847" s="32"/>
      <c r="S847" s="32"/>
      <c r="T847" s="32"/>
      <c r="U847" s="29"/>
      <c r="V847" s="29"/>
      <c r="W847" s="24"/>
      <c r="X847" s="18"/>
      <c r="Y847" s="18"/>
      <c r="Z847" s="18"/>
      <c r="AA847" s="18"/>
      <c r="AB847" s="18"/>
      <c r="AC847" s="18"/>
      <c r="AD847" s="18"/>
      <c r="AE847" s="19"/>
      <c r="AF847" s="20"/>
      <c r="AG847" s="21"/>
      <c r="AH847" s="21"/>
      <c r="AI847" s="19"/>
      <c r="AJ847" s="29"/>
      <c r="AK847" s="29"/>
      <c r="AL847" s="29"/>
    </row>
    <row r="848" spans="2:38" s="28" customFormat="1" x14ac:dyDescent="0.3">
      <c r="B848" s="24"/>
      <c r="C848" s="37"/>
      <c r="D848" s="37"/>
      <c r="E848" s="37"/>
      <c r="F848" s="35"/>
      <c r="G848" s="35"/>
      <c r="H848" s="35"/>
      <c r="I848" s="35"/>
      <c r="J848" s="35"/>
      <c r="K848" s="35"/>
      <c r="L848" s="35"/>
      <c r="M848" s="31"/>
      <c r="N848" s="32"/>
      <c r="O848" s="32"/>
      <c r="P848" s="32"/>
      <c r="Q848" s="32"/>
      <c r="R848" s="32"/>
      <c r="S848" s="32"/>
      <c r="T848" s="32"/>
      <c r="U848" s="29"/>
      <c r="V848" s="29"/>
      <c r="W848" s="24"/>
      <c r="X848" s="18"/>
      <c r="Y848" s="18"/>
      <c r="Z848" s="18"/>
      <c r="AA848" s="18"/>
      <c r="AB848" s="18"/>
      <c r="AC848" s="18"/>
      <c r="AD848" s="18"/>
      <c r="AE848" s="19"/>
      <c r="AF848" s="20"/>
      <c r="AG848" s="21"/>
      <c r="AH848" s="21"/>
      <c r="AI848" s="19"/>
      <c r="AJ848" s="29"/>
      <c r="AK848" s="29"/>
      <c r="AL848" s="29"/>
    </row>
    <row r="849" spans="2:38" s="28" customFormat="1" x14ac:dyDescent="0.3">
      <c r="B849" s="24"/>
      <c r="C849" s="37"/>
      <c r="D849" s="37"/>
      <c r="E849" s="37"/>
      <c r="F849" s="35"/>
      <c r="G849" s="35"/>
      <c r="H849" s="35"/>
      <c r="I849" s="35"/>
      <c r="J849" s="35"/>
      <c r="K849" s="35"/>
      <c r="L849" s="35"/>
      <c r="M849" s="31"/>
      <c r="N849" s="32"/>
      <c r="O849" s="32"/>
      <c r="P849" s="32"/>
      <c r="Q849" s="32"/>
      <c r="R849" s="32"/>
      <c r="S849" s="32"/>
      <c r="T849" s="32"/>
      <c r="U849" s="29"/>
      <c r="V849" s="29"/>
      <c r="W849" s="24"/>
      <c r="X849" s="18"/>
      <c r="Y849" s="18"/>
      <c r="Z849" s="18"/>
      <c r="AA849" s="18"/>
      <c r="AB849" s="18"/>
      <c r="AC849" s="18"/>
      <c r="AD849" s="18"/>
      <c r="AE849" s="19"/>
      <c r="AF849" s="20"/>
      <c r="AG849" s="21"/>
      <c r="AH849" s="21"/>
      <c r="AI849" s="19"/>
      <c r="AJ849" s="29"/>
      <c r="AK849" s="29"/>
      <c r="AL849" s="29"/>
    </row>
    <row r="850" spans="2:38" s="28" customFormat="1" x14ac:dyDescent="0.3">
      <c r="B850" s="24"/>
      <c r="C850" s="37"/>
      <c r="D850" s="37"/>
      <c r="E850" s="37"/>
      <c r="F850" s="35"/>
      <c r="G850" s="35"/>
      <c r="H850" s="35"/>
      <c r="I850" s="35"/>
      <c r="J850" s="35"/>
      <c r="K850" s="35"/>
      <c r="L850" s="35"/>
      <c r="M850" s="31"/>
      <c r="N850" s="32"/>
      <c r="O850" s="32"/>
      <c r="P850" s="32"/>
      <c r="Q850" s="32"/>
      <c r="R850" s="32"/>
      <c r="S850" s="32"/>
      <c r="T850" s="32"/>
      <c r="U850" s="29"/>
      <c r="V850" s="29"/>
      <c r="W850" s="24"/>
      <c r="X850" s="18"/>
      <c r="Y850" s="18"/>
      <c r="Z850" s="18"/>
      <c r="AA850" s="18"/>
      <c r="AB850" s="18"/>
      <c r="AC850" s="18"/>
      <c r="AD850" s="18"/>
      <c r="AE850" s="19"/>
      <c r="AF850" s="20"/>
      <c r="AG850" s="21"/>
      <c r="AH850" s="21"/>
      <c r="AI850" s="19"/>
      <c r="AJ850" s="29"/>
      <c r="AK850" s="29"/>
      <c r="AL850" s="29"/>
    </row>
    <row r="851" spans="2:38" s="28" customFormat="1" x14ac:dyDescent="0.3">
      <c r="B851" s="24"/>
      <c r="C851" s="37"/>
      <c r="D851" s="37"/>
      <c r="E851" s="37"/>
      <c r="F851" s="35"/>
      <c r="G851" s="35"/>
      <c r="H851" s="35"/>
      <c r="I851" s="35"/>
      <c r="J851" s="35"/>
      <c r="K851" s="35"/>
      <c r="L851" s="35"/>
      <c r="M851" s="31"/>
      <c r="N851" s="32"/>
      <c r="O851" s="32"/>
      <c r="P851" s="32"/>
      <c r="Q851" s="32"/>
      <c r="R851" s="32"/>
      <c r="S851" s="32"/>
      <c r="T851" s="32"/>
      <c r="U851" s="29"/>
      <c r="V851" s="29"/>
      <c r="W851" s="24"/>
      <c r="X851" s="18"/>
      <c r="Y851" s="18"/>
      <c r="Z851" s="18"/>
      <c r="AA851" s="18"/>
      <c r="AB851" s="18"/>
      <c r="AC851" s="18"/>
      <c r="AD851" s="18"/>
      <c r="AE851" s="19"/>
      <c r="AF851" s="20"/>
      <c r="AG851" s="21"/>
      <c r="AH851" s="21"/>
      <c r="AI851" s="19"/>
      <c r="AJ851" s="29"/>
      <c r="AK851" s="29"/>
      <c r="AL851" s="29"/>
    </row>
    <row r="852" spans="2:38" s="28" customFormat="1" x14ac:dyDescent="0.3">
      <c r="B852" s="24"/>
      <c r="C852" s="37"/>
      <c r="D852" s="37"/>
      <c r="E852" s="37"/>
      <c r="F852" s="35"/>
      <c r="G852" s="35"/>
      <c r="H852" s="35"/>
      <c r="I852" s="35"/>
      <c r="J852" s="35"/>
      <c r="K852" s="35"/>
      <c r="L852" s="35"/>
      <c r="M852" s="31"/>
      <c r="N852" s="32"/>
      <c r="O852" s="32"/>
      <c r="P852" s="32"/>
      <c r="Q852" s="32"/>
      <c r="R852" s="32"/>
      <c r="S852" s="32"/>
      <c r="T852" s="32"/>
      <c r="U852" s="29"/>
      <c r="V852" s="29"/>
      <c r="W852" s="24"/>
      <c r="X852" s="18"/>
      <c r="Y852" s="18"/>
      <c r="Z852" s="18"/>
      <c r="AA852" s="18"/>
      <c r="AB852" s="18"/>
      <c r="AC852" s="18"/>
      <c r="AD852" s="18"/>
      <c r="AE852" s="19"/>
      <c r="AF852" s="20"/>
      <c r="AG852" s="21"/>
      <c r="AH852" s="21"/>
      <c r="AI852" s="19"/>
      <c r="AJ852" s="29"/>
      <c r="AK852" s="29"/>
      <c r="AL852" s="29"/>
    </row>
    <row r="853" spans="2:38" s="28" customFormat="1" x14ac:dyDescent="0.3">
      <c r="B853" s="24"/>
      <c r="C853" s="37"/>
      <c r="D853" s="37"/>
      <c r="E853" s="37"/>
      <c r="F853" s="35"/>
      <c r="G853" s="35"/>
      <c r="H853" s="35"/>
      <c r="I853" s="35"/>
      <c r="J853" s="35"/>
      <c r="K853" s="35"/>
      <c r="L853" s="35"/>
      <c r="M853" s="31"/>
      <c r="N853" s="32"/>
      <c r="O853" s="32"/>
      <c r="P853" s="32"/>
      <c r="Q853" s="32"/>
      <c r="R853" s="32"/>
      <c r="S853" s="32"/>
      <c r="T853" s="32"/>
      <c r="U853" s="29"/>
      <c r="V853" s="29"/>
      <c r="W853" s="24"/>
      <c r="X853" s="18"/>
      <c r="Y853" s="18"/>
      <c r="Z853" s="18"/>
      <c r="AA853" s="18"/>
      <c r="AB853" s="18"/>
      <c r="AC853" s="18"/>
      <c r="AD853" s="18"/>
      <c r="AE853" s="19"/>
      <c r="AF853" s="20"/>
      <c r="AG853" s="21"/>
      <c r="AH853" s="21"/>
      <c r="AI853" s="19"/>
      <c r="AJ853" s="29"/>
      <c r="AK853" s="29"/>
      <c r="AL853" s="29"/>
    </row>
    <row r="854" spans="2:38" s="28" customFormat="1" x14ac:dyDescent="0.3">
      <c r="B854" s="24"/>
      <c r="C854" s="37"/>
      <c r="D854" s="37"/>
      <c r="E854" s="37"/>
      <c r="F854" s="35"/>
      <c r="G854" s="35"/>
      <c r="H854" s="35"/>
      <c r="I854" s="35"/>
      <c r="J854" s="35"/>
      <c r="K854" s="35"/>
      <c r="L854" s="35"/>
      <c r="M854" s="31"/>
      <c r="N854" s="32"/>
      <c r="O854" s="32"/>
      <c r="P854" s="32"/>
      <c r="Q854" s="32"/>
      <c r="R854" s="32"/>
      <c r="S854" s="32"/>
      <c r="T854" s="32"/>
      <c r="U854" s="29"/>
      <c r="V854" s="29"/>
      <c r="W854" s="24"/>
      <c r="X854" s="18"/>
      <c r="Y854" s="18"/>
      <c r="Z854" s="18"/>
      <c r="AA854" s="18"/>
      <c r="AB854" s="18"/>
      <c r="AC854" s="18"/>
      <c r="AD854" s="18"/>
      <c r="AE854" s="19"/>
      <c r="AF854" s="20"/>
      <c r="AG854" s="21"/>
      <c r="AH854" s="21"/>
      <c r="AI854" s="19"/>
      <c r="AJ854" s="29"/>
      <c r="AK854" s="29"/>
      <c r="AL854" s="29"/>
    </row>
    <row r="855" spans="2:38" s="28" customFormat="1" x14ac:dyDescent="0.3">
      <c r="B855" s="24"/>
      <c r="C855" s="37"/>
      <c r="D855" s="37"/>
      <c r="E855" s="37"/>
      <c r="F855" s="35"/>
      <c r="G855" s="35"/>
      <c r="H855" s="35"/>
      <c r="I855" s="35"/>
      <c r="J855" s="35"/>
      <c r="K855" s="35"/>
      <c r="L855" s="35"/>
      <c r="M855" s="31"/>
      <c r="N855" s="32"/>
      <c r="O855" s="32"/>
      <c r="P855" s="32"/>
      <c r="Q855" s="32"/>
      <c r="R855" s="32"/>
      <c r="S855" s="32"/>
      <c r="T855" s="32"/>
      <c r="U855" s="29"/>
      <c r="V855" s="29"/>
      <c r="W855" s="24"/>
      <c r="X855" s="18"/>
      <c r="Y855" s="18"/>
      <c r="Z855" s="18"/>
      <c r="AA855" s="18"/>
      <c r="AB855" s="18"/>
      <c r="AC855" s="18"/>
      <c r="AD855" s="18"/>
      <c r="AE855" s="19"/>
      <c r="AF855" s="20"/>
      <c r="AG855" s="21"/>
      <c r="AH855" s="21"/>
      <c r="AI855" s="19"/>
      <c r="AJ855" s="29"/>
      <c r="AK855" s="29"/>
      <c r="AL855" s="29"/>
    </row>
    <row r="856" spans="2:38" s="28" customFormat="1" x14ac:dyDescent="0.3">
      <c r="B856" s="24"/>
      <c r="C856" s="37"/>
      <c r="D856" s="37"/>
      <c r="E856" s="37"/>
      <c r="F856" s="35"/>
      <c r="G856" s="35"/>
      <c r="H856" s="35"/>
      <c r="I856" s="35"/>
      <c r="J856" s="35"/>
      <c r="K856" s="35"/>
      <c r="L856" s="35"/>
      <c r="M856" s="31"/>
      <c r="N856" s="32"/>
      <c r="O856" s="32"/>
      <c r="P856" s="32"/>
      <c r="Q856" s="32"/>
      <c r="R856" s="32"/>
      <c r="S856" s="32"/>
      <c r="T856" s="32"/>
      <c r="U856" s="29"/>
      <c r="V856" s="29"/>
      <c r="W856" s="24"/>
      <c r="X856" s="18"/>
      <c r="Y856" s="18"/>
      <c r="Z856" s="18"/>
      <c r="AA856" s="18"/>
      <c r="AB856" s="18"/>
      <c r="AC856" s="18"/>
      <c r="AD856" s="18"/>
      <c r="AE856" s="19"/>
      <c r="AF856" s="20"/>
      <c r="AG856" s="21"/>
      <c r="AH856" s="21"/>
      <c r="AI856" s="19"/>
      <c r="AJ856" s="29"/>
      <c r="AK856" s="29"/>
      <c r="AL856" s="29"/>
    </row>
    <row r="857" spans="2:38" s="28" customFormat="1" x14ac:dyDescent="0.3">
      <c r="B857" s="24"/>
      <c r="C857" s="37"/>
      <c r="D857" s="37"/>
      <c r="E857" s="37"/>
      <c r="F857" s="35"/>
      <c r="G857" s="35"/>
      <c r="H857" s="35"/>
      <c r="I857" s="35"/>
      <c r="J857" s="35"/>
      <c r="K857" s="35"/>
      <c r="L857" s="35"/>
      <c r="M857" s="31"/>
      <c r="N857" s="32"/>
      <c r="O857" s="32"/>
      <c r="P857" s="32"/>
      <c r="Q857" s="32"/>
      <c r="R857" s="32"/>
      <c r="S857" s="32"/>
      <c r="T857" s="32"/>
      <c r="U857" s="29"/>
      <c r="V857" s="29"/>
      <c r="W857" s="24"/>
      <c r="X857" s="18"/>
      <c r="Y857" s="18"/>
      <c r="Z857" s="18"/>
      <c r="AA857" s="18"/>
      <c r="AB857" s="18"/>
      <c r="AC857" s="18"/>
      <c r="AD857" s="18"/>
      <c r="AE857" s="19"/>
      <c r="AF857" s="20"/>
      <c r="AG857" s="21"/>
      <c r="AH857" s="21"/>
      <c r="AI857" s="19"/>
      <c r="AJ857" s="29"/>
      <c r="AK857" s="29"/>
      <c r="AL857" s="29"/>
    </row>
    <row r="858" spans="2:38" s="28" customFormat="1" x14ac:dyDescent="0.3">
      <c r="B858" s="24"/>
      <c r="C858" s="37"/>
      <c r="D858" s="37"/>
      <c r="E858" s="37"/>
      <c r="F858" s="35"/>
      <c r="G858" s="35"/>
      <c r="H858" s="35"/>
      <c r="I858" s="35"/>
      <c r="J858" s="35"/>
      <c r="K858" s="35"/>
      <c r="L858" s="35"/>
      <c r="M858" s="31"/>
      <c r="N858" s="32"/>
      <c r="O858" s="32"/>
      <c r="P858" s="32"/>
      <c r="Q858" s="32"/>
      <c r="R858" s="32"/>
      <c r="S858" s="32"/>
      <c r="T858" s="32"/>
      <c r="U858" s="29"/>
      <c r="V858" s="29"/>
      <c r="W858" s="24"/>
      <c r="X858" s="18"/>
      <c r="Y858" s="18"/>
      <c r="Z858" s="18"/>
      <c r="AA858" s="18"/>
      <c r="AB858" s="18"/>
      <c r="AC858" s="18"/>
      <c r="AD858" s="18"/>
      <c r="AE858" s="19"/>
      <c r="AF858" s="20"/>
      <c r="AG858" s="21"/>
      <c r="AH858" s="21"/>
      <c r="AI858" s="19"/>
      <c r="AJ858" s="29"/>
      <c r="AK858" s="29"/>
      <c r="AL858" s="29"/>
    </row>
    <row r="859" spans="2:38" s="28" customFormat="1" x14ac:dyDescent="0.3">
      <c r="B859" s="24"/>
      <c r="C859" s="37"/>
      <c r="D859" s="37"/>
      <c r="E859" s="37"/>
      <c r="F859" s="35"/>
      <c r="G859" s="35"/>
      <c r="H859" s="35"/>
      <c r="I859" s="35"/>
      <c r="J859" s="35"/>
      <c r="K859" s="35"/>
      <c r="L859" s="35"/>
      <c r="M859" s="31"/>
      <c r="N859" s="32"/>
      <c r="O859" s="32"/>
      <c r="P859" s="32"/>
      <c r="Q859" s="32"/>
      <c r="R859" s="32"/>
      <c r="S859" s="32"/>
      <c r="T859" s="32"/>
      <c r="U859" s="29"/>
      <c r="V859" s="29"/>
      <c r="W859" s="24"/>
      <c r="X859" s="18"/>
      <c r="Y859" s="18"/>
      <c r="Z859" s="18"/>
      <c r="AA859" s="18"/>
      <c r="AB859" s="18"/>
      <c r="AC859" s="18"/>
      <c r="AD859" s="18"/>
      <c r="AE859" s="19"/>
      <c r="AF859" s="20"/>
      <c r="AG859" s="21"/>
      <c r="AH859" s="21"/>
      <c r="AI859" s="19"/>
      <c r="AJ859" s="29"/>
      <c r="AK859" s="29"/>
      <c r="AL859" s="29"/>
    </row>
    <row r="860" spans="2:38" s="28" customFormat="1" x14ac:dyDescent="0.3">
      <c r="B860" s="24"/>
      <c r="C860" s="37"/>
      <c r="D860" s="37"/>
      <c r="E860" s="37"/>
      <c r="F860" s="35"/>
      <c r="G860" s="35"/>
      <c r="H860" s="35"/>
      <c r="I860" s="35"/>
      <c r="J860" s="35"/>
      <c r="K860" s="35"/>
      <c r="L860" s="35"/>
      <c r="M860" s="31"/>
      <c r="N860" s="32"/>
      <c r="O860" s="32"/>
      <c r="P860" s="32"/>
      <c r="Q860" s="32"/>
      <c r="R860" s="32"/>
      <c r="S860" s="32"/>
      <c r="T860" s="32"/>
      <c r="U860" s="29"/>
      <c r="V860" s="29"/>
      <c r="W860" s="24"/>
      <c r="X860" s="18"/>
      <c r="Y860" s="18"/>
      <c r="Z860" s="18"/>
      <c r="AA860" s="18"/>
      <c r="AB860" s="18"/>
      <c r="AC860" s="18"/>
      <c r="AD860" s="18"/>
      <c r="AE860" s="19"/>
      <c r="AF860" s="20"/>
      <c r="AG860" s="21"/>
      <c r="AH860" s="21"/>
      <c r="AI860" s="19"/>
      <c r="AJ860" s="29"/>
      <c r="AK860" s="29"/>
      <c r="AL860" s="29"/>
    </row>
    <row r="861" spans="2:38" s="28" customFormat="1" x14ac:dyDescent="0.3">
      <c r="B861" s="24"/>
      <c r="C861" s="37"/>
      <c r="D861" s="37"/>
      <c r="E861" s="37"/>
      <c r="F861" s="35"/>
      <c r="G861" s="35"/>
      <c r="H861" s="35"/>
      <c r="I861" s="35"/>
      <c r="J861" s="35"/>
      <c r="K861" s="35"/>
      <c r="L861" s="35"/>
      <c r="M861" s="31"/>
      <c r="N861" s="32"/>
      <c r="O861" s="32"/>
      <c r="P861" s="32"/>
      <c r="Q861" s="32"/>
      <c r="R861" s="32"/>
      <c r="S861" s="32"/>
      <c r="T861" s="32"/>
      <c r="U861" s="29"/>
      <c r="V861" s="29"/>
      <c r="W861" s="24"/>
      <c r="X861" s="18"/>
      <c r="Y861" s="18"/>
      <c r="Z861" s="18"/>
      <c r="AA861" s="18"/>
      <c r="AB861" s="18"/>
      <c r="AC861" s="18"/>
      <c r="AD861" s="18"/>
      <c r="AE861" s="19"/>
      <c r="AF861" s="20"/>
      <c r="AG861" s="21"/>
      <c r="AH861" s="21"/>
      <c r="AI861" s="19"/>
      <c r="AJ861" s="29"/>
      <c r="AK861" s="29"/>
      <c r="AL861" s="29"/>
    </row>
    <row r="862" spans="2:38" s="28" customFormat="1" x14ac:dyDescent="0.3">
      <c r="B862" s="24"/>
      <c r="C862" s="37"/>
      <c r="D862" s="37"/>
      <c r="E862" s="37"/>
      <c r="F862" s="35"/>
      <c r="G862" s="35"/>
      <c r="H862" s="35"/>
      <c r="I862" s="35"/>
      <c r="J862" s="35"/>
      <c r="K862" s="35"/>
      <c r="L862" s="35"/>
      <c r="M862" s="31"/>
      <c r="N862" s="32"/>
      <c r="O862" s="32"/>
      <c r="P862" s="32"/>
      <c r="Q862" s="32"/>
      <c r="R862" s="32"/>
      <c r="S862" s="32"/>
      <c r="T862" s="32"/>
      <c r="U862" s="29"/>
      <c r="V862" s="29"/>
      <c r="W862" s="24"/>
      <c r="X862" s="18"/>
      <c r="Y862" s="18"/>
      <c r="Z862" s="18"/>
      <c r="AA862" s="18"/>
      <c r="AB862" s="18"/>
      <c r="AC862" s="18"/>
      <c r="AD862" s="18"/>
      <c r="AE862" s="19"/>
      <c r="AF862" s="20"/>
      <c r="AG862" s="21"/>
      <c r="AH862" s="21"/>
      <c r="AI862" s="19"/>
      <c r="AJ862" s="29"/>
      <c r="AK862" s="29"/>
      <c r="AL862" s="29"/>
    </row>
    <row r="863" spans="2:38" s="28" customFormat="1" x14ac:dyDescent="0.3">
      <c r="B863" s="24"/>
      <c r="C863" s="37"/>
      <c r="D863" s="37"/>
      <c r="E863" s="37"/>
      <c r="F863" s="35"/>
      <c r="G863" s="35"/>
      <c r="H863" s="35"/>
      <c r="I863" s="35"/>
      <c r="J863" s="35"/>
      <c r="K863" s="35"/>
      <c r="L863" s="35"/>
      <c r="M863" s="31"/>
      <c r="N863" s="32"/>
      <c r="O863" s="32"/>
      <c r="P863" s="32"/>
      <c r="Q863" s="32"/>
      <c r="R863" s="32"/>
      <c r="S863" s="32"/>
      <c r="T863" s="32"/>
      <c r="U863" s="29"/>
      <c r="V863" s="29"/>
      <c r="W863" s="24"/>
      <c r="X863" s="18"/>
      <c r="Y863" s="18"/>
      <c r="Z863" s="18"/>
      <c r="AA863" s="18"/>
      <c r="AB863" s="18"/>
      <c r="AC863" s="18"/>
      <c r="AD863" s="18"/>
      <c r="AE863" s="19"/>
      <c r="AF863" s="20"/>
      <c r="AG863" s="21"/>
      <c r="AH863" s="21"/>
      <c r="AI863" s="19"/>
      <c r="AJ863" s="29"/>
      <c r="AK863" s="29"/>
      <c r="AL863" s="29"/>
    </row>
    <row r="864" spans="2:38" s="28" customFormat="1" x14ac:dyDescent="0.3">
      <c r="B864" s="24"/>
      <c r="C864" s="37"/>
      <c r="D864" s="37"/>
      <c r="E864" s="37"/>
      <c r="F864" s="35"/>
      <c r="G864" s="35"/>
      <c r="H864" s="35"/>
      <c r="I864" s="35"/>
      <c r="J864" s="35"/>
      <c r="K864" s="35"/>
      <c r="L864" s="35"/>
      <c r="M864" s="31"/>
      <c r="N864" s="32"/>
      <c r="O864" s="32"/>
      <c r="P864" s="32"/>
      <c r="Q864" s="32"/>
      <c r="R864" s="32"/>
      <c r="S864" s="32"/>
      <c r="T864" s="32"/>
      <c r="U864" s="29"/>
      <c r="V864" s="29"/>
      <c r="W864" s="24"/>
      <c r="X864" s="18"/>
      <c r="Y864" s="18"/>
      <c r="Z864" s="18"/>
      <c r="AA864" s="18"/>
      <c r="AB864" s="18"/>
      <c r="AC864" s="18"/>
      <c r="AD864" s="18"/>
      <c r="AE864" s="19"/>
      <c r="AF864" s="20"/>
      <c r="AG864" s="21"/>
      <c r="AH864" s="21"/>
      <c r="AI864" s="19"/>
      <c r="AJ864" s="29"/>
      <c r="AK864" s="29"/>
      <c r="AL864" s="29"/>
    </row>
    <row r="865" spans="2:38" s="28" customFormat="1" x14ac:dyDescent="0.3">
      <c r="B865" s="24"/>
      <c r="C865" s="37"/>
      <c r="D865" s="37"/>
      <c r="E865" s="37"/>
      <c r="F865" s="35"/>
      <c r="G865" s="35"/>
      <c r="H865" s="35"/>
      <c r="I865" s="35"/>
      <c r="J865" s="35"/>
      <c r="K865" s="35"/>
      <c r="L865" s="35"/>
      <c r="M865" s="31"/>
      <c r="N865" s="32"/>
      <c r="O865" s="32"/>
      <c r="P865" s="32"/>
      <c r="Q865" s="32"/>
      <c r="R865" s="32"/>
      <c r="S865" s="32"/>
      <c r="T865" s="32"/>
      <c r="U865" s="29"/>
      <c r="V865" s="29"/>
      <c r="W865" s="24"/>
      <c r="X865" s="18"/>
      <c r="Y865" s="18"/>
      <c r="Z865" s="18"/>
      <c r="AA865" s="18"/>
      <c r="AB865" s="18"/>
      <c r="AC865" s="18"/>
      <c r="AD865" s="18"/>
      <c r="AE865" s="19"/>
      <c r="AF865" s="20"/>
      <c r="AG865" s="21"/>
      <c r="AH865" s="21"/>
      <c r="AI865" s="19"/>
      <c r="AJ865" s="29"/>
      <c r="AK865" s="29"/>
      <c r="AL865" s="29"/>
    </row>
    <row r="866" spans="2:38" s="28" customFormat="1" x14ac:dyDescent="0.3">
      <c r="B866" s="24"/>
      <c r="C866" s="37"/>
      <c r="D866" s="37"/>
      <c r="E866" s="37"/>
      <c r="F866" s="35"/>
      <c r="G866" s="35"/>
      <c r="H866" s="35"/>
      <c r="I866" s="35"/>
      <c r="J866" s="35"/>
      <c r="K866" s="35"/>
      <c r="L866" s="35"/>
      <c r="M866" s="31"/>
      <c r="N866" s="32"/>
      <c r="O866" s="32"/>
      <c r="P866" s="32"/>
      <c r="Q866" s="32"/>
      <c r="R866" s="32"/>
      <c r="S866" s="32"/>
      <c r="T866" s="32"/>
      <c r="U866" s="29"/>
      <c r="V866" s="29"/>
      <c r="W866" s="24"/>
      <c r="X866" s="18"/>
      <c r="Y866" s="18"/>
      <c r="Z866" s="18"/>
      <c r="AA866" s="18"/>
      <c r="AB866" s="18"/>
      <c r="AC866" s="18"/>
      <c r="AD866" s="18"/>
      <c r="AE866" s="19"/>
      <c r="AF866" s="20"/>
      <c r="AG866" s="21"/>
      <c r="AH866" s="21"/>
      <c r="AI866" s="19"/>
      <c r="AJ866" s="29"/>
      <c r="AK866" s="29"/>
      <c r="AL866" s="29"/>
    </row>
    <row r="867" spans="2:38" s="28" customFormat="1" x14ac:dyDescent="0.3">
      <c r="B867" s="24"/>
      <c r="C867" s="37"/>
      <c r="D867" s="37"/>
      <c r="E867" s="37"/>
      <c r="F867" s="35"/>
      <c r="G867" s="35"/>
      <c r="H867" s="35"/>
      <c r="I867" s="35"/>
      <c r="J867" s="35"/>
      <c r="K867" s="35"/>
      <c r="L867" s="35"/>
      <c r="M867" s="31"/>
      <c r="N867" s="32"/>
      <c r="O867" s="32"/>
      <c r="P867" s="32"/>
      <c r="Q867" s="32"/>
      <c r="R867" s="32"/>
      <c r="S867" s="32"/>
      <c r="T867" s="32"/>
      <c r="U867" s="29"/>
      <c r="V867" s="29"/>
      <c r="W867" s="24"/>
      <c r="X867" s="18"/>
      <c r="Y867" s="18"/>
      <c r="Z867" s="18"/>
      <c r="AA867" s="18"/>
      <c r="AB867" s="18"/>
      <c r="AC867" s="18"/>
      <c r="AD867" s="18"/>
      <c r="AE867" s="19"/>
      <c r="AF867" s="20"/>
      <c r="AG867" s="21"/>
      <c r="AH867" s="21"/>
      <c r="AI867" s="19"/>
      <c r="AJ867" s="29"/>
      <c r="AK867" s="29"/>
      <c r="AL867" s="29"/>
    </row>
    <row r="868" spans="2:38" s="28" customFormat="1" x14ac:dyDescent="0.3">
      <c r="B868" s="24"/>
      <c r="C868" s="37"/>
      <c r="D868" s="37"/>
      <c r="E868" s="37"/>
      <c r="F868" s="35"/>
      <c r="G868" s="35"/>
      <c r="H868" s="35"/>
      <c r="I868" s="35"/>
      <c r="J868" s="35"/>
      <c r="K868" s="35"/>
      <c r="L868" s="35"/>
      <c r="M868" s="31"/>
      <c r="N868" s="32"/>
      <c r="O868" s="32"/>
      <c r="P868" s="32"/>
      <c r="Q868" s="32"/>
      <c r="R868" s="32"/>
      <c r="S868" s="32"/>
      <c r="T868" s="32"/>
      <c r="U868" s="29"/>
      <c r="V868" s="29"/>
      <c r="W868" s="24"/>
      <c r="X868" s="18"/>
      <c r="Y868" s="18"/>
      <c r="Z868" s="18"/>
      <c r="AA868" s="18"/>
      <c r="AB868" s="18"/>
      <c r="AC868" s="18"/>
      <c r="AD868" s="18"/>
      <c r="AE868" s="19"/>
      <c r="AF868" s="20"/>
      <c r="AG868" s="21"/>
      <c r="AH868" s="21"/>
      <c r="AI868" s="19"/>
      <c r="AJ868" s="29"/>
      <c r="AK868" s="29"/>
      <c r="AL868" s="29"/>
    </row>
    <row r="869" spans="2:38" s="28" customFormat="1" x14ac:dyDescent="0.3">
      <c r="B869" s="24"/>
      <c r="C869" s="37"/>
      <c r="D869" s="37"/>
      <c r="E869" s="37"/>
      <c r="F869" s="35"/>
      <c r="G869" s="35"/>
      <c r="H869" s="35"/>
      <c r="I869" s="35"/>
      <c r="J869" s="35"/>
      <c r="K869" s="35"/>
      <c r="L869" s="35"/>
      <c r="M869" s="31"/>
      <c r="N869" s="32"/>
      <c r="O869" s="32"/>
      <c r="P869" s="32"/>
      <c r="Q869" s="32"/>
      <c r="R869" s="32"/>
      <c r="S869" s="32"/>
      <c r="T869" s="32"/>
      <c r="U869" s="29"/>
      <c r="V869" s="29"/>
      <c r="W869" s="24"/>
      <c r="X869" s="18"/>
      <c r="Y869" s="18"/>
      <c r="Z869" s="18"/>
      <c r="AA869" s="18"/>
      <c r="AB869" s="18"/>
      <c r="AC869" s="18"/>
      <c r="AD869" s="18"/>
      <c r="AE869" s="19"/>
      <c r="AF869" s="20"/>
      <c r="AG869" s="21"/>
      <c r="AH869" s="21"/>
      <c r="AI869" s="19"/>
      <c r="AJ869" s="29"/>
      <c r="AK869" s="29"/>
      <c r="AL869" s="29"/>
    </row>
    <row r="870" spans="2:38" s="28" customFormat="1" x14ac:dyDescent="0.3">
      <c r="B870" s="24"/>
      <c r="C870" s="37"/>
      <c r="D870" s="37"/>
      <c r="E870" s="37"/>
      <c r="F870" s="35"/>
      <c r="G870" s="35"/>
      <c r="H870" s="35"/>
      <c r="I870" s="35"/>
      <c r="J870" s="35"/>
      <c r="K870" s="35"/>
      <c r="L870" s="35"/>
      <c r="M870" s="31"/>
      <c r="N870" s="32"/>
      <c r="O870" s="32"/>
      <c r="P870" s="32"/>
      <c r="Q870" s="32"/>
      <c r="R870" s="32"/>
      <c r="S870" s="32"/>
      <c r="T870" s="32"/>
      <c r="U870" s="29"/>
      <c r="V870" s="29"/>
      <c r="W870" s="24"/>
      <c r="X870" s="18"/>
      <c r="Y870" s="18"/>
      <c r="Z870" s="18"/>
      <c r="AA870" s="18"/>
      <c r="AB870" s="18"/>
      <c r="AC870" s="18"/>
      <c r="AD870" s="18"/>
      <c r="AE870" s="19"/>
      <c r="AF870" s="20"/>
      <c r="AG870" s="21"/>
      <c r="AH870" s="21"/>
      <c r="AI870" s="19"/>
      <c r="AJ870" s="29"/>
      <c r="AK870" s="29"/>
      <c r="AL870" s="29"/>
    </row>
    <row r="871" spans="2:38" s="28" customFormat="1" x14ac:dyDescent="0.3">
      <c r="B871" s="24"/>
      <c r="C871" s="37"/>
      <c r="D871" s="37"/>
      <c r="E871" s="37"/>
      <c r="F871" s="35"/>
      <c r="G871" s="35"/>
      <c r="H871" s="35"/>
      <c r="I871" s="35"/>
      <c r="J871" s="35"/>
      <c r="K871" s="35"/>
      <c r="L871" s="35"/>
      <c r="M871" s="31"/>
      <c r="N871" s="32"/>
      <c r="O871" s="32"/>
      <c r="P871" s="32"/>
      <c r="Q871" s="32"/>
      <c r="R871" s="32"/>
      <c r="S871" s="32"/>
      <c r="T871" s="32"/>
      <c r="U871" s="29"/>
      <c r="V871" s="29"/>
      <c r="W871" s="24"/>
      <c r="X871" s="18"/>
      <c r="Y871" s="18"/>
      <c r="Z871" s="18"/>
      <c r="AA871" s="18"/>
      <c r="AB871" s="18"/>
      <c r="AC871" s="18"/>
      <c r="AD871" s="18"/>
      <c r="AE871" s="19"/>
      <c r="AF871" s="20"/>
      <c r="AG871" s="21"/>
      <c r="AH871" s="21"/>
      <c r="AI871" s="19"/>
      <c r="AJ871" s="29"/>
      <c r="AK871" s="29"/>
      <c r="AL871" s="29"/>
    </row>
    <row r="872" spans="2:38" s="28" customFormat="1" x14ac:dyDescent="0.3">
      <c r="B872" s="24"/>
      <c r="C872" s="37"/>
      <c r="D872" s="37"/>
      <c r="E872" s="37"/>
      <c r="F872" s="35"/>
      <c r="G872" s="35"/>
      <c r="H872" s="35"/>
      <c r="I872" s="35"/>
      <c r="J872" s="35"/>
      <c r="K872" s="35"/>
      <c r="L872" s="35"/>
      <c r="M872" s="31"/>
      <c r="N872" s="32"/>
      <c r="O872" s="32"/>
      <c r="P872" s="32"/>
      <c r="Q872" s="32"/>
      <c r="R872" s="32"/>
      <c r="S872" s="32"/>
      <c r="T872" s="32"/>
      <c r="U872" s="29"/>
      <c r="V872" s="29"/>
      <c r="W872" s="24"/>
      <c r="X872" s="18"/>
      <c r="Y872" s="18"/>
      <c r="Z872" s="18"/>
      <c r="AA872" s="18"/>
      <c r="AB872" s="18"/>
      <c r="AC872" s="18"/>
      <c r="AD872" s="18"/>
      <c r="AE872" s="19"/>
      <c r="AF872" s="20"/>
      <c r="AG872" s="21"/>
      <c r="AH872" s="21"/>
      <c r="AI872" s="19"/>
      <c r="AJ872" s="29"/>
      <c r="AK872" s="29"/>
      <c r="AL872" s="29"/>
    </row>
    <row r="873" spans="2:38" s="28" customFormat="1" x14ac:dyDescent="0.3">
      <c r="B873" s="24"/>
      <c r="C873" s="37"/>
      <c r="D873" s="37"/>
      <c r="E873" s="37"/>
      <c r="F873" s="35"/>
      <c r="G873" s="35"/>
      <c r="H873" s="35"/>
      <c r="I873" s="35"/>
      <c r="J873" s="35"/>
      <c r="K873" s="35"/>
      <c r="L873" s="35"/>
      <c r="M873" s="31"/>
      <c r="N873" s="32"/>
      <c r="O873" s="32"/>
      <c r="P873" s="32"/>
      <c r="Q873" s="32"/>
      <c r="R873" s="32"/>
      <c r="S873" s="32"/>
      <c r="T873" s="32"/>
      <c r="U873" s="29"/>
      <c r="V873" s="29"/>
      <c r="W873" s="24"/>
      <c r="X873" s="18"/>
      <c r="Y873" s="18"/>
      <c r="Z873" s="18"/>
      <c r="AA873" s="18"/>
      <c r="AB873" s="18"/>
      <c r="AC873" s="18"/>
      <c r="AD873" s="18"/>
      <c r="AE873" s="19"/>
      <c r="AF873" s="20"/>
      <c r="AG873" s="21"/>
      <c r="AH873" s="21"/>
      <c r="AI873" s="19"/>
      <c r="AJ873" s="29"/>
      <c r="AK873" s="29"/>
      <c r="AL873" s="29"/>
    </row>
    <row r="874" spans="2:38" s="28" customFormat="1" x14ac:dyDescent="0.3">
      <c r="B874" s="24"/>
      <c r="C874" s="37"/>
      <c r="D874" s="37"/>
      <c r="E874" s="37"/>
      <c r="F874" s="35"/>
      <c r="G874" s="35"/>
      <c r="H874" s="35"/>
      <c r="I874" s="35"/>
      <c r="J874" s="35"/>
      <c r="K874" s="35"/>
      <c r="L874" s="35"/>
      <c r="M874" s="31"/>
      <c r="N874" s="32"/>
      <c r="O874" s="32"/>
      <c r="P874" s="32"/>
      <c r="Q874" s="32"/>
      <c r="R874" s="32"/>
      <c r="S874" s="32"/>
      <c r="T874" s="32"/>
      <c r="U874" s="29"/>
      <c r="V874" s="29"/>
      <c r="W874" s="24"/>
      <c r="X874" s="18"/>
      <c r="Y874" s="18"/>
      <c r="Z874" s="18"/>
      <c r="AA874" s="18"/>
      <c r="AB874" s="18"/>
      <c r="AC874" s="18"/>
      <c r="AD874" s="18"/>
      <c r="AE874" s="19"/>
      <c r="AF874" s="20"/>
      <c r="AG874" s="21"/>
      <c r="AH874" s="21"/>
      <c r="AI874" s="19"/>
      <c r="AJ874" s="29"/>
      <c r="AK874" s="29"/>
      <c r="AL874" s="29"/>
    </row>
    <row r="875" spans="2:38" s="28" customFormat="1" x14ac:dyDescent="0.3">
      <c r="B875" s="24"/>
      <c r="C875" s="37"/>
      <c r="D875" s="37"/>
      <c r="E875" s="37"/>
      <c r="F875" s="35"/>
      <c r="G875" s="35"/>
      <c r="H875" s="35"/>
      <c r="I875" s="35"/>
      <c r="J875" s="35"/>
      <c r="K875" s="35"/>
      <c r="L875" s="35"/>
      <c r="M875" s="31"/>
      <c r="N875" s="32"/>
      <c r="O875" s="32"/>
      <c r="P875" s="32"/>
      <c r="Q875" s="32"/>
      <c r="R875" s="32"/>
      <c r="S875" s="32"/>
      <c r="T875" s="32"/>
      <c r="U875" s="29"/>
      <c r="V875" s="29"/>
      <c r="W875" s="24"/>
      <c r="X875" s="18"/>
      <c r="Y875" s="18"/>
      <c r="Z875" s="18"/>
      <c r="AA875" s="18"/>
      <c r="AB875" s="18"/>
      <c r="AC875" s="18"/>
      <c r="AD875" s="18"/>
      <c r="AE875" s="19"/>
      <c r="AF875" s="20"/>
      <c r="AG875" s="21"/>
      <c r="AH875" s="21"/>
      <c r="AI875" s="19"/>
      <c r="AJ875" s="29"/>
      <c r="AK875" s="29"/>
      <c r="AL875" s="29"/>
    </row>
    <row r="876" spans="2:38" s="28" customFormat="1" x14ac:dyDescent="0.3">
      <c r="B876" s="24"/>
      <c r="C876" s="37"/>
      <c r="D876" s="37"/>
      <c r="E876" s="37"/>
      <c r="F876" s="35"/>
      <c r="G876" s="35"/>
      <c r="H876" s="35"/>
      <c r="I876" s="35"/>
      <c r="J876" s="35"/>
      <c r="K876" s="35"/>
      <c r="L876" s="35"/>
      <c r="M876" s="31"/>
      <c r="N876" s="32"/>
      <c r="O876" s="32"/>
      <c r="P876" s="32"/>
      <c r="Q876" s="32"/>
      <c r="R876" s="32"/>
      <c r="S876" s="32"/>
      <c r="T876" s="32"/>
      <c r="U876" s="29"/>
      <c r="V876" s="29"/>
      <c r="W876" s="24"/>
      <c r="X876" s="18"/>
      <c r="Y876" s="18"/>
      <c r="Z876" s="18"/>
      <c r="AA876" s="18"/>
      <c r="AB876" s="18"/>
      <c r="AC876" s="18"/>
      <c r="AD876" s="18"/>
      <c r="AE876" s="19"/>
      <c r="AF876" s="20"/>
      <c r="AG876" s="21"/>
      <c r="AH876" s="21"/>
      <c r="AI876" s="19"/>
      <c r="AJ876" s="29"/>
      <c r="AK876" s="29"/>
      <c r="AL876" s="29"/>
    </row>
    <row r="877" spans="2:38" s="28" customFormat="1" x14ac:dyDescent="0.3">
      <c r="B877" s="24"/>
      <c r="C877" s="37"/>
      <c r="D877" s="37"/>
      <c r="E877" s="37"/>
      <c r="F877" s="35"/>
      <c r="G877" s="35"/>
      <c r="H877" s="35"/>
      <c r="I877" s="35"/>
      <c r="J877" s="35"/>
      <c r="K877" s="35"/>
      <c r="L877" s="35"/>
      <c r="M877" s="31"/>
      <c r="N877" s="32"/>
      <c r="O877" s="32"/>
      <c r="P877" s="32"/>
      <c r="Q877" s="32"/>
      <c r="R877" s="32"/>
      <c r="S877" s="32"/>
      <c r="T877" s="32"/>
      <c r="U877" s="29"/>
      <c r="V877" s="29"/>
      <c r="W877" s="24"/>
      <c r="X877" s="18"/>
      <c r="Y877" s="18"/>
      <c r="Z877" s="18"/>
      <c r="AA877" s="18"/>
      <c r="AB877" s="18"/>
      <c r="AC877" s="18"/>
      <c r="AD877" s="18"/>
      <c r="AE877" s="19"/>
      <c r="AF877" s="20"/>
      <c r="AG877" s="21"/>
      <c r="AH877" s="21"/>
      <c r="AI877" s="19"/>
      <c r="AJ877" s="29"/>
      <c r="AK877" s="29"/>
      <c r="AL877" s="29"/>
    </row>
    <row r="878" spans="2:38" s="28" customFormat="1" x14ac:dyDescent="0.3">
      <c r="B878" s="24"/>
      <c r="C878" s="37"/>
      <c r="D878" s="37"/>
      <c r="E878" s="37"/>
      <c r="F878" s="35"/>
      <c r="G878" s="35"/>
      <c r="H878" s="35"/>
      <c r="I878" s="35"/>
      <c r="J878" s="35"/>
      <c r="K878" s="35"/>
      <c r="L878" s="35"/>
      <c r="M878" s="31"/>
      <c r="N878" s="32"/>
      <c r="O878" s="32"/>
      <c r="P878" s="32"/>
      <c r="Q878" s="32"/>
      <c r="R878" s="32"/>
      <c r="S878" s="32"/>
      <c r="T878" s="32"/>
      <c r="U878" s="29"/>
      <c r="V878" s="29"/>
      <c r="W878" s="24"/>
      <c r="X878" s="18"/>
      <c r="Y878" s="18"/>
      <c r="Z878" s="18"/>
      <c r="AA878" s="18"/>
      <c r="AB878" s="18"/>
      <c r="AC878" s="18"/>
      <c r="AD878" s="18"/>
      <c r="AE878" s="19"/>
      <c r="AF878" s="20"/>
      <c r="AG878" s="21"/>
      <c r="AH878" s="21"/>
      <c r="AI878" s="19"/>
      <c r="AJ878" s="29"/>
      <c r="AK878" s="29"/>
      <c r="AL878" s="29"/>
    </row>
    <row r="879" spans="2:38" s="28" customFormat="1" x14ac:dyDescent="0.3">
      <c r="B879" s="24"/>
      <c r="C879" s="37"/>
      <c r="D879" s="37"/>
      <c r="E879" s="37"/>
      <c r="F879" s="35"/>
      <c r="G879" s="35"/>
      <c r="H879" s="35"/>
      <c r="I879" s="35"/>
      <c r="J879" s="35"/>
      <c r="K879" s="35"/>
      <c r="L879" s="35"/>
      <c r="M879" s="31"/>
      <c r="N879" s="32"/>
      <c r="O879" s="32"/>
      <c r="P879" s="32"/>
      <c r="Q879" s="32"/>
      <c r="R879" s="32"/>
      <c r="S879" s="32"/>
      <c r="T879" s="32"/>
      <c r="U879" s="29"/>
      <c r="V879" s="29"/>
      <c r="W879" s="24"/>
      <c r="X879" s="18"/>
      <c r="Y879" s="18"/>
      <c r="Z879" s="18"/>
      <c r="AA879" s="18"/>
      <c r="AB879" s="18"/>
      <c r="AC879" s="18"/>
      <c r="AD879" s="18"/>
      <c r="AE879" s="19"/>
      <c r="AF879" s="20"/>
      <c r="AG879" s="21"/>
      <c r="AH879" s="21"/>
      <c r="AI879" s="19"/>
      <c r="AJ879" s="29"/>
      <c r="AK879" s="29"/>
      <c r="AL879" s="29"/>
    </row>
    <row r="880" spans="2:38" s="28" customFormat="1" x14ac:dyDescent="0.3">
      <c r="B880" s="24"/>
      <c r="C880" s="37"/>
      <c r="D880" s="37"/>
      <c r="E880" s="37"/>
      <c r="F880" s="35"/>
      <c r="G880" s="35"/>
      <c r="H880" s="35"/>
      <c r="I880" s="35"/>
      <c r="J880" s="35"/>
      <c r="K880" s="35"/>
      <c r="L880" s="35"/>
      <c r="M880" s="31"/>
      <c r="N880" s="32"/>
      <c r="O880" s="32"/>
      <c r="P880" s="32"/>
      <c r="Q880" s="32"/>
      <c r="R880" s="32"/>
      <c r="S880" s="32"/>
      <c r="T880" s="32"/>
      <c r="U880" s="29"/>
      <c r="V880" s="29"/>
      <c r="W880" s="24"/>
      <c r="X880" s="18"/>
      <c r="Y880" s="18"/>
      <c r="Z880" s="18"/>
      <c r="AA880" s="18"/>
      <c r="AB880" s="18"/>
      <c r="AC880" s="18"/>
      <c r="AD880" s="18"/>
      <c r="AE880" s="19"/>
      <c r="AF880" s="20"/>
      <c r="AG880" s="21"/>
      <c r="AH880" s="21"/>
      <c r="AI880" s="19"/>
      <c r="AJ880" s="29"/>
      <c r="AK880" s="29"/>
      <c r="AL880" s="29"/>
    </row>
    <row r="881" spans="2:38" s="28" customFormat="1" x14ac:dyDescent="0.3">
      <c r="B881" s="24"/>
      <c r="C881" s="37"/>
      <c r="D881" s="37"/>
      <c r="E881" s="37"/>
      <c r="F881" s="35"/>
      <c r="G881" s="35"/>
      <c r="H881" s="35"/>
      <c r="I881" s="35"/>
      <c r="J881" s="35"/>
      <c r="K881" s="35"/>
      <c r="L881" s="35"/>
      <c r="M881" s="31"/>
      <c r="N881" s="32"/>
      <c r="O881" s="32"/>
      <c r="P881" s="32"/>
      <c r="Q881" s="32"/>
      <c r="R881" s="32"/>
      <c r="S881" s="32"/>
      <c r="T881" s="32"/>
      <c r="U881" s="29"/>
      <c r="V881" s="29"/>
      <c r="W881" s="24"/>
      <c r="X881" s="18"/>
      <c r="Y881" s="18"/>
      <c r="Z881" s="18"/>
      <c r="AA881" s="18"/>
      <c r="AB881" s="18"/>
      <c r="AC881" s="18"/>
      <c r="AD881" s="18"/>
      <c r="AE881" s="19"/>
      <c r="AF881" s="20"/>
      <c r="AG881" s="21"/>
      <c r="AH881" s="21"/>
      <c r="AI881" s="19"/>
      <c r="AJ881" s="29"/>
      <c r="AK881" s="29"/>
      <c r="AL881" s="29"/>
    </row>
    <row r="882" spans="2:38" s="28" customFormat="1" x14ac:dyDescent="0.3">
      <c r="B882" s="24"/>
      <c r="C882" s="37"/>
      <c r="D882" s="37"/>
      <c r="E882" s="37"/>
      <c r="F882" s="35"/>
      <c r="G882" s="35"/>
      <c r="H882" s="35"/>
      <c r="I882" s="35"/>
      <c r="J882" s="35"/>
      <c r="K882" s="35"/>
      <c r="L882" s="35"/>
      <c r="M882" s="31"/>
      <c r="N882" s="32"/>
      <c r="O882" s="32"/>
      <c r="P882" s="32"/>
      <c r="Q882" s="32"/>
      <c r="R882" s="32"/>
      <c r="S882" s="32"/>
      <c r="T882" s="32"/>
      <c r="U882" s="29"/>
      <c r="V882" s="29"/>
      <c r="W882" s="24"/>
      <c r="X882" s="18"/>
      <c r="Y882" s="18"/>
      <c r="Z882" s="18"/>
      <c r="AA882" s="18"/>
      <c r="AB882" s="18"/>
      <c r="AC882" s="18"/>
      <c r="AD882" s="18"/>
      <c r="AE882" s="19"/>
      <c r="AF882" s="20"/>
      <c r="AG882" s="21"/>
      <c r="AH882" s="21"/>
      <c r="AI882" s="19"/>
      <c r="AJ882" s="29"/>
      <c r="AK882" s="29"/>
      <c r="AL882" s="29"/>
    </row>
    <row r="883" spans="2:38" s="28" customFormat="1" x14ac:dyDescent="0.3">
      <c r="B883" s="24"/>
      <c r="C883" s="37"/>
      <c r="D883" s="37"/>
      <c r="E883" s="37"/>
      <c r="F883" s="35"/>
      <c r="G883" s="35"/>
      <c r="H883" s="35"/>
      <c r="I883" s="35"/>
      <c r="J883" s="35"/>
      <c r="K883" s="35"/>
      <c r="L883" s="35"/>
      <c r="M883" s="31"/>
      <c r="N883" s="32"/>
      <c r="O883" s="32"/>
      <c r="P883" s="32"/>
      <c r="Q883" s="32"/>
      <c r="R883" s="32"/>
      <c r="S883" s="32"/>
      <c r="T883" s="32"/>
      <c r="U883" s="29"/>
      <c r="V883" s="29"/>
      <c r="W883" s="24"/>
      <c r="X883" s="18"/>
      <c r="Y883" s="18"/>
      <c r="Z883" s="18"/>
      <c r="AA883" s="18"/>
      <c r="AB883" s="18"/>
      <c r="AC883" s="18"/>
      <c r="AD883" s="18"/>
      <c r="AE883" s="19"/>
      <c r="AF883" s="20"/>
      <c r="AG883" s="21"/>
      <c r="AH883" s="21"/>
      <c r="AI883" s="19"/>
      <c r="AJ883" s="29"/>
      <c r="AK883" s="29"/>
      <c r="AL883" s="29"/>
    </row>
    <row r="884" spans="2:38" s="28" customFormat="1" x14ac:dyDescent="0.3">
      <c r="B884" s="24"/>
      <c r="C884" s="37"/>
      <c r="D884" s="37"/>
      <c r="E884" s="37"/>
      <c r="F884" s="35"/>
      <c r="G884" s="35"/>
      <c r="H884" s="35"/>
      <c r="I884" s="35"/>
      <c r="J884" s="35"/>
      <c r="K884" s="35"/>
      <c r="L884" s="35"/>
      <c r="M884" s="31"/>
      <c r="N884" s="32"/>
      <c r="O884" s="32"/>
      <c r="P884" s="32"/>
      <c r="Q884" s="32"/>
      <c r="R884" s="32"/>
      <c r="S884" s="32"/>
      <c r="T884" s="32"/>
      <c r="U884" s="29"/>
      <c r="V884" s="29"/>
      <c r="W884" s="24"/>
      <c r="X884" s="18"/>
      <c r="Y884" s="18"/>
      <c r="Z884" s="18"/>
      <c r="AA884" s="18"/>
      <c r="AB884" s="18"/>
      <c r="AC884" s="18"/>
      <c r="AD884" s="18"/>
      <c r="AE884" s="19"/>
      <c r="AF884" s="20"/>
      <c r="AG884" s="21"/>
      <c r="AH884" s="21"/>
      <c r="AI884" s="19"/>
      <c r="AJ884" s="29"/>
      <c r="AK884" s="29"/>
      <c r="AL884" s="29"/>
    </row>
    <row r="885" spans="2:38" s="28" customFormat="1" x14ac:dyDescent="0.3">
      <c r="B885" s="24"/>
      <c r="C885" s="37"/>
      <c r="D885" s="37"/>
      <c r="E885" s="37"/>
      <c r="F885" s="35"/>
      <c r="G885" s="35"/>
      <c r="H885" s="35"/>
      <c r="I885" s="35"/>
      <c r="J885" s="35"/>
      <c r="K885" s="35"/>
      <c r="L885" s="35"/>
      <c r="M885" s="31"/>
      <c r="N885" s="32"/>
      <c r="O885" s="32"/>
      <c r="P885" s="32"/>
      <c r="Q885" s="32"/>
      <c r="R885" s="32"/>
      <c r="S885" s="32"/>
      <c r="T885" s="32"/>
      <c r="U885" s="29"/>
      <c r="V885" s="29"/>
      <c r="W885" s="24"/>
      <c r="X885" s="18"/>
      <c r="Y885" s="18"/>
      <c r="Z885" s="18"/>
      <c r="AA885" s="18"/>
      <c r="AB885" s="18"/>
      <c r="AC885" s="18"/>
      <c r="AD885" s="18"/>
      <c r="AE885" s="19"/>
      <c r="AF885" s="20"/>
      <c r="AG885" s="21"/>
      <c r="AH885" s="21"/>
      <c r="AI885" s="19"/>
      <c r="AJ885" s="29"/>
      <c r="AK885" s="29"/>
      <c r="AL885" s="29"/>
    </row>
    <row r="886" spans="2:38" s="28" customFormat="1" x14ac:dyDescent="0.3">
      <c r="B886" s="24"/>
      <c r="C886" s="37"/>
      <c r="D886" s="37"/>
      <c r="E886" s="37"/>
      <c r="F886" s="35"/>
      <c r="G886" s="35"/>
      <c r="H886" s="35"/>
      <c r="I886" s="35"/>
      <c r="J886" s="35"/>
      <c r="K886" s="35"/>
      <c r="L886" s="35"/>
      <c r="M886" s="31"/>
      <c r="N886" s="32"/>
      <c r="O886" s="32"/>
      <c r="P886" s="32"/>
      <c r="Q886" s="32"/>
      <c r="R886" s="32"/>
      <c r="S886" s="32"/>
      <c r="T886" s="32"/>
      <c r="U886" s="29"/>
      <c r="V886" s="29"/>
      <c r="W886" s="24"/>
      <c r="X886" s="18"/>
      <c r="Y886" s="18"/>
      <c r="Z886" s="18"/>
      <c r="AA886" s="18"/>
      <c r="AB886" s="18"/>
      <c r="AC886" s="18"/>
      <c r="AD886" s="18"/>
      <c r="AE886" s="19"/>
      <c r="AF886" s="20"/>
      <c r="AG886" s="21"/>
      <c r="AH886" s="21"/>
      <c r="AI886" s="19"/>
      <c r="AJ886" s="29"/>
      <c r="AK886" s="29"/>
      <c r="AL886" s="29"/>
    </row>
    <row r="887" spans="2:38" s="28" customFormat="1" x14ac:dyDescent="0.3">
      <c r="B887" s="24"/>
      <c r="C887" s="37"/>
      <c r="D887" s="37"/>
      <c r="E887" s="37"/>
      <c r="F887" s="35"/>
      <c r="G887" s="35"/>
      <c r="H887" s="35"/>
      <c r="I887" s="35"/>
      <c r="J887" s="35"/>
      <c r="K887" s="35"/>
      <c r="L887" s="35"/>
      <c r="M887" s="31"/>
      <c r="N887" s="32"/>
      <c r="O887" s="32"/>
      <c r="P887" s="32"/>
      <c r="Q887" s="32"/>
      <c r="R887" s="32"/>
      <c r="S887" s="32"/>
      <c r="T887" s="32"/>
      <c r="U887" s="29"/>
      <c r="V887" s="29"/>
      <c r="W887" s="24"/>
      <c r="X887" s="18"/>
      <c r="Y887" s="18"/>
      <c r="Z887" s="18"/>
      <c r="AA887" s="18"/>
      <c r="AB887" s="18"/>
      <c r="AC887" s="18"/>
      <c r="AD887" s="18"/>
      <c r="AE887" s="19"/>
      <c r="AF887" s="20"/>
      <c r="AG887" s="21"/>
      <c r="AH887" s="21"/>
      <c r="AI887" s="19"/>
      <c r="AJ887" s="29"/>
      <c r="AK887" s="29"/>
      <c r="AL887" s="29"/>
    </row>
    <row r="888" spans="2:38" s="28" customFormat="1" x14ac:dyDescent="0.3">
      <c r="B888" s="24"/>
      <c r="C888" s="37"/>
      <c r="D888" s="37"/>
      <c r="E888" s="37"/>
      <c r="F888" s="35"/>
      <c r="G888" s="35"/>
      <c r="H888" s="35"/>
      <c r="I888" s="35"/>
      <c r="J888" s="35"/>
      <c r="K888" s="35"/>
      <c r="L888" s="35"/>
      <c r="M888" s="31"/>
      <c r="N888" s="32"/>
      <c r="O888" s="32"/>
      <c r="P888" s="32"/>
      <c r="Q888" s="32"/>
      <c r="R888" s="32"/>
      <c r="S888" s="32"/>
      <c r="T888" s="32"/>
      <c r="U888" s="29"/>
      <c r="V888" s="29"/>
      <c r="W888" s="24"/>
      <c r="X888" s="18"/>
      <c r="Y888" s="18"/>
      <c r="Z888" s="18"/>
      <c r="AA888" s="18"/>
      <c r="AB888" s="18"/>
      <c r="AC888" s="18"/>
      <c r="AD888" s="18"/>
      <c r="AE888" s="19"/>
      <c r="AF888" s="20"/>
      <c r="AG888" s="21"/>
      <c r="AH888" s="21"/>
      <c r="AI888" s="19"/>
      <c r="AJ888" s="29"/>
      <c r="AK888" s="29"/>
      <c r="AL888" s="29"/>
    </row>
    <row r="889" spans="2:38" s="28" customFormat="1" x14ac:dyDescent="0.3">
      <c r="B889" s="24"/>
      <c r="C889" s="37"/>
      <c r="D889" s="37"/>
      <c r="E889" s="37"/>
      <c r="F889" s="35"/>
      <c r="G889" s="35"/>
      <c r="H889" s="35"/>
      <c r="I889" s="35"/>
      <c r="J889" s="35"/>
      <c r="K889" s="35"/>
      <c r="L889" s="35"/>
      <c r="M889" s="31"/>
      <c r="N889" s="32"/>
      <c r="O889" s="32"/>
      <c r="P889" s="32"/>
      <c r="Q889" s="32"/>
      <c r="R889" s="32"/>
      <c r="S889" s="32"/>
      <c r="T889" s="32"/>
      <c r="U889" s="29"/>
      <c r="V889" s="29"/>
      <c r="W889" s="24"/>
      <c r="X889" s="18"/>
      <c r="Y889" s="18"/>
      <c r="Z889" s="18"/>
      <c r="AA889" s="18"/>
      <c r="AB889" s="18"/>
      <c r="AC889" s="18"/>
      <c r="AD889" s="18"/>
      <c r="AE889" s="19"/>
      <c r="AF889" s="20"/>
      <c r="AG889" s="21"/>
      <c r="AH889" s="21"/>
      <c r="AI889" s="19"/>
      <c r="AJ889" s="29"/>
      <c r="AK889" s="29"/>
      <c r="AL889" s="29"/>
    </row>
    <row r="890" spans="2:38" s="28" customFormat="1" x14ac:dyDescent="0.3">
      <c r="B890" s="24"/>
      <c r="C890" s="37"/>
      <c r="D890" s="37"/>
      <c r="E890" s="37"/>
      <c r="F890" s="35"/>
      <c r="G890" s="35"/>
      <c r="H890" s="35"/>
      <c r="I890" s="35"/>
      <c r="J890" s="35"/>
      <c r="K890" s="35"/>
      <c r="L890" s="35"/>
      <c r="M890" s="31"/>
      <c r="N890" s="32"/>
      <c r="O890" s="32"/>
      <c r="P890" s="32"/>
      <c r="Q890" s="32"/>
      <c r="R890" s="32"/>
      <c r="S890" s="32"/>
      <c r="T890" s="32"/>
      <c r="U890" s="29"/>
      <c r="V890" s="29"/>
      <c r="W890" s="24"/>
      <c r="X890" s="18"/>
      <c r="Y890" s="18"/>
      <c r="Z890" s="18"/>
      <c r="AA890" s="18"/>
      <c r="AB890" s="18"/>
      <c r="AC890" s="18"/>
      <c r="AD890" s="18"/>
      <c r="AE890" s="19"/>
      <c r="AF890" s="20"/>
      <c r="AG890" s="21"/>
      <c r="AH890" s="21"/>
      <c r="AI890" s="19"/>
      <c r="AJ890" s="29"/>
      <c r="AK890" s="29"/>
      <c r="AL890" s="29"/>
    </row>
    <row r="891" spans="2:38" s="28" customFormat="1" x14ac:dyDescent="0.3">
      <c r="B891" s="24"/>
      <c r="C891" s="37"/>
      <c r="D891" s="37"/>
      <c r="E891" s="37"/>
      <c r="F891" s="35"/>
      <c r="G891" s="35"/>
      <c r="H891" s="35"/>
      <c r="I891" s="35"/>
      <c r="J891" s="35"/>
      <c r="K891" s="35"/>
      <c r="L891" s="35"/>
      <c r="M891" s="31"/>
      <c r="N891" s="32"/>
      <c r="O891" s="32"/>
      <c r="P891" s="32"/>
      <c r="Q891" s="32"/>
      <c r="R891" s="32"/>
      <c r="S891" s="32"/>
      <c r="T891" s="32"/>
      <c r="U891" s="29"/>
      <c r="V891" s="29"/>
      <c r="W891" s="24"/>
      <c r="X891" s="18"/>
      <c r="Y891" s="18"/>
      <c r="Z891" s="18"/>
      <c r="AA891" s="18"/>
      <c r="AB891" s="18"/>
      <c r="AC891" s="18"/>
      <c r="AD891" s="18"/>
      <c r="AE891" s="19"/>
      <c r="AF891" s="20"/>
      <c r="AG891" s="21"/>
      <c r="AH891" s="21"/>
      <c r="AI891" s="19"/>
      <c r="AJ891" s="29"/>
      <c r="AK891" s="29"/>
      <c r="AL891" s="29"/>
    </row>
    <row r="892" spans="2:38" s="28" customFormat="1" x14ac:dyDescent="0.3">
      <c r="B892" s="24"/>
      <c r="C892" s="37"/>
      <c r="D892" s="37"/>
      <c r="E892" s="37"/>
      <c r="F892" s="35"/>
      <c r="G892" s="35"/>
      <c r="H892" s="35"/>
      <c r="I892" s="35"/>
      <c r="J892" s="35"/>
      <c r="K892" s="35"/>
      <c r="L892" s="35"/>
      <c r="M892" s="31"/>
      <c r="N892" s="32"/>
      <c r="O892" s="32"/>
      <c r="P892" s="32"/>
      <c r="Q892" s="32"/>
      <c r="R892" s="32"/>
      <c r="S892" s="32"/>
      <c r="T892" s="32"/>
      <c r="U892" s="29"/>
      <c r="V892" s="29"/>
      <c r="W892" s="24"/>
      <c r="X892" s="18"/>
      <c r="Y892" s="18"/>
      <c r="Z892" s="18"/>
      <c r="AA892" s="18"/>
      <c r="AB892" s="18"/>
      <c r="AC892" s="18"/>
      <c r="AD892" s="18"/>
      <c r="AE892" s="19"/>
      <c r="AF892" s="20"/>
      <c r="AG892" s="21"/>
      <c r="AH892" s="21"/>
      <c r="AI892" s="19"/>
      <c r="AJ892" s="29"/>
      <c r="AK892" s="29"/>
      <c r="AL892" s="29"/>
    </row>
    <row r="893" spans="2:38" s="28" customFormat="1" x14ac:dyDescent="0.3">
      <c r="B893" s="24"/>
      <c r="C893" s="37"/>
      <c r="D893" s="37"/>
      <c r="E893" s="37"/>
      <c r="F893" s="35"/>
      <c r="G893" s="35"/>
      <c r="H893" s="35"/>
      <c r="I893" s="35"/>
      <c r="J893" s="35"/>
      <c r="K893" s="35"/>
      <c r="L893" s="35"/>
      <c r="M893" s="31"/>
      <c r="N893" s="32"/>
      <c r="O893" s="32"/>
      <c r="P893" s="32"/>
      <c r="Q893" s="32"/>
      <c r="R893" s="32"/>
      <c r="S893" s="32"/>
      <c r="T893" s="32"/>
      <c r="U893" s="29"/>
      <c r="V893" s="29"/>
      <c r="W893" s="24"/>
      <c r="X893" s="18"/>
      <c r="Y893" s="18"/>
      <c r="Z893" s="18"/>
      <c r="AA893" s="18"/>
      <c r="AB893" s="18"/>
      <c r="AC893" s="18"/>
      <c r="AD893" s="18"/>
      <c r="AE893" s="19"/>
      <c r="AF893" s="20"/>
      <c r="AG893" s="21"/>
      <c r="AH893" s="21"/>
      <c r="AI893" s="19"/>
      <c r="AJ893" s="29"/>
      <c r="AK893" s="29"/>
      <c r="AL893" s="29"/>
    </row>
    <row r="894" spans="2:38" s="28" customFormat="1" x14ac:dyDescent="0.3">
      <c r="B894" s="24"/>
      <c r="C894" s="37"/>
      <c r="D894" s="37"/>
      <c r="E894" s="37"/>
      <c r="F894" s="35"/>
      <c r="G894" s="35"/>
      <c r="H894" s="35"/>
      <c r="I894" s="35"/>
      <c r="J894" s="35"/>
      <c r="K894" s="35"/>
      <c r="L894" s="35"/>
      <c r="M894" s="31"/>
      <c r="N894" s="32"/>
      <c r="O894" s="32"/>
      <c r="P894" s="32"/>
      <c r="Q894" s="32"/>
      <c r="R894" s="32"/>
      <c r="S894" s="32"/>
      <c r="T894" s="32"/>
      <c r="U894" s="29"/>
      <c r="V894" s="29"/>
      <c r="W894" s="24"/>
      <c r="X894" s="18"/>
      <c r="Y894" s="18"/>
      <c r="Z894" s="18"/>
      <c r="AA894" s="18"/>
      <c r="AB894" s="18"/>
      <c r="AC894" s="18"/>
      <c r="AD894" s="18"/>
      <c r="AE894" s="19"/>
      <c r="AF894" s="20"/>
      <c r="AG894" s="21"/>
      <c r="AH894" s="21"/>
      <c r="AI894" s="19"/>
      <c r="AJ894" s="29"/>
      <c r="AK894" s="29"/>
      <c r="AL894" s="29"/>
    </row>
    <row r="895" spans="2:38" s="28" customFormat="1" x14ac:dyDescent="0.3">
      <c r="B895" s="24"/>
      <c r="C895" s="37"/>
      <c r="D895" s="37"/>
      <c r="E895" s="37"/>
      <c r="F895" s="35"/>
      <c r="G895" s="35"/>
      <c r="H895" s="35"/>
      <c r="I895" s="35"/>
      <c r="J895" s="35"/>
      <c r="K895" s="35"/>
      <c r="L895" s="35"/>
      <c r="M895" s="31"/>
      <c r="N895" s="32"/>
      <c r="O895" s="32"/>
      <c r="P895" s="32"/>
      <c r="Q895" s="32"/>
      <c r="R895" s="32"/>
      <c r="S895" s="32"/>
      <c r="T895" s="32"/>
      <c r="U895" s="29"/>
      <c r="V895" s="29"/>
      <c r="W895" s="24"/>
      <c r="X895" s="18"/>
      <c r="Y895" s="18"/>
      <c r="Z895" s="18"/>
      <c r="AA895" s="18"/>
      <c r="AB895" s="18"/>
      <c r="AC895" s="18"/>
      <c r="AD895" s="18"/>
      <c r="AE895" s="19"/>
      <c r="AF895" s="20"/>
      <c r="AG895" s="21"/>
      <c r="AH895" s="21"/>
      <c r="AI895" s="19"/>
      <c r="AJ895" s="29"/>
      <c r="AK895" s="29"/>
      <c r="AL895" s="29"/>
    </row>
    <row r="896" spans="2:38" s="28" customFormat="1" x14ac:dyDescent="0.3">
      <c r="B896" s="24"/>
      <c r="C896" s="37"/>
      <c r="D896" s="37"/>
      <c r="E896" s="37"/>
      <c r="F896" s="35"/>
      <c r="G896" s="35"/>
      <c r="H896" s="35"/>
      <c r="I896" s="35"/>
      <c r="J896" s="35"/>
      <c r="K896" s="35"/>
      <c r="L896" s="35"/>
      <c r="M896" s="31"/>
      <c r="N896" s="32"/>
      <c r="O896" s="32"/>
      <c r="P896" s="32"/>
      <c r="Q896" s="32"/>
      <c r="R896" s="32"/>
      <c r="S896" s="32"/>
      <c r="T896" s="32"/>
      <c r="U896" s="29"/>
      <c r="V896" s="29"/>
      <c r="W896" s="24"/>
      <c r="X896" s="18"/>
      <c r="Y896" s="18"/>
      <c r="Z896" s="18"/>
      <c r="AA896" s="18"/>
      <c r="AB896" s="18"/>
      <c r="AC896" s="18"/>
      <c r="AD896" s="18"/>
      <c r="AE896" s="19"/>
      <c r="AF896" s="20"/>
      <c r="AG896" s="21"/>
      <c r="AH896" s="21"/>
      <c r="AI896" s="19"/>
      <c r="AJ896" s="29"/>
      <c r="AK896" s="29"/>
      <c r="AL896" s="29"/>
    </row>
    <row r="897" spans="2:38" s="28" customFormat="1" x14ac:dyDescent="0.3">
      <c r="B897" s="24"/>
      <c r="C897" s="37"/>
      <c r="D897" s="37"/>
      <c r="E897" s="37"/>
      <c r="F897" s="35"/>
      <c r="G897" s="35"/>
      <c r="H897" s="35"/>
      <c r="I897" s="35"/>
      <c r="J897" s="35"/>
      <c r="K897" s="35"/>
      <c r="L897" s="35"/>
      <c r="M897" s="31"/>
      <c r="N897" s="32"/>
      <c r="O897" s="32"/>
      <c r="P897" s="32"/>
      <c r="Q897" s="32"/>
      <c r="R897" s="32"/>
      <c r="S897" s="32"/>
      <c r="T897" s="32"/>
      <c r="U897" s="29"/>
      <c r="V897" s="29"/>
      <c r="W897" s="24"/>
      <c r="X897" s="18"/>
      <c r="Y897" s="18"/>
      <c r="Z897" s="18"/>
      <c r="AA897" s="18"/>
      <c r="AB897" s="18"/>
      <c r="AC897" s="18"/>
      <c r="AD897" s="18"/>
      <c r="AE897" s="19"/>
      <c r="AF897" s="20"/>
      <c r="AG897" s="21"/>
      <c r="AH897" s="21"/>
      <c r="AI897" s="19"/>
      <c r="AJ897" s="29"/>
      <c r="AK897" s="29"/>
      <c r="AL897" s="29"/>
    </row>
    <row r="898" spans="2:38" s="28" customFormat="1" x14ac:dyDescent="0.3">
      <c r="B898" s="24"/>
      <c r="C898" s="37"/>
      <c r="D898" s="37"/>
      <c r="E898" s="37"/>
      <c r="F898" s="35"/>
      <c r="G898" s="35"/>
      <c r="H898" s="35"/>
      <c r="I898" s="35"/>
      <c r="J898" s="35"/>
      <c r="K898" s="35"/>
      <c r="L898" s="35"/>
      <c r="M898" s="31"/>
      <c r="N898" s="32"/>
      <c r="O898" s="32"/>
      <c r="P898" s="32"/>
      <c r="Q898" s="32"/>
      <c r="R898" s="32"/>
      <c r="S898" s="32"/>
      <c r="T898" s="32"/>
      <c r="U898" s="29"/>
      <c r="V898" s="29"/>
      <c r="W898" s="24"/>
      <c r="X898" s="18"/>
      <c r="Y898" s="18"/>
      <c r="Z898" s="18"/>
      <c r="AA898" s="18"/>
      <c r="AB898" s="18"/>
      <c r="AC898" s="18"/>
      <c r="AD898" s="18"/>
      <c r="AE898" s="19"/>
      <c r="AF898" s="20"/>
      <c r="AG898" s="21"/>
      <c r="AH898" s="21"/>
      <c r="AI898" s="19"/>
      <c r="AJ898" s="29"/>
      <c r="AK898" s="29"/>
      <c r="AL898" s="29"/>
    </row>
    <row r="899" spans="2:38" s="28" customFormat="1" x14ac:dyDescent="0.3">
      <c r="B899" s="24"/>
      <c r="C899" s="37"/>
      <c r="D899" s="37"/>
      <c r="E899" s="37"/>
      <c r="F899" s="35"/>
      <c r="G899" s="35"/>
      <c r="H899" s="35"/>
      <c r="I899" s="35"/>
      <c r="J899" s="35"/>
      <c r="K899" s="35"/>
      <c r="L899" s="35"/>
      <c r="M899" s="31"/>
      <c r="N899" s="32"/>
      <c r="O899" s="32"/>
      <c r="P899" s="32"/>
      <c r="Q899" s="32"/>
      <c r="R899" s="32"/>
      <c r="S899" s="32"/>
      <c r="T899" s="32"/>
      <c r="U899" s="29"/>
      <c r="V899" s="29"/>
      <c r="W899" s="24"/>
      <c r="X899" s="18"/>
      <c r="Y899" s="18"/>
      <c r="Z899" s="18"/>
      <c r="AA899" s="18"/>
      <c r="AB899" s="18"/>
      <c r="AC899" s="18"/>
      <c r="AD899" s="18"/>
      <c r="AE899" s="19"/>
      <c r="AF899" s="20"/>
      <c r="AG899" s="21"/>
      <c r="AH899" s="21"/>
      <c r="AI899" s="19"/>
      <c r="AJ899" s="29"/>
      <c r="AK899" s="29"/>
      <c r="AL899" s="29"/>
    </row>
    <row r="900" spans="2:38" s="28" customFormat="1" x14ac:dyDescent="0.3">
      <c r="B900" s="24"/>
      <c r="C900" s="37"/>
      <c r="D900" s="37"/>
      <c r="E900" s="37"/>
      <c r="F900" s="35"/>
      <c r="G900" s="35"/>
      <c r="H900" s="35"/>
      <c r="I900" s="35"/>
      <c r="J900" s="35"/>
      <c r="K900" s="35"/>
      <c r="L900" s="35"/>
      <c r="M900" s="31"/>
      <c r="N900" s="32"/>
      <c r="O900" s="32"/>
      <c r="P900" s="32"/>
      <c r="Q900" s="32"/>
      <c r="R900" s="32"/>
      <c r="S900" s="32"/>
      <c r="T900" s="32"/>
      <c r="U900" s="29"/>
      <c r="V900" s="29"/>
      <c r="W900" s="24"/>
      <c r="X900" s="18"/>
      <c r="Y900" s="18"/>
      <c r="Z900" s="18"/>
      <c r="AA900" s="18"/>
      <c r="AB900" s="18"/>
      <c r="AC900" s="18"/>
      <c r="AD900" s="18"/>
      <c r="AE900" s="19"/>
      <c r="AF900" s="20"/>
      <c r="AG900" s="21"/>
      <c r="AH900" s="21"/>
      <c r="AI900" s="19"/>
      <c r="AJ900" s="29"/>
      <c r="AK900" s="29"/>
      <c r="AL900" s="29"/>
    </row>
    <row r="901" spans="2:38" s="28" customFormat="1" x14ac:dyDescent="0.3">
      <c r="B901" s="24"/>
      <c r="C901" s="37"/>
      <c r="D901" s="37"/>
      <c r="E901" s="37"/>
      <c r="F901" s="35"/>
      <c r="G901" s="35"/>
      <c r="H901" s="35"/>
      <c r="I901" s="35"/>
      <c r="J901" s="35"/>
      <c r="K901" s="35"/>
      <c r="L901" s="35"/>
      <c r="M901" s="31"/>
      <c r="N901" s="32"/>
      <c r="O901" s="32"/>
      <c r="P901" s="32"/>
      <c r="Q901" s="32"/>
      <c r="R901" s="32"/>
      <c r="S901" s="32"/>
      <c r="T901" s="32"/>
      <c r="U901" s="29"/>
      <c r="V901" s="29"/>
      <c r="W901" s="24"/>
      <c r="X901" s="18"/>
      <c r="Y901" s="18"/>
      <c r="Z901" s="18"/>
      <c r="AA901" s="18"/>
      <c r="AB901" s="18"/>
      <c r="AC901" s="18"/>
      <c r="AD901" s="18"/>
      <c r="AE901" s="19"/>
      <c r="AF901" s="20"/>
      <c r="AG901" s="21"/>
      <c r="AH901" s="21"/>
      <c r="AI901" s="19"/>
      <c r="AJ901" s="29"/>
      <c r="AK901" s="29"/>
      <c r="AL901" s="29"/>
    </row>
    <row r="902" spans="2:38" s="28" customFormat="1" x14ac:dyDescent="0.3">
      <c r="B902" s="24"/>
      <c r="C902" s="37"/>
      <c r="D902" s="37"/>
      <c r="E902" s="37"/>
      <c r="F902" s="35"/>
      <c r="G902" s="35"/>
      <c r="H902" s="35"/>
      <c r="I902" s="35"/>
      <c r="J902" s="35"/>
      <c r="K902" s="35"/>
      <c r="L902" s="35"/>
      <c r="M902" s="31"/>
      <c r="N902" s="32"/>
      <c r="O902" s="32"/>
      <c r="P902" s="32"/>
      <c r="Q902" s="32"/>
      <c r="R902" s="32"/>
      <c r="S902" s="32"/>
      <c r="T902" s="32"/>
      <c r="U902" s="29"/>
      <c r="V902" s="29"/>
      <c r="W902" s="24"/>
      <c r="X902" s="18"/>
      <c r="Y902" s="18"/>
      <c r="Z902" s="18"/>
      <c r="AA902" s="18"/>
      <c r="AB902" s="18"/>
      <c r="AC902" s="18"/>
      <c r="AD902" s="18"/>
      <c r="AE902" s="19"/>
      <c r="AF902" s="20"/>
      <c r="AG902" s="21"/>
      <c r="AH902" s="21"/>
      <c r="AI902" s="19"/>
      <c r="AJ902" s="29"/>
      <c r="AK902" s="29"/>
      <c r="AL902" s="29"/>
    </row>
    <row r="903" spans="2:38" s="28" customFormat="1" x14ac:dyDescent="0.3">
      <c r="B903" s="24"/>
      <c r="C903" s="37"/>
      <c r="D903" s="37"/>
      <c r="E903" s="37"/>
      <c r="F903" s="35"/>
      <c r="G903" s="35"/>
      <c r="H903" s="35"/>
      <c r="I903" s="35"/>
      <c r="J903" s="35"/>
      <c r="K903" s="35"/>
      <c r="L903" s="35"/>
      <c r="M903" s="31"/>
      <c r="N903" s="32"/>
      <c r="O903" s="32"/>
      <c r="P903" s="32"/>
      <c r="Q903" s="32"/>
      <c r="R903" s="32"/>
      <c r="S903" s="32"/>
      <c r="T903" s="32"/>
      <c r="U903" s="29"/>
      <c r="V903" s="29"/>
      <c r="W903" s="24"/>
      <c r="X903" s="18"/>
      <c r="Y903" s="18"/>
      <c r="Z903" s="18"/>
      <c r="AA903" s="18"/>
      <c r="AB903" s="18"/>
      <c r="AC903" s="18"/>
      <c r="AD903" s="18"/>
      <c r="AE903" s="19"/>
      <c r="AF903" s="20"/>
      <c r="AG903" s="21"/>
      <c r="AH903" s="21"/>
      <c r="AI903" s="19"/>
      <c r="AJ903" s="29"/>
      <c r="AK903" s="29"/>
      <c r="AL903" s="29"/>
    </row>
    <row r="904" spans="2:38" s="28" customFormat="1" x14ac:dyDescent="0.3">
      <c r="B904" s="24"/>
      <c r="C904" s="37"/>
      <c r="D904" s="37"/>
      <c r="E904" s="37"/>
      <c r="F904" s="35"/>
      <c r="G904" s="35"/>
      <c r="H904" s="35"/>
      <c r="I904" s="35"/>
      <c r="J904" s="35"/>
      <c r="K904" s="35"/>
      <c r="L904" s="35"/>
      <c r="M904" s="31"/>
      <c r="N904" s="32"/>
      <c r="O904" s="32"/>
      <c r="P904" s="32"/>
      <c r="Q904" s="32"/>
      <c r="R904" s="32"/>
      <c r="S904" s="32"/>
      <c r="T904" s="32"/>
      <c r="U904" s="29"/>
      <c r="V904" s="29"/>
      <c r="W904" s="24"/>
      <c r="X904" s="18"/>
      <c r="Y904" s="18"/>
      <c r="Z904" s="18"/>
      <c r="AA904" s="18"/>
      <c r="AB904" s="18"/>
      <c r="AC904" s="18"/>
      <c r="AD904" s="18"/>
      <c r="AE904" s="19"/>
      <c r="AF904" s="20"/>
      <c r="AG904" s="21"/>
      <c r="AH904" s="21"/>
      <c r="AI904" s="19"/>
      <c r="AJ904" s="29"/>
      <c r="AK904" s="29"/>
      <c r="AL904" s="29"/>
    </row>
    <row r="905" spans="2:38" s="28" customFormat="1" x14ac:dyDescent="0.3">
      <c r="B905" s="24"/>
      <c r="C905" s="37"/>
      <c r="D905" s="37"/>
      <c r="E905" s="37"/>
      <c r="F905" s="35"/>
      <c r="G905" s="35"/>
      <c r="H905" s="35"/>
      <c r="I905" s="35"/>
      <c r="J905" s="35"/>
      <c r="K905" s="35"/>
      <c r="L905" s="35"/>
      <c r="M905" s="31"/>
      <c r="N905" s="32"/>
      <c r="O905" s="32"/>
      <c r="P905" s="32"/>
      <c r="Q905" s="32"/>
      <c r="R905" s="32"/>
      <c r="S905" s="32"/>
      <c r="T905" s="32"/>
      <c r="U905" s="29"/>
      <c r="V905" s="29"/>
      <c r="W905" s="24"/>
      <c r="X905" s="18"/>
      <c r="Y905" s="18"/>
      <c r="Z905" s="18"/>
      <c r="AA905" s="18"/>
      <c r="AB905" s="18"/>
      <c r="AC905" s="18"/>
      <c r="AD905" s="18"/>
      <c r="AE905" s="19"/>
      <c r="AF905" s="20"/>
      <c r="AG905" s="21"/>
      <c r="AH905" s="21"/>
      <c r="AI905" s="19"/>
      <c r="AJ905" s="29"/>
      <c r="AK905" s="29"/>
      <c r="AL905" s="29"/>
    </row>
    <row r="906" spans="2:38" s="28" customFormat="1" x14ac:dyDescent="0.3">
      <c r="B906" s="24"/>
      <c r="C906" s="37"/>
      <c r="D906" s="37"/>
      <c r="E906" s="37"/>
      <c r="F906" s="35"/>
      <c r="G906" s="35"/>
      <c r="H906" s="35"/>
      <c r="I906" s="35"/>
      <c r="J906" s="35"/>
      <c r="K906" s="35"/>
      <c r="L906" s="35"/>
      <c r="M906" s="31"/>
      <c r="N906" s="32"/>
      <c r="O906" s="32"/>
      <c r="P906" s="32"/>
      <c r="Q906" s="32"/>
      <c r="R906" s="32"/>
      <c r="S906" s="32"/>
      <c r="T906" s="32"/>
      <c r="U906" s="29"/>
      <c r="V906" s="29"/>
      <c r="W906" s="24"/>
      <c r="X906" s="18"/>
      <c r="Y906" s="18"/>
      <c r="Z906" s="18"/>
      <c r="AA906" s="18"/>
      <c r="AB906" s="18"/>
      <c r="AC906" s="18"/>
      <c r="AD906" s="18"/>
      <c r="AE906" s="19"/>
      <c r="AF906" s="20"/>
      <c r="AG906" s="21"/>
      <c r="AH906" s="21"/>
      <c r="AI906" s="19"/>
      <c r="AJ906" s="29"/>
      <c r="AK906" s="29"/>
      <c r="AL906" s="29"/>
    </row>
    <row r="907" spans="2:38" s="28" customFormat="1" x14ac:dyDescent="0.3">
      <c r="B907" s="24"/>
      <c r="C907" s="37"/>
      <c r="D907" s="37"/>
      <c r="E907" s="37"/>
      <c r="F907" s="35"/>
      <c r="G907" s="35"/>
      <c r="H907" s="35"/>
      <c r="I907" s="35"/>
      <c r="J907" s="35"/>
      <c r="K907" s="35"/>
      <c r="L907" s="35"/>
      <c r="M907" s="31"/>
      <c r="N907" s="32"/>
      <c r="O907" s="32"/>
      <c r="P907" s="32"/>
      <c r="Q907" s="32"/>
      <c r="R907" s="32"/>
      <c r="S907" s="32"/>
      <c r="T907" s="32"/>
      <c r="U907" s="29"/>
      <c r="V907" s="29"/>
      <c r="W907" s="24"/>
      <c r="X907" s="18"/>
      <c r="Y907" s="18"/>
      <c r="Z907" s="18"/>
      <c r="AA907" s="18"/>
      <c r="AB907" s="18"/>
      <c r="AC907" s="18"/>
      <c r="AD907" s="18"/>
      <c r="AE907" s="19"/>
      <c r="AF907" s="20"/>
      <c r="AG907" s="21"/>
      <c r="AH907" s="21"/>
      <c r="AI907" s="19"/>
      <c r="AJ907" s="29"/>
      <c r="AK907" s="29"/>
      <c r="AL907" s="29"/>
    </row>
    <row r="908" spans="2:38" s="28" customFormat="1" x14ac:dyDescent="0.3">
      <c r="B908" s="24"/>
      <c r="C908" s="37"/>
      <c r="D908" s="37"/>
      <c r="E908" s="37"/>
      <c r="F908" s="35"/>
      <c r="G908" s="35"/>
      <c r="H908" s="35"/>
      <c r="I908" s="35"/>
      <c r="J908" s="35"/>
      <c r="K908" s="35"/>
      <c r="L908" s="35"/>
      <c r="M908" s="31"/>
      <c r="N908" s="32"/>
      <c r="O908" s="32"/>
      <c r="P908" s="32"/>
      <c r="Q908" s="32"/>
      <c r="R908" s="32"/>
      <c r="S908" s="32"/>
      <c r="T908" s="32"/>
      <c r="U908" s="29"/>
      <c r="V908" s="29"/>
      <c r="W908" s="24"/>
      <c r="X908" s="18"/>
      <c r="Y908" s="18"/>
      <c r="Z908" s="18"/>
      <c r="AA908" s="18"/>
      <c r="AB908" s="18"/>
      <c r="AC908" s="18"/>
      <c r="AD908" s="18"/>
      <c r="AE908" s="19"/>
      <c r="AF908" s="20"/>
      <c r="AG908" s="21"/>
      <c r="AH908" s="21"/>
      <c r="AI908" s="19"/>
      <c r="AJ908" s="29"/>
      <c r="AK908" s="29"/>
      <c r="AL908" s="29"/>
    </row>
    <row r="909" spans="2:38" s="28" customFormat="1" x14ac:dyDescent="0.3">
      <c r="B909" s="24"/>
      <c r="C909" s="37"/>
      <c r="D909" s="37"/>
      <c r="E909" s="37"/>
      <c r="F909" s="35"/>
      <c r="G909" s="35"/>
      <c r="H909" s="35"/>
      <c r="I909" s="35"/>
      <c r="J909" s="35"/>
      <c r="K909" s="35"/>
      <c r="L909" s="35"/>
      <c r="M909" s="31"/>
      <c r="N909" s="32"/>
      <c r="O909" s="32"/>
      <c r="P909" s="32"/>
      <c r="Q909" s="32"/>
      <c r="R909" s="32"/>
      <c r="S909" s="32"/>
      <c r="T909" s="32"/>
      <c r="U909" s="29"/>
      <c r="V909" s="29"/>
      <c r="W909" s="24"/>
      <c r="X909" s="18"/>
      <c r="Y909" s="18"/>
      <c r="Z909" s="18"/>
      <c r="AA909" s="18"/>
      <c r="AB909" s="18"/>
      <c r="AC909" s="18"/>
      <c r="AD909" s="18"/>
      <c r="AE909" s="19"/>
      <c r="AF909" s="20"/>
      <c r="AG909" s="21"/>
      <c r="AH909" s="21"/>
      <c r="AI909" s="19"/>
      <c r="AJ909" s="29"/>
      <c r="AK909" s="29"/>
      <c r="AL909" s="29"/>
    </row>
    <row r="910" spans="2:38" s="28" customFormat="1" x14ac:dyDescent="0.3">
      <c r="B910" s="24"/>
      <c r="C910" s="37"/>
      <c r="D910" s="37"/>
      <c r="E910" s="37"/>
      <c r="F910" s="35"/>
      <c r="G910" s="35"/>
      <c r="H910" s="35"/>
      <c r="I910" s="35"/>
      <c r="J910" s="35"/>
      <c r="K910" s="35"/>
      <c r="L910" s="35"/>
      <c r="M910" s="31"/>
      <c r="N910" s="32"/>
      <c r="O910" s="32"/>
      <c r="P910" s="32"/>
      <c r="Q910" s="32"/>
      <c r="R910" s="32"/>
      <c r="S910" s="32"/>
      <c r="T910" s="32"/>
      <c r="U910" s="29"/>
      <c r="V910" s="29"/>
      <c r="W910" s="24"/>
      <c r="X910" s="18"/>
      <c r="Y910" s="18"/>
      <c r="Z910" s="18"/>
      <c r="AA910" s="18"/>
      <c r="AB910" s="18"/>
      <c r="AC910" s="18"/>
      <c r="AD910" s="18"/>
      <c r="AE910" s="19"/>
      <c r="AF910" s="20"/>
      <c r="AG910" s="21"/>
      <c r="AH910" s="21"/>
      <c r="AI910" s="19"/>
      <c r="AJ910" s="29"/>
      <c r="AK910" s="29"/>
      <c r="AL910" s="29"/>
    </row>
    <row r="911" spans="2:38" s="28" customFormat="1" x14ac:dyDescent="0.3">
      <c r="B911" s="24"/>
      <c r="C911" s="37"/>
      <c r="D911" s="37"/>
      <c r="E911" s="37"/>
      <c r="F911" s="35"/>
      <c r="G911" s="35"/>
      <c r="H911" s="35"/>
      <c r="I911" s="35"/>
      <c r="J911" s="35"/>
      <c r="K911" s="35"/>
      <c r="L911" s="35"/>
      <c r="M911" s="31"/>
      <c r="N911" s="32"/>
      <c r="O911" s="32"/>
      <c r="P911" s="32"/>
      <c r="Q911" s="32"/>
      <c r="R911" s="32"/>
      <c r="S911" s="32"/>
      <c r="T911" s="32"/>
      <c r="U911" s="29"/>
      <c r="V911" s="29"/>
      <c r="W911" s="24"/>
      <c r="X911" s="18"/>
      <c r="Y911" s="18"/>
      <c r="Z911" s="18"/>
      <c r="AA911" s="18"/>
      <c r="AB911" s="18"/>
      <c r="AC911" s="18"/>
      <c r="AD911" s="18"/>
      <c r="AE911" s="19"/>
      <c r="AF911" s="20"/>
      <c r="AG911" s="21"/>
      <c r="AH911" s="21"/>
      <c r="AI911" s="19"/>
      <c r="AJ911" s="29"/>
      <c r="AK911" s="29"/>
      <c r="AL911" s="29"/>
    </row>
    <row r="912" spans="2:38" s="28" customFormat="1" x14ac:dyDescent="0.3">
      <c r="B912" s="24"/>
      <c r="C912" s="37"/>
      <c r="D912" s="37"/>
      <c r="E912" s="37"/>
      <c r="F912" s="35"/>
      <c r="G912" s="35"/>
      <c r="H912" s="35"/>
      <c r="I912" s="35"/>
      <c r="J912" s="35"/>
      <c r="K912" s="35"/>
      <c r="L912" s="35"/>
      <c r="M912" s="31"/>
      <c r="N912" s="32"/>
      <c r="O912" s="32"/>
      <c r="P912" s="32"/>
      <c r="Q912" s="32"/>
      <c r="R912" s="32"/>
      <c r="S912" s="32"/>
      <c r="T912" s="32"/>
      <c r="U912" s="29"/>
      <c r="V912" s="29"/>
      <c r="W912" s="24"/>
      <c r="X912" s="18"/>
      <c r="Y912" s="18"/>
      <c r="Z912" s="18"/>
      <c r="AA912" s="18"/>
      <c r="AB912" s="18"/>
      <c r="AC912" s="18"/>
      <c r="AD912" s="18"/>
      <c r="AE912" s="19"/>
      <c r="AF912" s="20"/>
      <c r="AG912" s="21"/>
      <c r="AH912" s="21"/>
      <c r="AI912" s="19"/>
      <c r="AJ912" s="29"/>
      <c r="AK912" s="29"/>
      <c r="AL912" s="29"/>
    </row>
    <row r="913" spans="2:38" s="28" customFormat="1" x14ac:dyDescent="0.3">
      <c r="B913" s="24"/>
      <c r="C913" s="37"/>
      <c r="D913" s="37"/>
      <c r="E913" s="37"/>
      <c r="F913" s="35"/>
      <c r="G913" s="35"/>
      <c r="H913" s="35"/>
      <c r="I913" s="35"/>
      <c r="J913" s="35"/>
      <c r="K913" s="35"/>
      <c r="L913" s="35"/>
      <c r="M913" s="31"/>
      <c r="N913" s="32"/>
      <c r="O913" s="32"/>
      <c r="P913" s="32"/>
      <c r="Q913" s="32"/>
      <c r="R913" s="32"/>
      <c r="S913" s="32"/>
      <c r="T913" s="32"/>
      <c r="U913" s="29"/>
      <c r="V913" s="29"/>
      <c r="W913" s="24"/>
      <c r="X913" s="18"/>
      <c r="Y913" s="18"/>
      <c r="Z913" s="18"/>
      <c r="AA913" s="18"/>
      <c r="AB913" s="18"/>
      <c r="AC913" s="18"/>
      <c r="AD913" s="18"/>
      <c r="AE913" s="19"/>
      <c r="AF913" s="20"/>
      <c r="AG913" s="21"/>
      <c r="AH913" s="21"/>
      <c r="AI913" s="19"/>
      <c r="AJ913" s="29"/>
      <c r="AK913" s="29"/>
      <c r="AL913" s="29"/>
    </row>
    <row r="914" spans="2:38" s="28" customFormat="1" x14ac:dyDescent="0.3">
      <c r="B914" s="24"/>
      <c r="C914" s="37"/>
      <c r="D914" s="37"/>
      <c r="E914" s="37"/>
      <c r="F914" s="35"/>
      <c r="G914" s="35"/>
      <c r="H914" s="35"/>
      <c r="I914" s="35"/>
      <c r="J914" s="35"/>
      <c r="K914" s="35"/>
      <c r="L914" s="35"/>
      <c r="M914" s="31"/>
      <c r="N914" s="32"/>
      <c r="O914" s="32"/>
      <c r="P914" s="32"/>
      <c r="Q914" s="32"/>
      <c r="R914" s="32"/>
      <c r="S914" s="32"/>
      <c r="T914" s="32"/>
      <c r="U914" s="29"/>
      <c r="V914" s="29"/>
      <c r="W914" s="24"/>
      <c r="X914" s="18"/>
      <c r="Y914" s="18"/>
      <c r="Z914" s="18"/>
      <c r="AA914" s="18"/>
      <c r="AB914" s="18"/>
      <c r="AC914" s="18"/>
      <c r="AD914" s="18"/>
      <c r="AE914" s="19"/>
      <c r="AF914" s="20"/>
      <c r="AG914" s="21"/>
      <c r="AH914" s="21"/>
      <c r="AI914" s="19"/>
      <c r="AJ914" s="29"/>
      <c r="AK914" s="29"/>
      <c r="AL914" s="29"/>
    </row>
    <row r="915" spans="2:38" s="28" customFormat="1" x14ac:dyDescent="0.3">
      <c r="B915" s="24"/>
      <c r="C915" s="37"/>
      <c r="D915" s="37"/>
      <c r="E915" s="37"/>
      <c r="F915" s="35"/>
      <c r="G915" s="35"/>
      <c r="H915" s="35"/>
      <c r="I915" s="35"/>
      <c r="J915" s="35"/>
      <c r="K915" s="35"/>
      <c r="L915" s="35"/>
      <c r="M915" s="31"/>
      <c r="N915" s="32"/>
      <c r="O915" s="32"/>
      <c r="P915" s="32"/>
      <c r="Q915" s="32"/>
      <c r="R915" s="32"/>
      <c r="S915" s="32"/>
      <c r="T915" s="32"/>
      <c r="U915" s="29"/>
      <c r="V915" s="29"/>
      <c r="W915" s="24"/>
      <c r="X915" s="18"/>
      <c r="Y915" s="18"/>
      <c r="Z915" s="18"/>
      <c r="AA915" s="18"/>
      <c r="AB915" s="18"/>
      <c r="AC915" s="18"/>
      <c r="AD915" s="18"/>
      <c r="AE915" s="19"/>
      <c r="AF915" s="20"/>
      <c r="AG915" s="21"/>
      <c r="AH915" s="21"/>
      <c r="AI915" s="19"/>
      <c r="AJ915" s="29"/>
      <c r="AK915" s="29"/>
      <c r="AL915" s="29"/>
    </row>
    <row r="916" spans="2:38" s="28" customFormat="1" x14ac:dyDescent="0.3">
      <c r="B916" s="24"/>
      <c r="C916" s="37"/>
      <c r="D916" s="37"/>
      <c r="E916" s="37"/>
      <c r="F916" s="35"/>
      <c r="G916" s="35"/>
      <c r="H916" s="35"/>
      <c r="I916" s="35"/>
      <c r="J916" s="35"/>
      <c r="K916" s="35"/>
      <c r="L916" s="35"/>
      <c r="M916" s="31"/>
      <c r="N916" s="32"/>
      <c r="O916" s="32"/>
      <c r="P916" s="32"/>
      <c r="Q916" s="32"/>
      <c r="R916" s="32"/>
      <c r="S916" s="32"/>
      <c r="T916" s="32"/>
      <c r="U916" s="29"/>
      <c r="V916" s="29"/>
      <c r="W916" s="24"/>
      <c r="X916" s="18"/>
      <c r="Y916" s="18"/>
      <c r="Z916" s="18"/>
      <c r="AA916" s="18"/>
      <c r="AB916" s="18"/>
      <c r="AC916" s="18"/>
      <c r="AD916" s="18"/>
      <c r="AE916" s="19"/>
      <c r="AF916" s="20"/>
      <c r="AG916" s="21"/>
      <c r="AH916" s="21"/>
      <c r="AI916" s="19"/>
      <c r="AJ916" s="29"/>
      <c r="AK916" s="29"/>
      <c r="AL916" s="29"/>
    </row>
    <row r="917" spans="2:38" s="28" customFormat="1" x14ac:dyDescent="0.3">
      <c r="B917" s="24"/>
      <c r="C917" s="37"/>
      <c r="D917" s="37"/>
      <c r="E917" s="37"/>
      <c r="F917" s="35"/>
      <c r="G917" s="35"/>
      <c r="H917" s="35"/>
      <c r="I917" s="35"/>
      <c r="J917" s="35"/>
      <c r="K917" s="35"/>
      <c r="L917" s="35"/>
      <c r="M917" s="31"/>
      <c r="N917" s="32"/>
      <c r="O917" s="32"/>
      <c r="P917" s="32"/>
      <c r="Q917" s="32"/>
      <c r="R917" s="32"/>
      <c r="S917" s="32"/>
      <c r="T917" s="32"/>
      <c r="U917" s="29"/>
      <c r="V917" s="29"/>
      <c r="W917" s="24"/>
      <c r="X917" s="18"/>
      <c r="Y917" s="18"/>
      <c r="Z917" s="18"/>
      <c r="AA917" s="18"/>
      <c r="AB917" s="18"/>
      <c r="AC917" s="18"/>
      <c r="AD917" s="18"/>
      <c r="AE917" s="19"/>
      <c r="AF917" s="20"/>
      <c r="AG917" s="21"/>
      <c r="AH917" s="21"/>
      <c r="AI917" s="19"/>
      <c r="AJ917" s="29"/>
      <c r="AK917" s="29"/>
      <c r="AL917" s="29"/>
    </row>
    <row r="918" spans="2:38" s="28" customFormat="1" x14ac:dyDescent="0.3">
      <c r="B918" s="24"/>
      <c r="C918" s="37"/>
      <c r="D918" s="37"/>
      <c r="E918" s="37"/>
      <c r="F918" s="35"/>
      <c r="G918" s="35"/>
      <c r="H918" s="35"/>
      <c r="I918" s="35"/>
      <c r="J918" s="35"/>
      <c r="K918" s="35"/>
      <c r="L918" s="35"/>
      <c r="M918" s="31"/>
      <c r="N918" s="32"/>
      <c r="O918" s="32"/>
      <c r="P918" s="32"/>
      <c r="Q918" s="32"/>
      <c r="R918" s="32"/>
      <c r="S918" s="32"/>
      <c r="T918" s="32"/>
      <c r="U918" s="29"/>
      <c r="V918" s="29"/>
      <c r="W918" s="24"/>
      <c r="X918" s="18"/>
      <c r="Y918" s="18"/>
      <c r="Z918" s="18"/>
      <c r="AA918" s="18"/>
      <c r="AB918" s="18"/>
      <c r="AC918" s="18"/>
      <c r="AD918" s="18"/>
      <c r="AE918" s="19"/>
      <c r="AF918" s="20"/>
      <c r="AG918" s="21"/>
      <c r="AH918" s="21"/>
      <c r="AI918" s="19"/>
      <c r="AJ918" s="29"/>
      <c r="AK918" s="29"/>
      <c r="AL918" s="29"/>
    </row>
    <row r="919" spans="2:38" s="28" customFormat="1" x14ac:dyDescent="0.3">
      <c r="B919" s="24"/>
      <c r="C919" s="37"/>
      <c r="D919" s="37"/>
      <c r="E919" s="37"/>
      <c r="F919" s="35"/>
      <c r="G919" s="35"/>
      <c r="H919" s="35"/>
      <c r="I919" s="35"/>
      <c r="J919" s="35"/>
      <c r="K919" s="35"/>
      <c r="L919" s="35"/>
      <c r="M919" s="31"/>
      <c r="N919" s="32"/>
      <c r="O919" s="32"/>
      <c r="P919" s="32"/>
      <c r="Q919" s="32"/>
      <c r="R919" s="32"/>
      <c r="S919" s="32"/>
      <c r="T919" s="32"/>
      <c r="U919" s="29"/>
      <c r="V919" s="29"/>
      <c r="W919" s="24"/>
      <c r="X919" s="18"/>
      <c r="Y919" s="18"/>
      <c r="Z919" s="18"/>
      <c r="AA919" s="18"/>
      <c r="AB919" s="18"/>
      <c r="AC919" s="18"/>
      <c r="AD919" s="18"/>
      <c r="AE919" s="19"/>
      <c r="AF919" s="20"/>
      <c r="AG919" s="21"/>
      <c r="AH919" s="21"/>
      <c r="AI919" s="19"/>
      <c r="AJ919" s="29"/>
      <c r="AK919" s="29"/>
      <c r="AL919" s="29"/>
    </row>
    <row r="920" spans="2:38" s="28" customFormat="1" x14ac:dyDescent="0.3">
      <c r="B920" s="24"/>
      <c r="C920" s="37"/>
      <c r="D920" s="37"/>
      <c r="E920" s="37"/>
      <c r="F920" s="35"/>
      <c r="G920" s="35"/>
      <c r="H920" s="35"/>
      <c r="I920" s="35"/>
      <c r="J920" s="35"/>
      <c r="K920" s="35"/>
      <c r="L920" s="35"/>
      <c r="M920" s="31"/>
      <c r="N920" s="32"/>
      <c r="O920" s="32"/>
      <c r="P920" s="32"/>
      <c r="Q920" s="32"/>
      <c r="R920" s="32"/>
      <c r="S920" s="32"/>
      <c r="T920" s="32"/>
      <c r="U920" s="29"/>
      <c r="V920" s="29"/>
      <c r="W920" s="24"/>
      <c r="X920" s="18"/>
      <c r="Y920" s="18"/>
      <c r="Z920" s="18"/>
      <c r="AA920" s="18"/>
      <c r="AB920" s="18"/>
      <c r="AC920" s="18"/>
      <c r="AD920" s="18"/>
      <c r="AE920" s="19"/>
      <c r="AF920" s="20"/>
      <c r="AG920" s="21"/>
      <c r="AH920" s="21"/>
      <c r="AI920" s="19"/>
      <c r="AJ920" s="29"/>
      <c r="AK920" s="29"/>
      <c r="AL920" s="29"/>
    </row>
    <row r="921" spans="2:38" s="28" customFormat="1" x14ac:dyDescent="0.3">
      <c r="B921" s="24"/>
      <c r="C921" s="37"/>
      <c r="D921" s="37"/>
      <c r="E921" s="37"/>
      <c r="F921" s="35"/>
      <c r="G921" s="35"/>
      <c r="H921" s="35"/>
      <c r="I921" s="35"/>
      <c r="J921" s="35"/>
      <c r="K921" s="35"/>
      <c r="L921" s="35"/>
      <c r="M921" s="31"/>
      <c r="N921" s="32"/>
      <c r="O921" s="32"/>
      <c r="P921" s="32"/>
      <c r="Q921" s="32"/>
      <c r="R921" s="32"/>
      <c r="S921" s="32"/>
      <c r="T921" s="32"/>
      <c r="U921" s="29"/>
      <c r="V921" s="29"/>
      <c r="W921" s="24"/>
      <c r="X921" s="18"/>
      <c r="Y921" s="18"/>
      <c r="Z921" s="18"/>
      <c r="AA921" s="18"/>
      <c r="AB921" s="18"/>
      <c r="AC921" s="18"/>
      <c r="AD921" s="18"/>
      <c r="AE921" s="19"/>
      <c r="AF921" s="20"/>
      <c r="AG921" s="21"/>
      <c r="AH921" s="21"/>
      <c r="AI921" s="19"/>
      <c r="AJ921" s="29"/>
      <c r="AK921" s="29"/>
      <c r="AL921" s="29"/>
    </row>
    <row r="922" spans="2:38" s="28" customFormat="1" x14ac:dyDescent="0.3">
      <c r="B922" s="24"/>
      <c r="C922" s="37"/>
      <c r="D922" s="37"/>
      <c r="E922" s="37"/>
      <c r="F922" s="35"/>
      <c r="G922" s="35"/>
      <c r="H922" s="35"/>
      <c r="I922" s="35"/>
      <c r="J922" s="35"/>
      <c r="K922" s="35"/>
      <c r="L922" s="35"/>
      <c r="M922" s="31"/>
      <c r="N922" s="32"/>
      <c r="O922" s="32"/>
      <c r="P922" s="32"/>
      <c r="Q922" s="32"/>
      <c r="R922" s="32"/>
      <c r="S922" s="32"/>
      <c r="T922" s="32"/>
      <c r="U922" s="29"/>
      <c r="V922" s="29"/>
      <c r="W922" s="24"/>
      <c r="X922" s="18"/>
      <c r="Y922" s="18"/>
      <c r="Z922" s="18"/>
      <c r="AA922" s="18"/>
      <c r="AB922" s="18"/>
      <c r="AC922" s="18"/>
      <c r="AD922" s="18"/>
      <c r="AE922" s="19"/>
      <c r="AF922" s="20"/>
      <c r="AG922" s="21"/>
      <c r="AH922" s="21"/>
      <c r="AI922" s="19"/>
      <c r="AJ922" s="29"/>
      <c r="AK922" s="29"/>
      <c r="AL922" s="29"/>
    </row>
    <row r="923" spans="2:38" s="28" customFormat="1" x14ac:dyDescent="0.3">
      <c r="B923" s="24"/>
      <c r="C923" s="37"/>
      <c r="D923" s="37"/>
      <c r="E923" s="37"/>
      <c r="F923" s="35"/>
      <c r="G923" s="35"/>
      <c r="H923" s="35"/>
      <c r="I923" s="35"/>
      <c r="J923" s="35"/>
      <c r="K923" s="35"/>
      <c r="L923" s="35"/>
      <c r="M923" s="31"/>
      <c r="N923" s="32"/>
      <c r="O923" s="32"/>
      <c r="P923" s="32"/>
      <c r="Q923" s="32"/>
      <c r="R923" s="32"/>
      <c r="S923" s="32"/>
      <c r="T923" s="32"/>
      <c r="U923" s="29"/>
      <c r="V923" s="29"/>
      <c r="W923" s="24"/>
      <c r="X923" s="18"/>
      <c r="Y923" s="18"/>
      <c r="Z923" s="18"/>
      <c r="AA923" s="18"/>
      <c r="AB923" s="18"/>
      <c r="AC923" s="18"/>
      <c r="AD923" s="18"/>
      <c r="AE923" s="19"/>
      <c r="AF923" s="20"/>
      <c r="AG923" s="21"/>
      <c r="AH923" s="21"/>
      <c r="AI923" s="19"/>
      <c r="AJ923" s="29"/>
      <c r="AK923" s="29"/>
      <c r="AL923" s="29"/>
    </row>
    <row r="924" spans="2:38" s="28" customFormat="1" x14ac:dyDescent="0.3">
      <c r="B924" s="24"/>
      <c r="C924" s="37"/>
      <c r="D924" s="37"/>
      <c r="E924" s="37"/>
      <c r="F924" s="35"/>
      <c r="G924" s="35"/>
      <c r="H924" s="35"/>
      <c r="I924" s="35"/>
      <c r="J924" s="35"/>
      <c r="K924" s="35"/>
      <c r="L924" s="35"/>
      <c r="M924" s="31"/>
      <c r="N924" s="32"/>
      <c r="O924" s="32"/>
      <c r="P924" s="32"/>
      <c r="Q924" s="32"/>
      <c r="R924" s="32"/>
      <c r="S924" s="32"/>
      <c r="T924" s="32"/>
      <c r="U924" s="29"/>
      <c r="V924" s="29"/>
      <c r="W924" s="24"/>
      <c r="X924" s="18"/>
      <c r="Y924" s="18"/>
      <c r="Z924" s="18"/>
      <c r="AA924" s="18"/>
      <c r="AB924" s="18"/>
      <c r="AC924" s="18"/>
      <c r="AD924" s="18"/>
      <c r="AE924" s="19"/>
      <c r="AF924" s="20"/>
      <c r="AG924" s="21"/>
      <c r="AH924" s="21"/>
      <c r="AI924" s="19"/>
      <c r="AJ924" s="29"/>
      <c r="AK924" s="29"/>
      <c r="AL924" s="29"/>
    </row>
    <row r="925" spans="2:38" s="28" customFormat="1" x14ac:dyDescent="0.3">
      <c r="B925" s="24"/>
      <c r="C925" s="37"/>
      <c r="D925" s="37"/>
      <c r="E925" s="37"/>
      <c r="F925" s="35"/>
      <c r="G925" s="35"/>
      <c r="H925" s="35"/>
      <c r="I925" s="35"/>
      <c r="J925" s="35"/>
      <c r="K925" s="35"/>
      <c r="L925" s="35"/>
      <c r="M925" s="31"/>
      <c r="N925" s="32"/>
      <c r="O925" s="32"/>
      <c r="P925" s="32"/>
      <c r="Q925" s="32"/>
      <c r="R925" s="32"/>
      <c r="S925" s="32"/>
      <c r="T925" s="32"/>
      <c r="U925" s="29"/>
      <c r="V925" s="29"/>
      <c r="W925" s="24"/>
      <c r="X925" s="18"/>
      <c r="Y925" s="18"/>
      <c r="Z925" s="18"/>
      <c r="AA925" s="18"/>
      <c r="AB925" s="18"/>
      <c r="AC925" s="18"/>
      <c r="AD925" s="18"/>
      <c r="AE925" s="19"/>
      <c r="AF925" s="20"/>
      <c r="AG925" s="21"/>
      <c r="AH925" s="21"/>
      <c r="AI925" s="19"/>
      <c r="AJ925" s="29"/>
      <c r="AK925" s="29"/>
      <c r="AL925" s="29"/>
    </row>
    <row r="926" spans="2:38" s="28" customFormat="1" x14ac:dyDescent="0.3">
      <c r="B926" s="24"/>
      <c r="C926" s="37"/>
      <c r="D926" s="37"/>
      <c r="E926" s="37"/>
      <c r="F926" s="35"/>
      <c r="G926" s="35"/>
      <c r="H926" s="35"/>
      <c r="I926" s="35"/>
      <c r="J926" s="35"/>
      <c r="K926" s="35"/>
      <c r="L926" s="35"/>
      <c r="M926" s="31"/>
      <c r="N926" s="32"/>
      <c r="O926" s="32"/>
      <c r="P926" s="32"/>
      <c r="Q926" s="32"/>
      <c r="R926" s="32"/>
      <c r="S926" s="32"/>
      <c r="T926" s="32"/>
      <c r="U926" s="29"/>
      <c r="V926" s="29"/>
      <c r="W926" s="24"/>
      <c r="X926" s="18"/>
      <c r="Y926" s="18"/>
      <c r="Z926" s="18"/>
      <c r="AA926" s="18"/>
      <c r="AB926" s="18"/>
      <c r="AC926" s="18"/>
      <c r="AD926" s="18"/>
      <c r="AE926" s="19"/>
      <c r="AF926" s="20"/>
      <c r="AG926" s="21"/>
      <c r="AH926" s="21"/>
      <c r="AI926" s="19"/>
      <c r="AJ926" s="29"/>
      <c r="AK926" s="29"/>
      <c r="AL926" s="29"/>
    </row>
    <row r="927" spans="2:38" s="28" customFormat="1" x14ac:dyDescent="0.3">
      <c r="B927" s="24"/>
      <c r="C927" s="37"/>
      <c r="D927" s="37"/>
      <c r="E927" s="37"/>
      <c r="F927" s="35"/>
      <c r="G927" s="35"/>
      <c r="H927" s="35"/>
      <c r="I927" s="35"/>
      <c r="J927" s="35"/>
      <c r="K927" s="35"/>
      <c r="L927" s="35"/>
      <c r="M927" s="31"/>
      <c r="N927" s="32"/>
      <c r="O927" s="32"/>
      <c r="P927" s="32"/>
      <c r="Q927" s="32"/>
      <c r="R927" s="32"/>
      <c r="S927" s="32"/>
      <c r="T927" s="32"/>
      <c r="U927" s="29"/>
      <c r="V927" s="29"/>
      <c r="W927" s="24"/>
      <c r="X927" s="18"/>
      <c r="Y927" s="18"/>
      <c r="Z927" s="18"/>
      <c r="AA927" s="18"/>
      <c r="AB927" s="18"/>
      <c r="AC927" s="18"/>
      <c r="AD927" s="18"/>
      <c r="AE927" s="19"/>
      <c r="AF927" s="20"/>
      <c r="AG927" s="21"/>
      <c r="AH927" s="21"/>
      <c r="AI927" s="19"/>
      <c r="AJ927" s="29"/>
      <c r="AK927" s="29"/>
      <c r="AL927" s="29"/>
    </row>
    <row r="928" spans="2:38" s="28" customFormat="1" x14ac:dyDescent="0.3">
      <c r="B928" s="24"/>
      <c r="C928" s="37"/>
      <c r="D928" s="37"/>
      <c r="E928" s="37"/>
      <c r="F928" s="35"/>
      <c r="G928" s="35"/>
      <c r="H928" s="35"/>
      <c r="I928" s="35"/>
      <c r="J928" s="35"/>
      <c r="K928" s="35"/>
      <c r="L928" s="35"/>
      <c r="M928" s="31"/>
      <c r="N928" s="32"/>
      <c r="O928" s="32"/>
      <c r="P928" s="32"/>
      <c r="Q928" s="32"/>
      <c r="R928" s="32"/>
      <c r="S928" s="32"/>
      <c r="T928" s="32"/>
      <c r="U928" s="29"/>
      <c r="V928" s="29"/>
      <c r="W928" s="24"/>
      <c r="X928" s="18"/>
      <c r="Y928" s="18"/>
      <c r="Z928" s="18"/>
      <c r="AA928" s="18"/>
      <c r="AB928" s="18"/>
      <c r="AC928" s="18"/>
      <c r="AD928" s="18"/>
      <c r="AE928" s="19"/>
      <c r="AF928" s="20"/>
      <c r="AG928" s="21"/>
      <c r="AH928" s="21"/>
      <c r="AI928" s="19"/>
      <c r="AJ928" s="29"/>
      <c r="AK928" s="29"/>
      <c r="AL928" s="29"/>
    </row>
    <row r="929" spans="2:38" s="28" customFormat="1" x14ac:dyDescent="0.3">
      <c r="B929" s="24"/>
      <c r="C929" s="37"/>
      <c r="D929" s="37"/>
      <c r="E929" s="37"/>
      <c r="F929" s="35"/>
      <c r="G929" s="35"/>
      <c r="H929" s="35"/>
      <c r="I929" s="35"/>
      <c r="J929" s="35"/>
      <c r="K929" s="35"/>
      <c r="L929" s="35"/>
      <c r="M929" s="31"/>
      <c r="N929" s="32"/>
      <c r="O929" s="32"/>
      <c r="P929" s="32"/>
      <c r="Q929" s="32"/>
      <c r="R929" s="32"/>
      <c r="S929" s="32"/>
      <c r="T929" s="32"/>
      <c r="U929" s="29"/>
      <c r="V929" s="29"/>
      <c r="W929" s="24"/>
      <c r="X929" s="18"/>
      <c r="Y929" s="18"/>
      <c r="Z929" s="18"/>
      <c r="AA929" s="18"/>
      <c r="AB929" s="18"/>
      <c r="AC929" s="18"/>
      <c r="AD929" s="18"/>
      <c r="AE929" s="19"/>
      <c r="AF929" s="20"/>
      <c r="AG929" s="21"/>
      <c r="AH929" s="21"/>
      <c r="AI929" s="19"/>
      <c r="AJ929" s="29"/>
      <c r="AK929" s="29"/>
      <c r="AL929" s="29"/>
    </row>
    <row r="930" spans="2:38" s="28" customFormat="1" x14ac:dyDescent="0.3">
      <c r="B930" s="24"/>
      <c r="C930" s="37"/>
      <c r="D930" s="37"/>
      <c r="E930" s="37"/>
      <c r="F930" s="35"/>
      <c r="G930" s="35"/>
      <c r="H930" s="35"/>
      <c r="I930" s="35"/>
      <c r="J930" s="35"/>
      <c r="K930" s="35"/>
      <c r="L930" s="35"/>
      <c r="M930" s="31"/>
      <c r="N930" s="32"/>
      <c r="O930" s="32"/>
      <c r="P930" s="32"/>
      <c r="Q930" s="32"/>
      <c r="R930" s="32"/>
      <c r="S930" s="32"/>
      <c r="T930" s="32"/>
      <c r="U930" s="29"/>
      <c r="V930" s="29"/>
      <c r="W930" s="24"/>
      <c r="X930" s="18"/>
      <c r="Y930" s="18"/>
      <c r="Z930" s="18"/>
      <c r="AA930" s="18"/>
      <c r="AB930" s="18"/>
      <c r="AC930" s="18"/>
      <c r="AD930" s="18"/>
      <c r="AE930" s="19"/>
      <c r="AF930" s="20"/>
      <c r="AG930" s="21"/>
      <c r="AH930" s="21"/>
      <c r="AI930" s="19"/>
      <c r="AJ930" s="29"/>
      <c r="AK930" s="29"/>
      <c r="AL930" s="29"/>
    </row>
    <row r="931" spans="2:38" s="28" customFormat="1" x14ac:dyDescent="0.3">
      <c r="B931" s="24"/>
      <c r="C931" s="37"/>
      <c r="D931" s="37"/>
      <c r="E931" s="37"/>
      <c r="F931" s="35"/>
      <c r="G931" s="35"/>
      <c r="H931" s="35"/>
      <c r="I931" s="35"/>
      <c r="J931" s="35"/>
      <c r="K931" s="35"/>
      <c r="L931" s="35"/>
      <c r="M931" s="31"/>
      <c r="N931" s="32"/>
      <c r="O931" s="32"/>
      <c r="P931" s="32"/>
      <c r="Q931" s="32"/>
      <c r="R931" s="32"/>
      <c r="S931" s="32"/>
      <c r="T931" s="32"/>
      <c r="U931" s="29"/>
      <c r="V931" s="29"/>
      <c r="W931" s="24"/>
      <c r="X931" s="18"/>
      <c r="Y931" s="18"/>
      <c r="Z931" s="18"/>
      <c r="AA931" s="18"/>
      <c r="AB931" s="18"/>
      <c r="AC931" s="18"/>
      <c r="AD931" s="18"/>
      <c r="AE931" s="19"/>
      <c r="AF931" s="20"/>
      <c r="AG931" s="21"/>
      <c r="AH931" s="21"/>
      <c r="AI931" s="19"/>
      <c r="AJ931" s="29"/>
      <c r="AK931" s="29"/>
      <c r="AL931" s="29"/>
    </row>
    <row r="932" spans="2:38" s="28" customFormat="1" x14ac:dyDescent="0.3">
      <c r="B932" s="24"/>
      <c r="C932" s="37"/>
      <c r="D932" s="37"/>
      <c r="E932" s="37"/>
      <c r="F932" s="35"/>
      <c r="G932" s="35"/>
      <c r="H932" s="35"/>
      <c r="I932" s="35"/>
      <c r="J932" s="35"/>
      <c r="K932" s="35"/>
      <c r="L932" s="35"/>
      <c r="M932" s="31"/>
      <c r="N932" s="32"/>
      <c r="O932" s="32"/>
      <c r="P932" s="32"/>
      <c r="Q932" s="32"/>
      <c r="R932" s="32"/>
      <c r="S932" s="32"/>
      <c r="T932" s="32"/>
      <c r="U932" s="29"/>
      <c r="V932" s="29"/>
      <c r="W932" s="24"/>
      <c r="X932" s="18"/>
      <c r="Y932" s="18"/>
      <c r="Z932" s="18"/>
      <c r="AA932" s="18"/>
      <c r="AB932" s="18"/>
      <c r="AC932" s="18"/>
      <c r="AD932" s="18"/>
      <c r="AE932" s="19"/>
      <c r="AF932" s="20"/>
      <c r="AG932" s="21"/>
      <c r="AH932" s="21"/>
      <c r="AI932" s="19"/>
      <c r="AJ932" s="29"/>
      <c r="AK932" s="29"/>
      <c r="AL932" s="29"/>
    </row>
    <row r="933" spans="2:38" s="28" customFormat="1" x14ac:dyDescent="0.3">
      <c r="B933" s="24"/>
      <c r="C933" s="37"/>
      <c r="D933" s="37"/>
      <c r="E933" s="37"/>
      <c r="F933" s="35"/>
      <c r="G933" s="35"/>
      <c r="H933" s="35"/>
      <c r="I933" s="35"/>
      <c r="J933" s="35"/>
      <c r="K933" s="35"/>
      <c r="L933" s="35"/>
      <c r="M933" s="31"/>
      <c r="N933" s="32"/>
      <c r="O933" s="32"/>
      <c r="P933" s="32"/>
      <c r="Q933" s="32"/>
      <c r="R933" s="32"/>
      <c r="S933" s="32"/>
      <c r="T933" s="32"/>
      <c r="U933" s="29"/>
      <c r="V933" s="29"/>
      <c r="W933" s="24"/>
      <c r="X933" s="18"/>
      <c r="Y933" s="18"/>
      <c r="Z933" s="18"/>
      <c r="AA933" s="18"/>
      <c r="AB933" s="18"/>
      <c r="AC933" s="18"/>
      <c r="AD933" s="18"/>
      <c r="AE933" s="19"/>
      <c r="AF933" s="20"/>
      <c r="AG933" s="21"/>
      <c r="AH933" s="21"/>
      <c r="AI933" s="19"/>
      <c r="AJ933" s="29"/>
      <c r="AK933" s="29"/>
      <c r="AL933" s="29"/>
    </row>
    <row r="934" spans="2:38" s="28" customFormat="1" x14ac:dyDescent="0.3">
      <c r="B934" s="24"/>
      <c r="C934" s="37"/>
      <c r="D934" s="37"/>
      <c r="E934" s="37"/>
      <c r="F934" s="35"/>
      <c r="G934" s="35"/>
      <c r="H934" s="35"/>
      <c r="I934" s="35"/>
      <c r="J934" s="35"/>
      <c r="K934" s="35"/>
      <c r="L934" s="35"/>
      <c r="M934" s="31"/>
      <c r="N934" s="32"/>
      <c r="O934" s="32"/>
      <c r="P934" s="32"/>
      <c r="Q934" s="32"/>
      <c r="R934" s="32"/>
      <c r="S934" s="32"/>
      <c r="T934" s="32"/>
      <c r="U934" s="29"/>
      <c r="V934" s="29"/>
      <c r="W934" s="24"/>
      <c r="X934" s="18"/>
      <c r="Y934" s="18"/>
      <c r="Z934" s="18"/>
      <c r="AA934" s="18"/>
      <c r="AB934" s="18"/>
      <c r="AC934" s="18"/>
      <c r="AD934" s="18"/>
      <c r="AE934" s="19"/>
      <c r="AF934" s="20"/>
      <c r="AG934" s="21"/>
      <c r="AH934" s="21"/>
      <c r="AI934" s="19"/>
      <c r="AJ934" s="29"/>
      <c r="AK934" s="29"/>
      <c r="AL934" s="29"/>
    </row>
    <row r="935" spans="2:38" s="28" customFormat="1" x14ac:dyDescent="0.3">
      <c r="B935" s="24"/>
      <c r="C935" s="37"/>
      <c r="D935" s="37"/>
      <c r="E935" s="37"/>
      <c r="F935" s="35"/>
      <c r="G935" s="35"/>
      <c r="H935" s="35"/>
      <c r="I935" s="35"/>
      <c r="J935" s="35"/>
      <c r="K935" s="35"/>
      <c r="L935" s="35"/>
      <c r="M935" s="31"/>
      <c r="N935" s="32"/>
      <c r="O935" s="32"/>
      <c r="P935" s="32"/>
      <c r="Q935" s="32"/>
      <c r="R935" s="32"/>
      <c r="S935" s="32"/>
      <c r="T935" s="32"/>
      <c r="U935" s="29"/>
      <c r="V935" s="29"/>
      <c r="W935" s="24"/>
      <c r="X935" s="18"/>
      <c r="Y935" s="18"/>
      <c r="Z935" s="18"/>
      <c r="AA935" s="18"/>
      <c r="AB935" s="18"/>
      <c r="AC935" s="18"/>
      <c r="AD935" s="18"/>
      <c r="AE935" s="19"/>
      <c r="AF935" s="20"/>
      <c r="AG935" s="21"/>
      <c r="AH935" s="21"/>
      <c r="AI935" s="19"/>
      <c r="AJ935" s="29"/>
      <c r="AK935" s="29"/>
      <c r="AL935" s="29"/>
    </row>
    <row r="936" spans="2:38" s="28" customFormat="1" x14ac:dyDescent="0.3">
      <c r="B936" s="24"/>
      <c r="C936" s="37"/>
      <c r="D936" s="37"/>
      <c r="E936" s="37"/>
      <c r="F936" s="35"/>
      <c r="G936" s="35"/>
      <c r="H936" s="35"/>
      <c r="I936" s="35"/>
      <c r="J936" s="35"/>
      <c r="K936" s="35"/>
      <c r="L936" s="35"/>
      <c r="M936" s="31"/>
      <c r="N936" s="32"/>
      <c r="O936" s="32"/>
      <c r="P936" s="32"/>
      <c r="Q936" s="32"/>
      <c r="R936" s="32"/>
      <c r="S936" s="32"/>
      <c r="T936" s="32"/>
      <c r="U936" s="29"/>
      <c r="V936" s="29"/>
      <c r="W936" s="24"/>
      <c r="X936" s="18"/>
      <c r="Y936" s="18"/>
      <c r="Z936" s="18"/>
      <c r="AA936" s="18"/>
      <c r="AB936" s="18"/>
      <c r="AC936" s="18"/>
      <c r="AD936" s="18"/>
      <c r="AE936" s="19"/>
      <c r="AF936" s="20"/>
      <c r="AG936" s="21"/>
      <c r="AH936" s="21"/>
      <c r="AI936" s="19"/>
      <c r="AJ936" s="29"/>
      <c r="AK936" s="29"/>
      <c r="AL936" s="29"/>
    </row>
    <row r="937" spans="2:38" s="28" customFormat="1" x14ac:dyDescent="0.3">
      <c r="B937" s="24"/>
      <c r="C937" s="37"/>
      <c r="D937" s="37"/>
      <c r="E937" s="37"/>
      <c r="F937" s="35"/>
      <c r="G937" s="35"/>
      <c r="H937" s="35"/>
      <c r="I937" s="35"/>
      <c r="J937" s="35"/>
      <c r="K937" s="35"/>
      <c r="L937" s="35"/>
      <c r="M937" s="31"/>
      <c r="N937" s="32"/>
      <c r="O937" s="32"/>
      <c r="P937" s="32"/>
      <c r="Q937" s="32"/>
      <c r="R937" s="32"/>
      <c r="S937" s="32"/>
      <c r="T937" s="32"/>
      <c r="U937" s="29"/>
      <c r="V937" s="29"/>
      <c r="W937" s="24"/>
      <c r="X937" s="18"/>
      <c r="Y937" s="18"/>
      <c r="Z937" s="18"/>
      <c r="AA937" s="18"/>
      <c r="AB937" s="18"/>
      <c r="AC937" s="18"/>
      <c r="AD937" s="18"/>
      <c r="AE937" s="19"/>
      <c r="AF937" s="20"/>
      <c r="AG937" s="21"/>
      <c r="AH937" s="21"/>
      <c r="AI937" s="19"/>
      <c r="AJ937" s="29"/>
      <c r="AK937" s="29"/>
      <c r="AL937" s="29"/>
    </row>
    <row r="938" spans="2:38" s="28" customFormat="1" x14ac:dyDescent="0.3">
      <c r="B938" s="24"/>
      <c r="C938" s="37"/>
      <c r="D938" s="37"/>
      <c r="E938" s="37"/>
      <c r="F938" s="35"/>
      <c r="G938" s="35"/>
      <c r="H938" s="35"/>
      <c r="I938" s="35"/>
      <c r="J938" s="35"/>
      <c r="K938" s="35"/>
      <c r="L938" s="35"/>
      <c r="M938" s="31"/>
      <c r="N938" s="32"/>
      <c r="O938" s="32"/>
      <c r="P938" s="32"/>
      <c r="Q938" s="32"/>
      <c r="R938" s="32"/>
      <c r="S938" s="32"/>
      <c r="T938" s="32"/>
      <c r="U938" s="29"/>
      <c r="V938" s="29"/>
      <c r="W938" s="24"/>
      <c r="X938" s="18"/>
      <c r="Y938" s="18"/>
      <c r="Z938" s="18"/>
      <c r="AA938" s="18"/>
      <c r="AB938" s="18"/>
      <c r="AC938" s="18"/>
      <c r="AD938" s="18"/>
      <c r="AE938" s="19"/>
      <c r="AF938" s="20"/>
      <c r="AG938" s="21"/>
      <c r="AH938" s="21"/>
      <c r="AI938" s="19"/>
      <c r="AJ938" s="29"/>
      <c r="AK938" s="29"/>
      <c r="AL938" s="29"/>
    </row>
    <row r="939" spans="2:38" s="28" customFormat="1" x14ac:dyDescent="0.3">
      <c r="B939" s="24"/>
      <c r="C939" s="37"/>
      <c r="D939" s="37"/>
      <c r="E939" s="37"/>
      <c r="F939" s="35"/>
      <c r="G939" s="35"/>
      <c r="H939" s="35"/>
      <c r="I939" s="35"/>
      <c r="J939" s="35"/>
      <c r="K939" s="35"/>
      <c r="L939" s="35"/>
      <c r="M939" s="31"/>
      <c r="N939" s="32"/>
      <c r="O939" s="32"/>
      <c r="P939" s="32"/>
      <c r="Q939" s="32"/>
      <c r="R939" s="32"/>
      <c r="S939" s="32"/>
      <c r="T939" s="32"/>
      <c r="U939" s="29"/>
      <c r="V939" s="29"/>
      <c r="W939" s="24"/>
      <c r="X939" s="18"/>
      <c r="Y939" s="18"/>
      <c r="Z939" s="18"/>
      <c r="AA939" s="18"/>
      <c r="AB939" s="18"/>
      <c r="AC939" s="18"/>
      <c r="AD939" s="18"/>
      <c r="AE939" s="19"/>
      <c r="AF939" s="20"/>
      <c r="AG939" s="21"/>
      <c r="AH939" s="21"/>
      <c r="AI939" s="19"/>
      <c r="AJ939" s="29"/>
      <c r="AK939" s="29"/>
      <c r="AL939" s="29"/>
    </row>
    <row r="940" spans="2:38" s="28" customFormat="1" x14ac:dyDescent="0.3">
      <c r="B940" s="24"/>
      <c r="C940" s="37"/>
      <c r="D940" s="37"/>
      <c r="E940" s="37"/>
      <c r="F940" s="35"/>
      <c r="G940" s="35"/>
      <c r="H940" s="35"/>
      <c r="I940" s="35"/>
      <c r="J940" s="35"/>
      <c r="K940" s="35"/>
      <c r="L940" s="35"/>
      <c r="M940" s="31"/>
      <c r="N940" s="32"/>
      <c r="O940" s="32"/>
      <c r="P940" s="32"/>
      <c r="Q940" s="32"/>
      <c r="R940" s="32"/>
      <c r="S940" s="32"/>
      <c r="T940" s="32"/>
      <c r="U940" s="29"/>
      <c r="V940" s="29"/>
      <c r="W940" s="24"/>
      <c r="X940" s="18"/>
      <c r="Y940" s="18"/>
      <c r="Z940" s="18"/>
      <c r="AA940" s="18"/>
      <c r="AB940" s="18"/>
      <c r="AC940" s="18"/>
      <c r="AD940" s="18"/>
      <c r="AE940" s="19"/>
      <c r="AF940" s="20"/>
      <c r="AG940" s="21"/>
      <c r="AH940" s="21"/>
      <c r="AI940" s="19"/>
      <c r="AJ940" s="29"/>
      <c r="AK940" s="29"/>
      <c r="AL940" s="29"/>
    </row>
    <row r="941" spans="2:38" s="28" customFormat="1" x14ac:dyDescent="0.3">
      <c r="B941" s="24"/>
      <c r="C941" s="37"/>
      <c r="D941" s="37"/>
      <c r="E941" s="37"/>
      <c r="F941" s="35"/>
      <c r="G941" s="35"/>
      <c r="H941" s="35"/>
      <c r="I941" s="35"/>
      <c r="J941" s="35"/>
      <c r="K941" s="35"/>
      <c r="L941" s="35"/>
      <c r="M941" s="31"/>
      <c r="N941" s="32"/>
      <c r="O941" s="32"/>
      <c r="P941" s="32"/>
      <c r="Q941" s="32"/>
      <c r="R941" s="32"/>
      <c r="S941" s="32"/>
      <c r="T941" s="32"/>
      <c r="U941" s="29"/>
      <c r="V941" s="29"/>
      <c r="W941" s="24"/>
      <c r="X941" s="18"/>
      <c r="Y941" s="18"/>
      <c r="Z941" s="18"/>
      <c r="AA941" s="18"/>
      <c r="AB941" s="18"/>
      <c r="AC941" s="18"/>
      <c r="AD941" s="18"/>
      <c r="AE941" s="19"/>
      <c r="AF941" s="20"/>
      <c r="AG941" s="21"/>
      <c r="AH941" s="21"/>
      <c r="AI941" s="19"/>
      <c r="AJ941" s="29"/>
      <c r="AK941" s="29"/>
      <c r="AL941" s="29"/>
    </row>
    <row r="942" spans="2:38" s="28" customFormat="1" x14ac:dyDescent="0.3">
      <c r="B942" s="24"/>
      <c r="C942" s="37"/>
      <c r="D942" s="37"/>
      <c r="E942" s="37"/>
      <c r="F942" s="35"/>
      <c r="G942" s="35"/>
      <c r="H942" s="35"/>
      <c r="I942" s="35"/>
      <c r="J942" s="35"/>
      <c r="K942" s="35"/>
      <c r="L942" s="35"/>
      <c r="M942" s="31"/>
      <c r="N942" s="32"/>
      <c r="O942" s="32"/>
      <c r="P942" s="32"/>
      <c r="Q942" s="32"/>
      <c r="R942" s="32"/>
      <c r="S942" s="32"/>
      <c r="T942" s="32"/>
      <c r="U942" s="29"/>
      <c r="V942" s="29"/>
      <c r="W942" s="24"/>
      <c r="X942" s="18"/>
      <c r="Y942" s="18"/>
      <c r="Z942" s="18"/>
      <c r="AA942" s="18"/>
      <c r="AB942" s="18"/>
      <c r="AC942" s="18"/>
      <c r="AD942" s="18"/>
      <c r="AE942" s="19"/>
      <c r="AF942" s="20"/>
      <c r="AG942" s="21"/>
      <c r="AH942" s="21"/>
      <c r="AI942" s="19"/>
      <c r="AJ942" s="29"/>
      <c r="AK942" s="29"/>
      <c r="AL942" s="29"/>
    </row>
    <row r="943" spans="2:38" s="28" customFormat="1" x14ac:dyDescent="0.3">
      <c r="B943" s="24"/>
      <c r="C943" s="37"/>
      <c r="D943" s="37"/>
      <c r="E943" s="37"/>
      <c r="F943" s="35"/>
      <c r="G943" s="35"/>
      <c r="H943" s="35"/>
      <c r="I943" s="35"/>
      <c r="J943" s="35"/>
      <c r="K943" s="35"/>
      <c r="L943" s="35"/>
      <c r="M943" s="31"/>
      <c r="N943" s="32"/>
      <c r="O943" s="32"/>
      <c r="P943" s="32"/>
      <c r="Q943" s="32"/>
      <c r="R943" s="32"/>
      <c r="S943" s="32"/>
      <c r="T943" s="32"/>
      <c r="U943" s="29"/>
      <c r="V943" s="29"/>
      <c r="W943" s="24"/>
      <c r="X943" s="18"/>
      <c r="Y943" s="18"/>
      <c r="Z943" s="18"/>
      <c r="AA943" s="18"/>
      <c r="AB943" s="18"/>
      <c r="AC943" s="18"/>
      <c r="AD943" s="18"/>
      <c r="AE943" s="19"/>
      <c r="AF943" s="20"/>
      <c r="AG943" s="21"/>
      <c r="AH943" s="21"/>
      <c r="AI943" s="19"/>
      <c r="AJ943" s="29"/>
      <c r="AK943" s="29"/>
      <c r="AL943" s="29"/>
    </row>
    <row r="944" spans="2:38" s="28" customFormat="1" x14ac:dyDescent="0.3">
      <c r="B944" s="24"/>
      <c r="C944" s="37"/>
      <c r="D944" s="37"/>
      <c r="E944" s="37"/>
      <c r="F944" s="35"/>
      <c r="G944" s="35"/>
      <c r="H944" s="35"/>
      <c r="I944" s="35"/>
      <c r="J944" s="35"/>
      <c r="K944" s="35"/>
      <c r="L944" s="35"/>
      <c r="M944" s="31"/>
      <c r="N944" s="32"/>
      <c r="O944" s="32"/>
      <c r="P944" s="32"/>
      <c r="Q944" s="32"/>
      <c r="R944" s="32"/>
      <c r="S944" s="32"/>
      <c r="T944" s="32"/>
      <c r="U944" s="29"/>
      <c r="V944" s="29"/>
      <c r="W944" s="24"/>
      <c r="X944" s="18"/>
      <c r="Y944" s="18"/>
      <c r="Z944" s="18"/>
      <c r="AA944" s="18"/>
      <c r="AB944" s="18"/>
      <c r="AC944" s="18"/>
      <c r="AD944" s="18"/>
      <c r="AE944" s="19"/>
      <c r="AF944" s="20"/>
      <c r="AG944" s="21"/>
      <c r="AH944" s="21"/>
      <c r="AI944" s="19"/>
      <c r="AJ944" s="29"/>
      <c r="AK944" s="29"/>
      <c r="AL944" s="29"/>
    </row>
    <row r="945" spans="2:38" s="28" customFormat="1" x14ac:dyDescent="0.3">
      <c r="B945" s="24"/>
      <c r="C945" s="37"/>
      <c r="D945" s="37"/>
      <c r="E945" s="37"/>
      <c r="F945" s="35"/>
      <c r="G945" s="35"/>
      <c r="H945" s="35"/>
      <c r="I945" s="35"/>
      <c r="J945" s="35"/>
      <c r="K945" s="35"/>
      <c r="L945" s="35"/>
      <c r="M945" s="31"/>
      <c r="N945" s="32"/>
      <c r="O945" s="32"/>
      <c r="P945" s="32"/>
      <c r="Q945" s="32"/>
      <c r="R945" s="32"/>
      <c r="S945" s="32"/>
      <c r="T945" s="32"/>
      <c r="U945" s="29"/>
      <c r="V945" s="29"/>
      <c r="W945" s="24"/>
      <c r="X945" s="18"/>
      <c r="Y945" s="18"/>
      <c r="Z945" s="18"/>
      <c r="AA945" s="18"/>
      <c r="AB945" s="18"/>
      <c r="AC945" s="18"/>
      <c r="AD945" s="18"/>
      <c r="AE945" s="19"/>
      <c r="AF945" s="20"/>
      <c r="AG945" s="21"/>
      <c r="AH945" s="21"/>
      <c r="AI945" s="19"/>
      <c r="AJ945" s="29"/>
      <c r="AK945" s="29"/>
      <c r="AL945" s="29"/>
    </row>
    <row r="946" spans="2:38" s="28" customFormat="1" x14ac:dyDescent="0.3">
      <c r="B946" s="24"/>
      <c r="C946" s="37"/>
      <c r="D946" s="37"/>
      <c r="E946" s="37"/>
      <c r="F946" s="35"/>
      <c r="G946" s="35"/>
      <c r="H946" s="35"/>
      <c r="I946" s="35"/>
      <c r="J946" s="35"/>
      <c r="K946" s="35"/>
      <c r="L946" s="35"/>
      <c r="M946" s="31"/>
      <c r="N946" s="32"/>
      <c r="O946" s="32"/>
      <c r="P946" s="32"/>
      <c r="Q946" s="32"/>
      <c r="R946" s="32"/>
      <c r="S946" s="32"/>
      <c r="T946" s="32"/>
      <c r="U946" s="29"/>
      <c r="V946" s="29"/>
      <c r="W946" s="24"/>
      <c r="X946" s="18"/>
      <c r="Y946" s="18"/>
      <c r="Z946" s="18"/>
      <c r="AA946" s="18"/>
      <c r="AB946" s="18"/>
      <c r="AC946" s="18"/>
      <c r="AD946" s="18"/>
      <c r="AE946" s="19"/>
      <c r="AF946" s="20"/>
      <c r="AG946" s="21"/>
      <c r="AH946" s="21"/>
      <c r="AI946" s="19"/>
      <c r="AJ946" s="29"/>
      <c r="AK946" s="29"/>
      <c r="AL946" s="29"/>
    </row>
    <row r="947" spans="2:38" s="28" customFormat="1" x14ac:dyDescent="0.3">
      <c r="B947" s="24"/>
      <c r="C947" s="37"/>
      <c r="D947" s="37"/>
      <c r="E947" s="37"/>
      <c r="F947" s="35"/>
      <c r="G947" s="35"/>
      <c r="H947" s="35"/>
      <c r="I947" s="35"/>
      <c r="J947" s="35"/>
      <c r="K947" s="35"/>
      <c r="L947" s="35"/>
      <c r="M947" s="31"/>
      <c r="N947" s="32"/>
      <c r="O947" s="32"/>
      <c r="P947" s="32"/>
      <c r="Q947" s="32"/>
      <c r="R947" s="32"/>
      <c r="S947" s="32"/>
      <c r="T947" s="32"/>
      <c r="U947" s="29"/>
      <c r="V947" s="29"/>
      <c r="W947" s="24"/>
      <c r="X947" s="18"/>
      <c r="Y947" s="18"/>
      <c r="Z947" s="18"/>
      <c r="AA947" s="18"/>
      <c r="AB947" s="18"/>
      <c r="AC947" s="18"/>
      <c r="AD947" s="18"/>
      <c r="AE947" s="19"/>
      <c r="AF947" s="20"/>
      <c r="AG947" s="21"/>
      <c r="AH947" s="21"/>
      <c r="AI947" s="19"/>
      <c r="AJ947" s="29"/>
      <c r="AK947" s="29"/>
      <c r="AL947" s="29"/>
    </row>
    <row r="948" spans="2:38" s="28" customFormat="1" x14ac:dyDescent="0.3">
      <c r="B948" s="24"/>
      <c r="C948" s="37"/>
      <c r="D948" s="37"/>
      <c r="E948" s="37"/>
      <c r="F948" s="35"/>
      <c r="G948" s="35"/>
      <c r="H948" s="35"/>
      <c r="I948" s="35"/>
      <c r="J948" s="35"/>
      <c r="K948" s="35"/>
      <c r="L948" s="35"/>
      <c r="M948" s="31"/>
      <c r="N948" s="32"/>
      <c r="O948" s="32"/>
      <c r="P948" s="32"/>
      <c r="Q948" s="32"/>
      <c r="R948" s="32"/>
      <c r="S948" s="32"/>
      <c r="T948" s="32"/>
      <c r="U948" s="29"/>
      <c r="V948" s="29"/>
      <c r="W948" s="24"/>
      <c r="X948" s="18"/>
      <c r="Y948" s="18"/>
      <c r="Z948" s="18"/>
      <c r="AA948" s="18"/>
      <c r="AB948" s="18"/>
      <c r="AC948" s="18"/>
      <c r="AD948" s="18"/>
      <c r="AE948" s="19"/>
      <c r="AF948" s="20"/>
      <c r="AG948" s="21"/>
      <c r="AH948" s="21"/>
      <c r="AI948" s="19"/>
      <c r="AJ948" s="29"/>
      <c r="AK948" s="29"/>
      <c r="AL948" s="29"/>
    </row>
    <row r="949" spans="2:38" s="28" customFormat="1" x14ac:dyDescent="0.3">
      <c r="B949" s="24"/>
      <c r="C949" s="37"/>
      <c r="D949" s="37"/>
      <c r="E949" s="37"/>
      <c r="F949" s="35"/>
      <c r="G949" s="35"/>
      <c r="H949" s="35"/>
      <c r="I949" s="35"/>
      <c r="J949" s="35"/>
      <c r="K949" s="35"/>
      <c r="L949" s="35"/>
      <c r="M949" s="31"/>
      <c r="N949" s="32"/>
      <c r="O949" s="32"/>
      <c r="P949" s="32"/>
      <c r="Q949" s="32"/>
      <c r="R949" s="32"/>
      <c r="S949" s="32"/>
      <c r="T949" s="32"/>
      <c r="U949" s="29"/>
      <c r="V949" s="29"/>
      <c r="W949" s="24"/>
      <c r="X949" s="18"/>
      <c r="Y949" s="18"/>
      <c r="Z949" s="18"/>
      <c r="AA949" s="18"/>
      <c r="AB949" s="18"/>
      <c r="AC949" s="18"/>
      <c r="AD949" s="18"/>
      <c r="AE949" s="19"/>
      <c r="AF949" s="20"/>
      <c r="AG949" s="21"/>
      <c r="AH949" s="21"/>
      <c r="AI949" s="19"/>
      <c r="AJ949" s="29"/>
      <c r="AK949" s="29"/>
      <c r="AL949" s="29"/>
    </row>
    <row r="950" spans="2:38" s="28" customFormat="1" x14ac:dyDescent="0.3">
      <c r="B950" s="24"/>
      <c r="C950" s="37"/>
      <c r="D950" s="37"/>
      <c r="E950" s="37"/>
      <c r="F950" s="35"/>
      <c r="G950" s="35"/>
      <c r="H950" s="35"/>
      <c r="I950" s="35"/>
      <c r="J950" s="35"/>
      <c r="K950" s="35"/>
      <c r="L950" s="35"/>
      <c r="M950" s="31"/>
      <c r="N950" s="32"/>
      <c r="O950" s="32"/>
      <c r="P950" s="32"/>
      <c r="Q950" s="32"/>
      <c r="R950" s="32"/>
      <c r="S950" s="32"/>
      <c r="T950" s="32"/>
      <c r="U950" s="29"/>
      <c r="V950" s="29"/>
      <c r="W950" s="24"/>
      <c r="X950" s="18"/>
      <c r="Y950" s="18"/>
      <c r="Z950" s="18"/>
      <c r="AA950" s="18"/>
      <c r="AB950" s="18"/>
      <c r="AC950" s="18"/>
      <c r="AD950" s="18"/>
      <c r="AE950" s="19"/>
      <c r="AF950" s="20"/>
      <c r="AG950" s="21"/>
      <c r="AH950" s="21"/>
      <c r="AI950" s="19"/>
      <c r="AJ950" s="29"/>
      <c r="AK950" s="29"/>
      <c r="AL950" s="29"/>
    </row>
    <row r="951" spans="2:38" s="28" customFormat="1" x14ac:dyDescent="0.3">
      <c r="B951" s="24"/>
      <c r="C951" s="37"/>
      <c r="D951" s="37"/>
      <c r="E951" s="37"/>
      <c r="F951" s="35"/>
      <c r="G951" s="35"/>
      <c r="H951" s="35"/>
      <c r="I951" s="35"/>
      <c r="J951" s="35"/>
      <c r="K951" s="35"/>
      <c r="L951" s="35"/>
      <c r="M951" s="31"/>
      <c r="N951" s="32"/>
      <c r="O951" s="32"/>
      <c r="P951" s="32"/>
      <c r="Q951" s="32"/>
      <c r="R951" s="32"/>
      <c r="S951" s="32"/>
      <c r="T951" s="32"/>
      <c r="U951" s="29"/>
      <c r="V951" s="29"/>
      <c r="W951" s="24"/>
      <c r="X951" s="18"/>
      <c r="Y951" s="18"/>
      <c r="Z951" s="18"/>
      <c r="AA951" s="18"/>
      <c r="AB951" s="18"/>
      <c r="AC951" s="18"/>
      <c r="AD951" s="18"/>
      <c r="AE951" s="19"/>
      <c r="AF951" s="20"/>
      <c r="AG951" s="21"/>
      <c r="AH951" s="21"/>
      <c r="AI951" s="19"/>
      <c r="AJ951" s="29"/>
      <c r="AK951" s="29"/>
      <c r="AL951" s="29"/>
    </row>
    <row r="952" spans="2:38" s="28" customFormat="1" x14ac:dyDescent="0.3">
      <c r="B952" s="24"/>
      <c r="C952" s="37"/>
      <c r="D952" s="37"/>
      <c r="E952" s="37"/>
      <c r="F952" s="35"/>
      <c r="G952" s="35"/>
      <c r="H952" s="35"/>
      <c r="I952" s="35"/>
      <c r="J952" s="35"/>
      <c r="K952" s="35"/>
      <c r="L952" s="35"/>
      <c r="M952" s="31"/>
      <c r="N952" s="32"/>
      <c r="O952" s="32"/>
      <c r="P952" s="32"/>
      <c r="Q952" s="32"/>
      <c r="R952" s="32"/>
      <c r="S952" s="32"/>
      <c r="T952" s="32"/>
      <c r="U952" s="29"/>
      <c r="V952" s="29"/>
      <c r="W952" s="24"/>
      <c r="X952" s="18"/>
      <c r="Y952" s="18"/>
      <c r="Z952" s="18"/>
      <c r="AA952" s="18"/>
      <c r="AB952" s="18"/>
      <c r="AC952" s="18"/>
      <c r="AD952" s="18"/>
      <c r="AE952" s="19"/>
      <c r="AF952" s="20"/>
      <c r="AG952" s="21"/>
      <c r="AH952" s="21"/>
      <c r="AI952" s="19"/>
      <c r="AJ952" s="29"/>
      <c r="AK952" s="29"/>
      <c r="AL952" s="29"/>
    </row>
    <row r="953" spans="2:38" s="28" customFormat="1" x14ac:dyDescent="0.3">
      <c r="B953" s="24"/>
      <c r="C953" s="37"/>
      <c r="D953" s="37"/>
      <c r="E953" s="37"/>
      <c r="F953" s="35"/>
      <c r="G953" s="35"/>
      <c r="H953" s="35"/>
      <c r="I953" s="35"/>
      <c r="J953" s="35"/>
      <c r="K953" s="35"/>
      <c r="L953" s="35"/>
      <c r="M953" s="31"/>
      <c r="N953" s="32"/>
      <c r="O953" s="32"/>
      <c r="P953" s="32"/>
      <c r="Q953" s="32"/>
      <c r="R953" s="32"/>
      <c r="S953" s="32"/>
      <c r="T953" s="32"/>
      <c r="U953" s="29"/>
      <c r="V953" s="29"/>
      <c r="W953" s="24"/>
      <c r="X953" s="18"/>
      <c r="Y953" s="18"/>
      <c r="Z953" s="18"/>
      <c r="AA953" s="18"/>
      <c r="AB953" s="18"/>
      <c r="AC953" s="18"/>
      <c r="AD953" s="18"/>
      <c r="AE953" s="19"/>
      <c r="AF953" s="20"/>
      <c r="AG953" s="21"/>
      <c r="AH953" s="21"/>
      <c r="AI953" s="19"/>
      <c r="AJ953" s="29"/>
      <c r="AK953" s="29"/>
      <c r="AL953" s="29"/>
    </row>
    <row r="954" spans="2:38" s="28" customFormat="1" x14ac:dyDescent="0.3">
      <c r="B954" s="24"/>
      <c r="C954" s="37"/>
      <c r="D954" s="37"/>
      <c r="E954" s="37"/>
      <c r="F954" s="35"/>
      <c r="G954" s="35"/>
      <c r="H954" s="35"/>
      <c r="I954" s="35"/>
      <c r="J954" s="35"/>
      <c r="K954" s="35"/>
      <c r="L954" s="35"/>
      <c r="M954" s="31"/>
      <c r="N954" s="32"/>
      <c r="O954" s="32"/>
      <c r="P954" s="32"/>
      <c r="Q954" s="32"/>
      <c r="R954" s="32"/>
      <c r="S954" s="32"/>
      <c r="T954" s="32"/>
      <c r="U954" s="29"/>
      <c r="V954" s="29"/>
      <c r="W954" s="24"/>
      <c r="X954" s="18"/>
      <c r="Y954" s="18"/>
      <c r="Z954" s="18"/>
      <c r="AA954" s="18"/>
      <c r="AB954" s="18"/>
      <c r="AC954" s="18"/>
      <c r="AD954" s="18"/>
      <c r="AE954" s="19"/>
      <c r="AF954" s="20"/>
      <c r="AG954" s="21"/>
      <c r="AH954" s="21"/>
      <c r="AI954" s="19"/>
      <c r="AJ954" s="29"/>
      <c r="AK954" s="29"/>
      <c r="AL954" s="29"/>
    </row>
    <row r="955" spans="2:38" s="28" customFormat="1" x14ac:dyDescent="0.3">
      <c r="B955" s="24"/>
      <c r="C955" s="37"/>
      <c r="D955" s="37"/>
      <c r="E955" s="37"/>
      <c r="F955" s="35"/>
      <c r="G955" s="35"/>
      <c r="H955" s="35"/>
      <c r="I955" s="35"/>
      <c r="J955" s="35"/>
      <c r="K955" s="35"/>
      <c r="L955" s="35"/>
      <c r="M955" s="31"/>
      <c r="N955" s="32"/>
      <c r="O955" s="32"/>
      <c r="P955" s="32"/>
      <c r="Q955" s="32"/>
      <c r="R955" s="32"/>
      <c r="S955" s="32"/>
      <c r="T955" s="32"/>
      <c r="U955" s="29"/>
      <c r="V955" s="29"/>
      <c r="W955" s="24"/>
      <c r="X955" s="18"/>
      <c r="Y955" s="18"/>
      <c r="Z955" s="18"/>
      <c r="AA955" s="18"/>
      <c r="AB955" s="18"/>
      <c r="AC955" s="18"/>
      <c r="AD955" s="18"/>
      <c r="AE955" s="19"/>
      <c r="AF955" s="20"/>
      <c r="AG955" s="21"/>
      <c r="AH955" s="21"/>
      <c r="AI955" s="19"/>
      <c r="AJ955" s="29"/>
      <c r="AK955" s="29"/>
      <c r="AL955" s="29"/>
    </row>
    <row r="956" spans="2:38" s="28" customFormat="1" x14ac:dyDescent="0.3">
      <c r="B956" s="24"/>
      <c r="C956" s="37"/>
      <c r="D956" s="37"/>
      <c r="E956" s="37"/>
      <c r="F956" s="35"/>
      <c r="G956" s="35"/>
      <c r="H956" s="35"/>
      <c r="I956" s="35"/>
      <c r="J956" s="35"/>
      <c r="K956" s="35"/>
      <c r="L956" s="35"/>
      <c r="M956" s="31"/>
      <c r="N956" s="32"/>
      <c r="O956" s="32"/>
      <c r="P956" s="32"/>
      <c r="Q956" s="32"/>
      <c r="R956" s="32"/>
      <c r="S956" s="32"/>
      <c r="T956" s="32"/>
      <c r="U956" s="29"/>
      <c r="V956" s="29"/>
      <c r="W956" s="24"/>
      <c r="X956" s="18"/>
      <c r="Y956" s="18"/>
      <c r="Z956" s="18"/>
      <c r="AA956" s="18"/>
      <c r="AB956" s="18"/>
      <c r="AC956" s="18"/>
      <c r="AD956" s="18"/>
      <c r="AE956" s="19"/>
      <c r="AF956" s="20"/>
      <c r="AG956" s="21"/>
      <c r="AH956" s="21"/>
      <c r="AI956" s="19"/>
      <c r="AJ956" s="29"/>
      <c r="AK956" s="29"/>
      <c r="AL956" s="29"/>
    </row>
    <row r="957" spans="2:38" s="28" customFormat="1" x14ac:dyDescent="0.3">
      <c r="B957" s="24"/>
      <c r="C957" s="37"/>
      <c r="D957" s="37"/>
      <c r="E957" s="37"/>
      <c r="F957" s="35"/>
      <c r="G957" s="35"/>
      <c r="H957" s="35"/>
      <c r="I957" s="35"/>
      <c r="J957" s="35"/>
      <c r="K957" s="35"/>
      <c r="L957" s="35"/>
      <c r="M957" s="31"/>
      <c r="N957" s="32"/>
      <c r="O957" s="32"/>
      <c r="P957" s="32"/>
      <c r="Q957" s="32"/>
      <c r="R957" s="32"/>
      <c r="S957" s="32"/>
      <c r="T957" s="32"/>
      <c r="U957" s="29"/>
      <c r="V957" s="29"/>
      <c r="W957" s="24"/>
      <c r="X957" s="18"/>
      <c r="Y957" s="18"/>
      <c r="Z957" s="18"/>
      <c r="AA957" s="18"/>
      <c r="AB957" s="18"/>
      <c r="AC957" s="18"/>
      <c r="AD957" s="18"/>
      <c r="AE957" s="19"/>
      <c r="AF957" s="20"/>
      <c r="AG957" s="21"/>
      <c r="AH957" s="21"/>
      <c r="AI957" s="19"/>
      <c r="AJ957" s="29"/>
      <c r="AK957" s="29"/>
      <c r="AL957" s="29"/>
    </row>
    <row r="958" spans="2:38" s="28" customFormat="1" x14ac:dyDescent="0.3">
      <c r="B958" s="24"/>
      <c r="C958" s="37"/>
      <c r="D958" s="37"/>
      <c r="E958" s="37"/>
      <c r="F958" s="35"/>
      <c r="G958" s="35"/>
      <c r="H958" s="35"/>
      <c r="I958" s="35"/>
      <c r="J958" s="35"/>
      <c r="K958" s="35"/>
      <c r="L958" s="35"/>
      <c r="M958" s="31"/>
      <c r="N958" s="32"/>
      <c r="O958" s="32"/>
      <c r="P958" s="32"/>
      <c r="Q958" s="32"/>
      <c r="R958" s="32"/>
      <c r="S958" s="32"/>
      <c r="T958" s="32"/>
      <c r="U958" s="29"/>
      <c r="V958" s="29"/>
      <c r="W958" s="24"/>
      <c r="X958" s="18"/>
      <c r="Y958" s="18"/>
      <c r="Z958" s="18"/>
      <c r="AA958" s="18"/>
      <c r="AB958" s="18"/>
      <c r="AC958" s="18"/>
      <c r="AD958" s="18"/>
      <c r="AE958" s="19"/>
      <c r="AF958" s="20"/>
      <c r="AG958" s="21"/>
      <c r="AH958" s="21"/>
      <c r="AI958" s="19"/>
      <c r="AJ958" s="29"/>
      <c r="AK958" s="29"/>
      <c r="AL958" s="29"/>
    </row>
    <row r="959" spans="2:38" s="28" customFormat="1" x14ac:dyDescent="0.3">
      <c r="B959" s="24"/>
      <c r="C959" s="37"/>
      <c r="D959" s="37"/>
      <c r="E959" s="37"/>
      <c r="F959" s="35"/>
      <c r="G959" s="35"/>
      <c r="H959" s="35"/>
      <c r="I959" s="35"/>
      <c r="J959" s="35"/>
      <c r="K959" s="35"/>
      <c r="L959" s="35"/>
      <c r="M959" s="31"/>
      <c r="N959" s="32"/>
      <c r="O959" s="32"/>
      <c r="P959" s="32"/>
      <c r="Q959" s="32"/>
      <c r="R959" s="32"/>
      <c r="S959" s="32"/>
      <c r="T959" s="32"/>
      <c r="U959" s="29"/>
      <c r="V959" s="29"/>
      <c r="W959" s="24"/>
      <c r="X959" s="18"/>
      <c r="Y959" s="18"/>
      <c r="Z959" s="18"/>
      <c r="AA959" s="18"/>
      <c r="AB959" s="18"/>
      <c r="AC959" s="18"/>
      <c r="AD959" s="18"/>
      <c r="AE959" s="19"/>
      <c r="AF959" s="20"/>
      <c r="AG959" s="21"/>
      <c r="AH959" s="21"/>
      <c r="AI959" s="19"/>
      <c r="AJ959" s="29"/>
      <c r="AK959" s="29"/>
      <c r="AL959" s="29"/>
    </row>
    <row r="960" spans="2:38" s="28" customFormat="1" x14ac:dyDescent="0.3">
      <c r="B960" s="24"/>
      <c r="C960" s="37"/>
      <c r="D960" s="37"/>
      <c r="E960" s="37"/>
      <c r="F960" s="35"/>
      <c r="G960" s="35"/>
      <c r="H960" s="35"/>
      <c r="I960" s="35"/>
      <c r="J960" s="35"/>
      <c r="K960" s="35"/>
      <c r="L960" s="35"/>
      <c r="M960" s="31"/>
      <c r="N960" s="32"/>
      <c r="O960" s="32"/>
      <c r="P960" s="32"/>
      <c r="Q960" s="32"/>
      <c r="R960" s="32"/>
      <c r="S960" s="32"/>
      <c r="T960" s="32"/>
      <c r="U960" s="29"/>
      <c r="V960" s="29"/>
      <c r="W960" s="24"/>
      <c r="X960" s="18"/>
      <c r="Y960" s="18"/>
      <c r="Z960" s="18"/>
      <c r="AA960" s="18"/>
      <c r="AB960" s="18"/>
      <c r="AC960" s="18"/>
      <c r="AD960" s="18"/>
      <c r="AE960" s="19"/>
      <c r="AF960" s="20"/>
      <c r="AG960" s="21"/>
      <c r="AH960" s="21"/>
      <c r="AI960" s="19"/>
      <c r="AJ960" s="29"/>
      <c r="AK960" s="29"/>
      <c r="AL960" s="29"/>
    </row>
    <row r="961" spans="2:38" s="28" customFormat="1" x14ac:dyDescent="0.3">
      <c r="B961" s="24"/>
      <c r="C961" s="37"/>
      <c r="D961" s="37"/>
      <c r="E961" s="37"/>
      <c r="F961" s="35"/>
      <c r="G961" s="35"/>
      <c r="H961" s="35"/>
      <c r="I961" s="35"/>
      <c r="J961" s="35"/>
      <c r="K961" s="35"/>
      <c r="L961" s="35"/>
      <c r="M961" s="31"/>
      <c r="N961" s="32"/>
      <c r="O961" s="32"/>
      <c r="P961" s="32"/>
      <c r="Q961" s="32"/>
      <c r="R961" s="32"/>
      <c r="S961" s="32"/>
      <c r="T961" s="32"/>
      <c r="U961" s="29"/>
      <c r="V961" s="29"/>
      <c r="W961" s="24"/>
      <c r="X961" s="18"/>
      <c r="Y961" s="18"/>
      <c r="Z961" s="18"/>
      <c r="AA961" s="18"/>
      <c r="AB961" s="18"/>
      <c r="AC961" s="18"/>
      <c r="AD961" s="18"/>
      <c r="AE961" s="19"/>
      <c r="AF961" s="20"/>
      <c r="AG961" s="21"/>
      <c r="AH961" s="21"/>
      <c r="AI961" s="19"/>
      <c r="AJ961" s="29"/>
      <c r="AK961" s="29"/>
      <c r="AL961" s="29"/>
    </row>
    <row r="962" spans="2:38" s="28" customFormat="1" x14ac:dyDescent="0.3">
      <c r="B962" s="24"/>
      <c r="C962" s="37"/>
      <c r="D962" s="37"/>
      <c r="E962" s="37"/>
      <c r="F962" s="35"/>
      <c r="G962" s="35"/>
      <c r="H962" s="35"/>
      <c r="I962" s="35"/>
      <c r="J962" s="35"/>
      <c r="K962" s="35"/>
      <c r="L962" s="35"/>
      <c r="M962" s="31"/>
      <c r="N962" s="32"/>
      <c r="O962" s="32"/>
      <c r="P962" s="32"/>
      <c r="Q962" s="32"/>
      <c r="R962" s="32"/>
      <c r="S962" s="32"/>
      <c r="T962" s="32"/>
      <c r="U962" s="29"/>
      <c r="V962" s="29"/>
      <c r="W962" s="24"/>
      <c r="X962" s="18"/>
      <c r="Y962" s="18"/>
      <c r="Z962" s="18"/>
      <c r="AA962" s="18"/>
      <c r="AB962" s="18"/>
      <c r="AC962" s="18"/>
      <c r="AD962" s="18"/>
      <c r="AE962" s="19"/>
      <c r="AF962" s="20"/>
      <c r="AG962" s="21"/>
      <c r="AH962" s="21"/>
      <c r="AI962" s="19"/>
      <c r="AJ962" s="29"/>
      <c r="AK962" s="29"/>
      <c r="AL962" s="29"/>
    </row>
    <row r="963" spans="2:38" s="28" customFormat="1" x14ac:dyDescent="0.3">
      <c r="B963" s="24"/>
      <c r="C963" s="37"/>
      <c r="D963" s="37"/>
      <c r="E963" s="37"/>
      <c r="F963" s="35"/>
      <c r="G963" s="35"/>
      <c r="H963" s="35"/>
      <c r="I963" s="35"/>
      <c r="J963" s="35"/>
      <c r="K963" s="35"/>
      <c r="L963" s="35"/>
      <c r="M963" s="31"/>
      <c r="N963" s="32"/>
      <c r="O963" s="32"/>
      <c r="P963" s="32"/>
      <c r="Q963" s="32"/>
      <c r="R963" s="32"/>
      <c r="S963" s="32"/>
      <c r="T963" s="32"/>
      <c r="U963" s="29"/>
      <c r="V963" s="29"/>
      <c r="W963" s="24"/>
      <c r="X963" s="18"/>
      <c r="Y963" s="18"/>
      <c r="Z963" s="18"/>
      <c r="AA963" s="18"/>
      <c r="AB963" s="18"/>
      <c r="AC963" s="18"/>
      <c r="AD963" s="18"/>
      <c r="AE963" s="19"/>
      <c r="AF963" s="20"/>
      <c r="AG963" s="21"/>
      <c r="AH963" s="21"/>
      <c r="AI963" s="19"/>
      <c r="AJ963" s="29"/>
      <c r="AK963" s="29"/>
      <c r="AL963" s="29"/>
    </row>
    <row r="964" spans="2:38" s="28" customFormat="1" x14ac:dyDescent="0.3">
      <c r="B964" s="24"/>
      <c r="C964" s="37"/>
      <c r="D964" s="37"/>
      <c r="E964" s="37"/>
      <c r="F964" s="35"/>
      <c r="G964" s="35"/>
      <c r="H964" s="35"/>
      <c r="I964" s="35"/>
      <c r="J964" s="35"/>
      <c r="K964" s="35"/>
      <c r="L964" s="35"/>
      <c r="M964" s="31"/>
      <c r="N964" s="32"/>
      <c r="O964" s="32"/>
      <c r="P964" s="32"/>
      <c r="Q964" s="32"/>
      <c r="R964" s="32"/>
      <c r="S964" s="32"/>
      <c r="T964" s="32"/>
      <c r="U964" s="29"/>
      <c r="V964" s="29"/>
      <c r="W964" s="24"/>
      <c r="X964" s="18"/>
      <c r="Y964" s="18"/>
      <c r="Z964" s="18"/>
      <c r="AA964" s="18"/>
      <c r="AB964" s="18"/>
      <c r="AC964" s="18"/>
      <c r="AD964" s="18"/>
      <c r="AE964" s="19"/>
      <c r="AF964" s="20"/>
      <c r="AG964" s="21"/>
      <c r="AH964" s="21"/>
      <c r="AI964" s="19"/>
      <c r="AJ964" s="29"/>
      <c r="AK964" s="29"/>
      <c r="AL964" s="29"/>
    </row>
    <row r="965" spans="2:38" s="28" customFormat="1" x14ac:dyDescent="0.3">
      <c r="B965" s="24"/>
      <c r="C965" s="37"/>
      <c r="D965" s="37"/>
      <c r="E965" s="37"/>
      <c r="F965" s="35"/>
      <c r="G965" s="35"/>
      <c r="H965" s="35"/>
      <c r="I965" s="35"/>
      <c r="J965" s="35"/>
      <c r="K965" s="35"/>
      <c r="L965" s="35"/>
      <c r="M965" s="31"/>
      <c r="N965" s="32"/>
      <c r="O965" s="32"/>
      <c r="P965" s="32"/>
      <c r="Q965" s="32"/>
      <c r="R965" s="32"/>
      <c r="S965" s="32"/>
      <c r="T965" s="32"/>
      <c r="U965" s="29"/>
      <c r="V965" s="29"/>
      <c r="W965" s="24"/>
      <c r="X965" s="18"/>
      <c r="Y965" s="18"/>
      <c r="Z965" s="18"/>
      <c r="AA965" s="18"/>
      <c r="AB965" s="18"/>
      <c r="AC965" s="18"/>
      <c r="AD965" s="18"/>
      <c r="AE965" s="19"/>
      <c r="AF965" s="20"/>
      <c r="AG965" s="21"/>
      <c r="AH965" s="21"/>
      <c r="AI965" s="19"/>
      <c r="AJ965" s="29"/>
      <c r="AK965" s="29"/>
      <c r="AL965" s="29"/>
    </row>
    <row r="966" spans="2:38" s="28" customFormat="1" x14ac:dyDescent="0.3">
      <c r="B966" s="24"/>
      <c r="C966" s="37"/>
      <c r="D966" s="37"/>
      <c r="E966" s="37"/>
      <c r="F966" s="35"/>
      <c r="G966" s="35"/>
      <c r="H966" s="35"/>
      <c r="I966" s="35"/>
      <c r="J966" s="35"/>
      <c r="K966" s="35"/>
      <c r="L966" s="35"/>
      <c r="M966" s="31"/>
      <c r="N966" s="32"/>
      <c r="O966" s="32"/>
      <c r="P966" s="32"/>
      <c r="Q966" s="32"/>
      <c r="R966" s="32"/>
      <c r="S966" s="32"/>
      <c r="T966" s="32"/>
      <c r="U966" s="29"/>
      <c r="V966" s="29"/>
      <c r="W966" s="24"/>
      <c r="X966" s="18"/>
      <c r="Y966" s="18"/>
      <c r="Z966" s="18"/>
      <c r="AA966" s="18"/>
      <c r="AB966" s="18"/>
      <c r="AC966" s="18"/>
      <c r="AD966" s="18"/>
      <c r="AE966" s="19"/>
      <c r="AF966" s="20"/>
      <c r="AG966" s="21"/>
      <c r="AH966" s="21"/>
      <c r="AI966" s="19"/>
      <c r="AJ966" s="29"/>
      <c r="AK966" s="29"/>
      <c r="AL966" s="29"/>
    </row>
    <row r="967" spans="2:38" s="28" customFormat="1" x14ac:dyDescent="0.3">
      <c r="B967" s="24"/>
      <c r="C967" s="37"/>
      <c r="D967" s="37"/>
      <c r="E967" s="37"/>
      <c r="F967" s="35"/>
      <c r="G967" s="35"/>
      <c r="H967" s="35"/>
      <c r="I967" s="35"/>
      <c r="J967" s="35"/>
      <c r="K967" s="35"/>
      <c r="L967" s="35"/>
      <c r="M967" s="31"/>
      <c r="N967" s="32"/>
      <c r="O967" s="32"/>
      <c r="P967" s="32"/>
      <c r="Q967" s="32"/>
      <c r="R967" s="32"/>
      <c r="S967" s="32"/>
      <c r="T967" s="32"/>
      <c r="U967" s="29"/>
      <c r="V967" s="29"/>
      <c r="W967" s="24"/>
      <c r="X967" s="18"/>
      <c r="Y967" s="18"/>
      <c r="Z967" s="18"/>
      <c r="AA967" s="18"/>
      <c r="AB967" s="18"/>
      <c r="AC967" s="18"/>
      <c r="AD967" s="18"/>
      <c r="AE967" s="19"/>
      <c r="AF967" s="20"/>
      <c r="AG967" s="21"/>
      <c r="AH967" s="21"/>
      <c r="AI967" s="19"/>
      <c r="AJ967" s="29"/>
      <c r="AK967" s="29"/>
      <c r="AL967" s="29"/>
    </row>
    <row r="968" spans="2:38" s="28" customFormat="1" x14ac:dyDescent="0.3">
      <c r="B968" s="24"/>
      <c r="C968" s="37"/>
      <c r="D968" s="37"/>
      <c r="E968" s="37"/>
      <c r="F968" s="35"/>
      <c r="G968" s="35"/>
      <c r="H968" s="35"/>
      <c r="I968" s="35"/>
      <c r="J968" s="35"/>
      <c r="K968" s="35"/>
      <c r="L968" s="35"/>
      <c r="M968" s="31"/>
      <c r="N968" s="32"/>
      <c r="O968" s="32"/>
      <c r="P968" s="32"/>
      <c r="Q968" s="32"/>
      <c r="R968" s="32"/>
      <c r="S968" s="32"/>
      <c r="T968" s="32"/>
      <c r="U968" s="29"/>
      <c r="V968" s="29"/>
      <c r="W968" s="24"/>
      <c r="X968" s="18"/>
      <c r="Y968" s="18"/>
      <c r="Z968" s="18"/>
      <c r="AA968" s="18"/>
      <c r="AB968" s="18"/>
      <c r="AC968" s="18"/>
      <c r="AD968" s="18"/>
      <c r="AE968" s="19"/>
      <c r="AF968" s="20"/>
      <c r="AG968" s="21"/>
      <c r="AH968" s="21"/>
      <c r="AI968" s="19"/>
      <c r="AJ968" s="29"/>
      <c r="AK968" s="29"/>
      <c r="AL968" s="29"/>
    </row>
    <row r="969" spans="2:38" s="28" customFormat="1" x14ac:dyDescent="0.3">
      <c r="B969" s="24"/>
      <c r="C969" s="37"/>
      <c r="D969" s="37"/>
      <c r="E969" s="37"/>
      <c r="F969" s="35"/>
      <c r="G969" s="35"/>
      <c r="H969" s="35"/>
      <c r="I969" s="35"/>
      <c r="J969" s="35"/>
      <c r="K969" s="35"/>
      <c r="L969" s="35"/>
      <c r="M969" s="31"/>
      <c r="N969" s="32"/>
      <c r="O969" s="32"/>
      <c r="P969" s="32"/>
      <c r="Q969" s="32"/>
      <c r="R969" s="32"/>
      <c r="S969" s="32"/>
      <c r="T969" s="32"/>
      <c r="U969" s="29"/>
      <c r="V969" s="29"/>
      <c r="W969" s="24"/>
      <c r="X969" s="18"/>
      <c r="Y969" s="18"/>
      <c r="Z969" s="18"/>
      <c r="AA969" s="18"/>
      <c r="AB969" s="18"/>
      <c r="AC969" s="18"/>
      <c r="AD969" s="18"/>
      <c r="AE969" s="19"/>
      <c r="AF969" s="20"/>
      <c r="AG969" s="21"/>
      <c r="AH969" s="21"/>
      <c r="AI969" s="19"/>
      <c r="AJ969" s="29"/>
      <c r="AK969" s="29"/>
      <c r="AL969" s="29"/>
    </row>
    <row r="970" spans="2:38" s="28" customFormat="1" x14ac:dyDescent="0.3">
      <c r="B970" s="24"/>
      <c r="C970" s="37"/>
      <c r="D970" s="37"/>
      <c r="E970" s="37"/>
      <c r="F970" s="35"/>
      <c r="G970" s="35"/>
      <c r="H970" s="35"/>
      <c r="I970" s="35"/>
      <c r="J970" s="35"/>
      <c r="K970" s="35"/>
      <c r="L970" s="35"/>
      <c r="M970" s="31"/>
      <c r="N970" s="32"/>
      <c r="O970" s="32"/>
      <c r="P970" s="32"/>
      <c r="Q970" s="32"/>
      <c r="R970" s="32"/>
      <c r="S970" s="32"/>
      <c r="T970" s="32"/>
      <c r="U970" s="29"/>
      <c r="V970" s="29"/>
      <c r="W970" s="24"/>
      <c r="X970" s="18"/>
      <c r="Y970" s="18"/>
      <c r="Z970" s="18"/>
      <c r="AA970" s="18"/>
      <c r="AB970" s="18"/>
      <c r="AC970" s="18"/>
      <c r="AD970" s="18"/>
      <c r="AE970" s="19"/>
      <c r="AF970" s="20"/>
      <c r="AG970" s="21"/>
      <c r="AH970" s="21"/>
      <c r="AI970" s="19"/>
      <c r="AJ970" s="29"/>
      <c r="AK970" s="29"/>
      <c r="AL970" s="29"/>
    </row>
    <row r="971" spans="2:38" s="28" customFormat="1" x14ac:dyDescent="0.3">
      <c r="B971" s="24"/>
      <c r="C971" s="37"/>
      <c r="D971" s="37"/>
      <c r="E971" s="37"/>
      <c r="F971" s="35"/>
      <c r="G971" s="35"/>
      <c r="H971" s="35"/>
      <c r="I971" s="35"/>
      <c r="J971" s="35"/>
      <c r="K971" s="35"/>
      <c r="L971" s="35"/>
      <c r="M971" s="31"/>
      <c r="N971" s="32"/>
      <c r="O971" s="32"/>
      <c r="P971" s="32"/>
      <c r="Q971" s="32"/>
      <c r="R971" s="32"/>
      <c r="S971" s="32"/>
      <c r="T971" s="32"/>
      <c r="U971" s="29"/>
      <c r="V971" s="29"/>
      <c r="W971" s="24"/>
      <c r="X971" s="18"/>
      <c r="Y971" s="18"/>
      <c r="Z971" s="18"/>
      <c r="AA971" s="18"/>
      <c r="AB971" s="18"/>
      <c r="AC971" s="18"/>
      <c r="AD971" s="18"/>
      <c r="AE971" s="19"/>
      <c r="AF971" s="20"/>
      <c r="AG971" s="21"/>
      <c r="AH971" s="21"/>
      <c r="AI971" s="19"/>
      <c r="AJ971" s="29"/>
      <c r="AK971" s="29"/>
      <c r="AL971" s="29"/>
    </row>
    <row r="972" spans="2:38" s="28" customFormat="1" x14ac:dyDescent="0.3">
      <c r="B972" s="24"/>
      <c r="C972" s="37"/>
      <c r="D972" s="37"/>
      <c r="E972" s="37"/>
      <c r="F972" s="35"/>
      <c r="G972" s="35"/>
      <c r="H972" s="35"/>
      <c r="I972" s="35"/>
      <c r="J972" s="35"/>
      <c r="K972" s="35"/>
      <c r="L972" s="35"/>
      <c r="M972" s="31"/>
      <c r="N972" s="32"/>
      <c r="O972" s="32"/>
      <c r="P972" s="32"/>
      <c r="Q972" s="32"/>
      <c r="R972" s="32"/>
      <c r="S972" s="32"/>
      <c r="T972" s="32"/>
      <c r="U972" s="29"/>
      <c r="V972" s="29"/>
      <c r="W972" s="24"/>
      <c r="X972" s="18"/>
      <c r="Y972" s="18"/>
      <c r="Z972" s="18"/>
      <c r="AA972" s="18"/>
      <c r="AB972" s="18"/>
      <c r="AC972" s="18"/>
      <c r="AD972" s="18"/>
      <c r="AE972" s="19"/>
      <c r="AF972" s="20"/>
      <c r="AG972" s="21"/>
      <c r="AH972" s="21"/>
      <c r="AI972" s="19"/>
      <c r="AJ972" s="29"/>
      <c r="AK972" s="29"/>
      <c r="AL972" s="29"/>
    </row>
    <row r="973" spans="2:38" s="28" customFormat="1" x14ac:dyDescent="0.3">
      <c r="B973" s="24"/>
      <c r="C973" s="37"/>
      <c r="D973" s="37"/>
      <c r="E973" s="37"/>
      <c r="F973" s="35"/>
      <c r="G973" s="35"/>
      <c r="H973" s="35"/>
      <c r="I973" s="35"/>
      <c r="J973" s="35"/>
      <c r="K973" s="35"/>
      <c r="L973" s="35"/>
      <c r="M973" s="31"/>
      <c r="N973" s="32"/>
      <c r="O973" s="32"/>
      <c r="P973" s="32"/>
      <c r="Q973" s="32"/>
      <c r="R973" s="32"/>
      <c r="S973" s="32"/>
      <c r="T973" s="32"/>
      <c r="U973" s="29"/>
      <c r="V973" s="29"/>
      <c r="W973" s="24"/>
      <c r="X973" s="18"/>
      <c r="Y973" s="18"/>
      <c r="Z973" s="18"/>
      <c r="AA973" s="18"/>
      <c r="AB973" s="18"/>
      <c r="AC973" s="18"/>
      <c r="AD973" s="18"/>
      <c r="AE973" s="19"/>
      <c r="AF973" s="20"/>
      <c r="AG973" s="21"/>
      <c r="AH973" s="21"/>
      <c r="AI973" s="19"/>
      <c r="AJ973" s="29"/>
      <c r="AK973" s="29"/>
      <c r="AL973" s="29"/>
    </row>
    <row r="974" spans="2:38" s="28" customFormat="1" x14ac:dyDescent="0.3">
      <c r="B974" s="24"/>
      <c r="C974" s="37"/>
      <c r="D974" s="37"/>
      <c r="E974" s="37"/>
      <c r="F974" s="35"/>
      <c r="G974" s="35"/>
      <c r="H974" s="35"/>
      <c r="I974" s="35"/>
      <c r="J974" s="35"/>
      <c r="K974" s="35"/>
      <c r="L974" s="35"/>
      <c r="M974" s="31"/>
      <c r="N974" s="32"/>
      <c r="O974" s="32"/>
      <c r="P974" s="32"/>
      <c r="Q974" s="32"/>
      <c r="R974" s="32"/>
      <c r="S974" s="32"/>
      <c r="T974" s="32"/>
      <c r="U974" s="29"/>
      <c r="V974" s="29"/>
      <c r="W974" s="24"/>
      <c r="X974" s="18"/>
      <c r="Y974" s="18"/>
      <c r="Z974" s="18"/>
      <c r="AA974" s="18"/>
      <c r="AB974" s="18"/>
      <c r="AC974" s="18"/>
      <c r="AD974" s="18"/>
      <c r="AE974" s="19"/>
      <c r="AF974" s="20"/>
      <c r="AG974" s="21"/>
      <c r="AH974" s="21"/>
      <c r="AI974" s="19"/>
      <c r="AJ974" s="29"/>
      <c r="AK974" s="29"/>
      <c r="AL974" s="29"/>
    </row>
    <row r="975" spans="2:38" s="28" customFormat="1" x14ac:dyDescent="0.3">
      <c r="B975" s="24"/>
      <c r="C975" s="37"/>
      <c r="D975" s="37"/>
      <c r="E975" s="37"/>
      <c r="F975" s="35"/>
      <c r="G975" s="35"/>
      <c r="H975" s="35"/>
      <c r="I975" s="35"/>
      <c r="J975" s="35"/>
      <c r="K975" s="35"/>
      <c r="L975" s="35"/>
      <c r="M975" s="31"/>
      <c r="N975" s="32"/>
      <c r="O975" s="32"/>
      <c r="P975" s="32"/>
      <c r="Q975" s="32"/>
      <c r="R975" s="32"/>
      <c r="S975" s="32"/>
      <c r="T975" s="32"/>
      <c r="U975" s="29"/>
      <c r="V975" s="29"/>
      <c r="W975" s="24"/>
      <c r="X975" s="18"/>
      <c r="Y975" s="18"/>
      <c r="Z975" s="18"/>
      <c r="AA975" s="18"/>
      <c r="AB975" s="18"/>
      <c r="AC975" s="18"/>
      <c r="AD975" s="18"/>
      <c r="AE975" s="19"/>
      <c r="AF975" s="20"/>
      <c r="AG975" s="21"/>
      <c r="AH975" s="21"/>
      <c r="AI975" s="19"/>
      <c r="AJ975" s="29"/>
      <c r="AK975" s="29"/>
      <c r="AL975" s="29"/>
    </row>
    <row r="976" spans="2:38" s="28" customFormat="1" x14ac:dyDescent="0.3">
      <c r="B976" s="24"/>
      <c r="C976" s="37"/>
      <c r="D976" s="37"/>
      <c r="E976" s="37"/>
      <c r="F976" s="35"/>
      <c r="G976" s="35"/>
      <c r="H976" s="35"/>
      <c r="I976" s="35"/>
      <c r="J976" s="35"/>
      <c r="K976" s="35"/>
      <c r="L976" s="35"/>
      <c r="M976" s="31"/>
      <c r="N976" s="32"/>
      <c r="O976" s="32"/>
      <c r="P976" s="32"/>
      <c r="Q976" s="32"/>
      <c r="R976" s="32"/>
      <c r="S976" s="32"/>
      <c r="T976" s="32"/>
      <c r="U976" s="29"/>
      <c r="V976" s="29"/>
      <c r="W976" s="24"/>
      <c r="X976" s="18"/>
      <c r="Y976" s="18"/>
      <c r="Z976" s="18"/>
      <c r="AA976" s="18"/>
      <c r="AB976" s="18"/>
      <c r="AC976" s="18"/>
      <c r="AD976" s="18"/>
      <c r="AE976" s="19"/>
      <c r="AF976" s="20"/>
      <c r="AG976" s="21"/>
      <c r="AH976" s="21"/>
      <c r="AI976" s="19"/>
      <c r="AJ976" s="29"/>
      <c r="AK976" s="29"/>
      <c r="AL976" s="29"/>
    </row>
    <row r="977" spans="2:38" s="28" customFormat="1" x14ac:dyDescent="0.3">
      <c r="B977" s="24"/>
      <c r="C977" s="37"/>
      <c r="D977" s="37"/>
      <c r="E977" s="37"/>
      <c r="F977" s="35"/>
      <c r="G977" s="35"/>
      <c r="H977" s="35"/>
      <c r="I977" s="35"/>
      <c r="J977" s="35"/>
      <c r="K977" s="35"/>
      <c r="L977" s="35"/>
      <c r="M977" s="31"/>
      <c r="N977" s="32"/>
      <c r="O977" s="32"/>
      <c r="P977" s="32"/>
      <c r="Q977" s="32"/>
      <c r="R977" s="32"/>
      <c r="S977" s="32"/>
      <c r="T977" s="32"/>
      <c r="U977" s="29"/>
      <c r="V977" s="29"/>
      <c r="W977" s="24"/>
      <c r="X977" s="18"/>
      <c r="Y977" s="18"/>
      <c r="Z977" s="18"/>
      <c r="AA977" s="18"/>
      <c r="AB977" s="18"/>
      <c r="AC977" s="18"/>
      <c r="AD977" s="18"/>
      <c r="AE977" s="19"/>
      <c r="AF977" s="20"/>
      <c r="AG977" s="21"/>
      <c r="AH977" s="21"/>
      <c r="AI977" s="19"/>
      <c r="AJ977" s="29"/>
      <c r="AK977" s="29"/>
      <c r="AL977" s="29"/>
    </row>
    <row r="978" spans="2:38" s="28" customFormat="1" x14ac:dyDescent="0.3">
      <c r="B978" s="24"/>
      <c r="C978" s="37"/>
      <c r="D978" s="37"/>
      <c r="E978" s="37"/>
      <c r="F978" s="35"/>
      <c r="G978" s="35"/>
      <c r="H978" s="35"/>
      <c r="I978" s="35"/>
      <c r="J978" s="35"/>
      <c r="K978" s="35"/>
      <c r="L978" s="35"/>
      <c r="M978" s="31"/>
      <c r="N978" s="32"/>
      <c r="O978" s="32"/>
      <c r="P978" s="32"/>
      <c r="Q978" s="32"/>
      <c r="R978" s="32"/>
      <c r="S978" s="32"/>
      <c r="T978" s="32"/>
      <c r="U978" s="29"/>
      <c r="V978" s="29"/>
      <c r="W978" s="24"/>
      <c r="X978" s="18"/>
      <c r="Y978" s="18"/>
      <c r="Z978" s="18"/>
      <c r="AA978" s="18"/>
      <c r="AB978" s="18"/>
      <c r="AC978" s="18"/>
      <c r="AD978" s="18"/>
      <c r="AE978" s="19"/>
      <c r="AF978" s="20"/>
      <c r="AG978" s="21"/>
      <c r="AH978" s="21"/>
      <c r="AI978" s="19"/>
      <c r="AJ978" s="29"/>
      <c r="AK978" s="29"/>
      <c r="AL978" s="29"/>
    </row>
    <row r="979" spans="2:38" s="28" customFormat="1" x14ac:dyDescent="0.3">
      <c r="B979" s="24"/>
      <c r="C979" s="37"/>
      <c r="D979" s="37"/>
      <c r="E979" s="37"/>
      <c r="F979" s="35"/>
      <c r="G979" s="35"/>
      <c r="H979" s="35"/>
      <c r="I979" s="35"/>
      <c r="J979" s="35"/>
      <c r="K979" s="35"/>
      <c r="L979" s="35"/>
      <c r="M979" s="31"/>
      <c r="N979" s="32"/>
      <c r="O979" s="32"/>
      <c r="P979" s="32"/>
      <c r="Q979" s="32"/>
      <c r="R979" s="32"/>
      <c r="S979" s="32"/>
      <c r="T979" s="32"/>
      <c r="U979" s="29"/>
      <c r="V979" s="29"/>
      <c r="W979" s="24"/>
      <c r="X979" s="18"/>
      <c r="Y979" s="18"/>
      <c r="Z979" s="18"/>
      <c r="AA979" s="18"/>
      <c r="AB979" s="18"/>
      <c r="AC979" s="18"/>
      <c r="AD979" s="18"/>
      <c r="AE979" s="19"/>
      <c r="AF979" s="20"/>
      <c r="AG979" s="21"/>
      <c r="AH979" s="21"/>
      <c r="AI979" s="19"/>
      <c r="AJ979" s="29"/>
      <c r="AK979" s="29"/>
      <c r="AL979" s="29"/>
    </row>
    <row r="980" spans="2:38" s="28" customFormat="1" x14ac:dyDescent="0.3">
      <c r="B980" s="24"/>
      <c r="C980" s="37"/>
      <c r="D980" s="37"/>
      <c r="E980" s="37"/>
      <c r="F980" s="35"/>
      <c r="G980" s="35"/>
      <c r="H980" s="35"/>
      <c r="I980" s="35"/>
      <c r="J980" s="35"/>
      <c r="K980" s="35"/>
      <c r="L980" s="35"/>
      <c r="M980" s="31"/>
      <c r="N980" s="32"/>
      <c r="O980" s="32"/>
      <c r="P980" s="32"/>
      <c r="Q980" s="32"/>
      <c r="R980" s="32"/>
      <c r="S980" s="32"/>
      <c r="T980" s="32"/>
      <c r="U980" s="29"/>
      <c r="V980" s="29"/>
      <c r="W980" s="24"/>
      <c r="X980" s="18"/>
      <c r="Y980" s="18"/>
      <c r="Z980" s="18"/>
      <c r="AA980" s="18"/>
      <c r="AB980" s="18"/>
      <c r="AC980" s="18"/>
      <c r="AD980" s="18"/>
      <c r="AE980" s="19"/>
      <c r="AF980" s="20"/>
      <c r="AG980" s="21"/>
      <c r="AH980" s="21"/>
      <c r="AI980" s="19"/>
      <c r="AJ980" s="29"/>
      <c r="AK980" s="29"/>
      <c r="AL980" s="29"/>
    </row>
    <row r="981" spans="2:38" s="28" customFormat="1" x14ac:dyDescent="0.3">
      <c r="B981" s="24"/>
      <c r="C981" s="37"/>
      <c r="D981" s="37"/>
      <c r="E981" s="37"/>
      <c r="F981" s="35"/>
      <c r="G981" s="35"/>
      <c r="H981" s="35"/>
      <c r="I981" s="35"/>
      <c r="J981" s="35"/>
      <c r="K981" s="35"/>
      <c r="L981" s="35"/>
      <c r="M981" s="31"/>
      <c r="N981" s="32"/>
      <c r="O981" s="32"/>
      <c r="P981" s="32"/>
      <c r="Q981" s="32"/>
      <c r="R981" s="32"/>
      <c r="S981" s="32"/>
      <c r="T981" s="32"/>
      <c r="U981" s="29"/>
      <c r="V981" s="29"/>
      <c r="W981" s="24"/>
      <c r="X981" s="18"/>
      <c r="Y981" s="18"/>
      <c r="Z981" s="18"/>
      <c r="AA981" s="18"/>
      <c r="AB981" s="18"/>
      <c r="AC981" s="18"/>
      <c r="AD981" s="18"/>
      <c r="AE981" s="19"/>
      <c r="AF981" s="20"/>
      <c r="AG981" s="21"/>
      <c r="AH981" s="21"/>
      <c r="AI981" s="19"/>
      <c r="AJ981" s="29"/>
      <c r="AK981" s="29"/>
      <c r="AL981" s="29"/>
    </row>
    <row r="982" spans="2:38" s="28" customFormat="1" x14ac:dyDescent="0.3">
      <c r="B982" s="24"/>
      <c r="C982" s="37"/>
      <c r="D982" s="37"/>
      <c r="E982" s="37"/>
      <c r="F982" s="35"/>
      <c r="G982" s="35"/>
      <c r="H982" s="35"/>
      <c r="I982" s="35"/>
      <c r="J982" s="35"/>
      <c r="K982" s="35"/>
      <c r="L982" s="35"/>
      <c r="M982" s="31"/>
      <c r="N982" s="32"/>
      <c r="O982" s="32"/>
      <c r="P982" s="32"/>
      <c r="Q982" s="32"/>
      <c r="R982" s="32"/>
      <c r="S982" s="32"/>
      <c r="T982" s="32"/>
      <c r="U982" s="29"/>
      <c r="V982" s="29"/>
      <c r="W982" s="24"/>
      <c r="X982" s="18"/>
      <c r="Y982" s="18"/>
      <c r="Z982" s="18"/>
      <c r="AA982" s="18"/>
      <c r="AB982" s="18"/>
      <c r="AC982" s="18"/>
      <c r="AD982" s="18"/>
      <c r="AE982" s="19"/>
      <c r="AF982" s="20"/>
      <c r="AG982" s="21"/>
      <c r="AH982" s="21"/>
      <c r="AI982" s="19"/>
      <c r="AJ982" s="29"/>
      <c r="AK982" s="29"/>
      <c r="AL982" s="29"/>
    </row>
    <row r="983" spans="2:38" s="28" customFormat="1" x14ac:dyDescent="0.3">
      <c r="B983" s="24"/>
      <c r="C983" s="37"/>
      <c r="D983" s="37"/>
      <c r="E983" s="37"/>
      <c r="F983" s="35"/>
      <c r="G983" s="35"/>
      <c r="H983" s="35"/>
      <c r="I983" s="35"/>
      <c r="J983" s="35"/>
      <c r="K983" s="35"/>
      <c r="L983" s="35"/>
      <c r="M983" s="31"/>
      <c r="N983" s="32"/>
      <c r="O983" s="32"/>
      <c r="P983" s="32"/>
      <c r="Q983" s="32"/>
      <c r="R983" s="32"/>
      <c r="S983" s="32"/>
      <c r="T983" s="32"/>
      <c r="U983" s="29"/>
      <c r="V983" s="29"/>
      <c r="W983" s="24"/>
      <c r="X983" s="18"/>
      <c r="Y983" s="18"/>
      <c r="Z983" s="18"/>
      <c r="AA983" s="18"/>
      <c r="AB983" s="18"/>
      <c r="AC983" s="18"/>
      <c r="AD983" s="18"/>
      <c r="AE983" s="19"/>
      <c r="AF983" s="20"/>
      <c r="AG983" s="21"/>
      <c r="AH983" s="21"/>
      <c r="AI983" s="19"/>
      <c r="AJ983" s="29"/>
      <c r="AK983" s="29"/>
      <c r="AL983" s="29"/>
    </row>
    <row r="984" spans="2:38" s="28" customFormat="1" x14ac:dyDescent="0.3">
      <c r="B984" s="24"/>
      <c r="C984" s="37"/>
      <c r="D984" s="37"/>
      <c r="E984" s="37"/>
      <c r="F984" s="35"/>
      <c r="G984" s="35"/>
      <c r="H984" s="35"/>
      <c r="I984" s="35"/>
      <c r="J984" s="35"/>
      <c r="K984" s="35"/>
      <c r="L984" s="35"/>
      <c r="M984" s="31"/>
      <c r="N984" s="32"/>
      <c r="O984" s="32"/>
      <c r="P984" s="32"/>
      <c r="Q984" s="32"/>
      <c r="R984" s="32"/>
      <c r="S984" s="32"/>
      <c r="T984" s="32"/>
      <c r="U984" s="29"/>
      <c r="V984" s="29"/>
      <c r="W984" s="24"/>
      <c r="X984" s="18"/>
      <c r="Y984" s="18"/>
      <c r="Z984" s="18"/>
      <c r="AA984" s="18"/>
      <c r="AB984" s="18"/>
      <c r="AC984" s="18"/>
      <c r="AD984" s="18"/>
      <c r="AE984" s="19"/>
      <c r="AF984" s="20"/>
      <c r="AG984" s="21"/>
      <c r="AH984" s="21"/>
      <c r="AI984" s="19"/>
      <c r="AJ984" s="29"/>
      <c r="AK984" s="29"/>
      <c r="AL984" s="29"/>
    </row>
    <row r="985" spans="2:38" s="28" customFormat="1" x14ac:dyDescent="0.3">
      <c r="B985" s="24"/>
      <c r="C985" s="37"/>
      <c r="D985" s="37"/>
      <c r="E985" s="37"/>
      <c r="F985" s="35"/>
      <c r="G985" s="35"/>
      <c r="H985" s="35"/>
      <c r="I985" s="35"/>
      <c r="J985" s="35"/>
      <c r="K985" s="35"/>
      <c r="L985" s="35"/>
      <c r="M985" s="31"/>
      <c r="N985" s="32"/>
      <c r="O985" s="32"/>
      <c r="P985" s="32"/>
      <c r="Q985" s="32"/>
      <c r="R985" s="32"/>
      <c r="S985" s="32"/>
      <c r="T985" s="32"/>
      <c r="U985" s="29"/>
      <c r="V985" s="29"/>
      <c r="W985" s="24"/>
      <c r="X985" s="18"/>
      <c r="Y985" s="18"/>
      <c r="Z985" s="18"/>
      <c r="AA985" s="18"/>
      <c r="AB985" s="18"/>
      <c r="AC985" s="18"/>
      <c r="AD985" s="18"/>
      <c r="AE985" s="19"/>
      <c r="AF985" s="20"/>
      <c r="AG985" s="21"/>
      <c r="AH985" s="21"/>
      <c r="AI985" s="19"/>
      <c r="AJ985" s="29"/>
      <c r="AK985" s="29"/>
      <c r="AL985" s="29"/>
    </row>
    <row r="986" spans="2:38" s="28" customFormat="1" x14ac:dyDescent="0.3">
      <c r="B986" s="24"/>
      <c r="C986" s="37"/>
      <c r="D986" s="37"/>
      <c r="E986" s="37"/>
      <c r="F986" s="35"/>
      <c r="G986" s="35"/>
      <c r="H986" s="35"/>
      <c r="I986" s="35"/>
      <c r="J986" s="35"/>
      <c r="K986" s="35"/>
      <c r="L986" s="35"/>
      <c r="M986" s="31"/>
      <c r="N986" s="32"/>
      <c r="O986" s="32"/>
      <c r="P986" s="32"/>
      <c r="Q986" s="32"/>
      <c r="R986" s="32"/>
      <c r="S986" s="32"/>
      <c r="T986" s="32"/>
      <c r="U986" s="29"/>
      <c r="V986" s="29"/>
      <c r="W986" s="24"/>
      <c r="X986" s="18"/>
      <c r="Y986" s="18"/>
      <c r="Z986" s="18"/>
      <c r="AA986" s="18"/>
      <c r="AB986" s="18"/>
      <c r="AC986" s="18"/>
      <c r="AD986" s="18"/>
      <c r="AE986" s="19"/>
      <c r="AF986" s="20"/>
      <c r="AG986" s="21"/>
      <c r="AH986" s="21"/>
      <c r="AI986" s="19"/>
      <c r="AJ986" s="29"/>
      <c r="AK986" s="29"/>
      <c r="AL986" s="29"/>
    </row>
    <row r="987" spans="2:38" s="28" customFormat="1" x14ac:dyDescent="0.3">
      <c r="B987" s="24"/>
      <c r="C987" s="37"/>
      <c r="D987" s="37"/>
      <c r="E987" s="37"/>
      <c r="F987" s="35"/>
      <c r="G987" s="35"/>
      <c r="H987" s="35"/>
      <c r="I987" s="35"/>
      <c r="J987" s="35"/>
      <c r="K987" s="35"/>
      <c r="L987" s="35"/>
      <c r="M987" s="31"/>
      <c r="N987" s="32"/>
      <c r="O987" s="32"/>
      <c r="P987" s="32"/>
      <c r="Q987" s="32"/>
      <c r="R987" s="32"/>
      <c r="S987" s="32"/>
      <c r="T987" s="32"/>
      <c r="U987" s="29"/>
      <c r="V987" s="29"/>
      <c r="W987" s="24"/>
      <c r="X987" s="18"/>
      <c r="Y987" s="18"/>
      <c r="Z987" s="18"/>
      <c r="AA987" s="18"/>
      <c r="AB987" s="18"/>
      <c r="AC987" s="18"/>
      <c r="AD987" s="18"/>
      <c r="AE987" s="19"/>
      <c r="AF987" s="20"/>
      <c r="AG987" s="21"/>
      <c r="AH987" s="21"/>
      <c r="AI987" s="19"/>
      <c r="AJ987" s="29"/>
      <c r="AK987" s="29"/>
      <c r="AL987" s="29"/>
    </row>
    <row r="988" spans="2:38" s="28" customFormat="1" x14ac:dyDescent="0.3">
      <c r="B988" s="24"/>
      <c r="C988" s="37"/>
      <c r="D988" s="37"/>
      <c r="E988" s="37"/>
      <c r="F988" s="35"/>
      <c r="G988" s="35"/>
      <c r="H988" s="35"/>
      <c r="I988" s="35"/>
      <c r="J988" s="35"/>
      <c r="K988" s="35"/>
      <c r="L988" s="35"/>
      <c r="M988" s="31"/>
      <c r="N988" s="32"/>
      <c r="O988" s="32"/>
      <c r="P988" s="32"/>
      <c r="Q988" s="32"/>
      <c r="R988" s="32"/>
      <c r="S988" s="32"/>
      <c r="T988" s="32"/>
      <c r="U988" s="29"/>
      <c r="V988" s="29"/>
      <c r="W988" s="24"/>
      <c r="X988" s="18"/>
      <c r="Y988" s="18"/>
      <c r="Z988" s="18"/>
      <c r="AA988" s="18"/>
      <c r="AB988" s="18"/>
      <c r="AC988" s="18"/>
      <c r="AD988" s="18"/>
      <c r="AE988" s="19"/>
      <c r="AF988" s="20"/>
      <c r="AG988" s="21"/>
      <c r="AH988" s="21"/>
      <c r="AI988" s="19"/>
      <c r="AJ988" s="29"/>
      <c r="AK988" s="29"/>
      <c r="AL988" s="29"/>
    </row>
    <row r="989" spans="2:38" s="28" customFormat="1" x14ac:dyDescent="0.3">
      <c r="B989" s="24"/>
      <c r="C989" s="37"/>
      <c r="D989" s="37"/>
      <c r="E989" s="37"/>
      <c r="F989" s="35"/>
      <c r="G989" s="35"/>
      <c r="H989" s="35"/>
      <c r="I989" s="35"/>
      <c r="J989" s="35"/>
      <c r="K989" s="35"/>
      <c r="L989" s="35"/>
      <c r="M989" s="31"/>
      <c r="N989" s="32"/>
      <c r="O989" s="32"/>
      <c r="P989" s="32"/>
      <c r="Q989" s="32"/>
      <c r="R989" s="32"/>
      <c r="S989" s="32"/>
      <c r="T989" s="32"/>
      <c r="U989" s="29"/>
      <c r="V989" s="29"/>
      <c r="W989" s="24"/>
      <c r="X989" s="18"/>
      <c r="Y989" s="18"/>
      <c r="Z989" s="18"/>
      <c r="AA989" s="18"/>
      <c r="AB989" s="18"/>
      <c r="AC989" s="18"/>
      <c r="AD989" s="18"/>
      <c r="AE989" s="19"/>
      <c r="AF989" s="20"/>
      <c r="AG989" s="21"/>
      <c r="AH989" s="21"/>
      <c r="AI989" s="19"/>
      <c r="AJ989" s="29"/>
      <c r="AK989" s="29"/>
      <c r="AL989" s="29"/>
    </row>
    <row r="990" spans="2:38" s="28" customFormat="1" x14ac:dyDescent="0.3">
      <c r="B990" s="24"/>
      <c r="C990" s="37"/>
      <c r="D990" s="37"/>
      <c r="E990" s="37"/>
      <c r="F990" s="35"/>
      <c r="G990" s="35"/>
      <c r="H990" s="35"/>
      <c r="I990" s="35"/>
      <c r="J990" s="35"/>
      <c r="K990" s="35"/>
      <c r="L990" s="35"/>
      <c r="M990" s="31"/>
      <c r="N990" s="32"/>
      <c r="O990" s="32"/>
      <c r="P990" s="32"/>
      <c r="Q990" s="32"/>
      <c r="R990" s="32"/>
      <c r="S990" s="32"/>
      <c r="T990" s="32"/>
      <c r="U990" s="29"/>
      <c r="V990" s="29"/>
      <c r="W990" s="24"/>
      <c r="X990" s="18"/>
      <c r="Y990" s="18"/>
      <c r="Z990" s="18"/>
      <c r="AA990" s="18"/>
      <c r="AB990" s="18"/>
      <c r="AC990" s="18"/>
      <c r="AD990" s="18"/>
      <c r="AE990" s="19"/>
      <c r="AF990" s="20"/>
      <c r="AG990" s="21"/>
      <c r="AH990" s="21"/>
      <c r="AI990" s="19"/>
      <c r="AJ990" s="29"/>
      <c r="AK990" s="29"/>
      <c r="AL990" s="29"/>
    </row>
    <row r="991" spans="2:38" s="28" customFormat="1" x14ac:dyDescent="0.3">
      <c r="B991" s="24"/>
      <c r="C991" s="37"/>
      <c r="D991" s="37"/>
      <c r="E991" s="37"/>
      <c r="F991" s="35"/>
      <c r="G991" s="35"/>
      <c r="H991" s="35"/>
      <c r="I991" s="35"/>
      <c r="J991" s="35"/>
      <c r="K991" s="35"/>
      <c r="L991" s="35"/>
      <c r="M991" s="31"/>
      <c r="N991" s="32"/>
      <c r="O991" s="32"/>
      <c r="P991" s="32"/>
      <c r="Q991" s="32"/>
      <c r="R991" s="32"/>
      <c r="S991" s="32"/>
      <c r="T991" s="32"/>
      <c r="U991" s="29"/>
      <c r="V991" s="29"/>
      <c r="W991" s="24"/>
      <c r="X991" s="18"/>
      <c r="Y991" s="18"/>
      <c r="Z991" s="18"/>
      <c r="AA991" s="18"/>
      <c r="AB991" s="18"/>
      <c r="AC991" s="18"/>
      <c r="AD991" s="18"/>
      <c r="AE991" s="19"/>
      <c r="AF991" s="20"/>
      <c r="AG991" s="21"/>
      <c r="AH991" s="21"/>
      <c r="AI991" s="19"/>
      <c r="AJ991" s="29"/>
      <c r="AK991" s="29"/>
      <c r="AL991" s="29"/>
    </row>
    <row r="992" spans="2:38" s="28" customFormat="1" x14ac:dyDescent="0.3">
      <c r="B992" s="24"/>
      <c r="C992" s="37"/>
      <c r="D992" s="37"/>
      <c r="E992" s="37"/>
      <c r="F992" s="35"/>
      <c r="G992" s="35"/>
      <c r="H992" s="35"/>
      <c r="I992" s="35"/>
      <c r="J992" s="35"/>
      <c r="K992" s="35"/>
      <c r="L992" s="35"/>
      <c r="M992" s="31"/>
      <c r="N992" s="32"/>
      <c r="O992" s="32"/>
      <c r="P992" s="32"/>
      <c r="Q992" s="32"/>
      <c r="R992" s="32"/>
      <c r="S992" s="32"/>
      <c r="T992" s="32"/>
      <c r="U992" s="29"/>
      <c r="V992" s="29"/>
      <c r="W992" s="24"/>
      <c r="X992" s="18"/>
      <c r="Y992" s="18"/>
      <c r="Z992" s="18"/>
      <c r="AA992" s="18"/>
      <c r="AB992" s="18"/>
      <c r="AC992" s="18"/>
      <c r="AD992" s="18"/>
      <c r="AE992" s="19"/>
      <c r="AF992" s="20"/>
      <c r="AG992" s="21"/>
      <c r="AH992" s="21"/>
      <c r="AI992" s="19"/>
      <c r="AJ992" s="29"/>
      <c r="AK992" s="29"/>
      <c r="AL992" s="29"/>
    </row>
    <row r="993" spans="2:38" s="28" customFormat="1" x14ac:dyDescent="0.3">
      <c r="B993" s="24"/>
      <c r="C993" s="37"/>
      <c r="D993" s="37"/>
      <c r="E993" s="37"/>
      <c r="F993" s="35"/>
      <c r="G993" s="35"/>
      <c r="H993" s="35"/>
      <c r="I993" s="35"/>
      <c r="J993" s="35"/>
      <c r="K993" s="35"/>
      <c r="L993" s="35"/>
      <c r="M993" s="31"/>
      <c r="N993" s="32"/>
      <c r="O993" s="32"/>
      <c r="P993" s="32"/>
      <c r="Q993" s="32"/>
      <c r="R993" s="32"/>
      <c r="S993" s="32"/>
      <c r="T993" s="32"/>
      <c r="U993" s="29"/>
      <c r="V993" s="29"/>
      <c r="W993" s="24"/>
      <c r="X993" s="18"/>
      <c r="Y993" s="18"/>
      <c r="Z993" s="18"/>
      <c r="AA993" s="18"/>
      <c r="AB993" s="18"/>
      <c r="AC993" s="18"/>
      <c r="AD993" s="18"/>
      <c r="AE993" s="19"/>
      <c r="AF993" s="20"/>
      <c r="AG993" s="21"/>
      <c r="AH993" s="21"/>
      <c r="AI993" s="19"/>
      <c r="AJ993" s="29"/>
      <c r="AK993" s="29"/>
      <c r="AL993" s="29"/>
    </row>
    <row r="994" spans="2:38" s="28" customFormat="1" x14ac:dyDescent="0.3">
      <c r="B994" s="24"/>
      <c r="C994" s="37"/>
      <c r="D994" s="37"/>
      <c r="E994" s="37"/>
      <c r="F994" s="35"/>
      <c r="G994" s="35"/>
      <c r="H994" s="35"/>
      <c r="I994" s="35"/>
      <c r="J994" s="35"/>
      <c r="K994" s="35"/>
      <c r="L994" s="35"/>
      <c r="M994" s="31"/>
      <c r="N994" s="32"/>
      <c r="O994" s="32"/>
      <c r="P994" s="32"/>
      <c r="Q994" s="32"/>
      <c r="R994" s="32"/>
      <c r="S994" s="32"/>
      <c r="T994" s="32"/>
      <c r="U994" s="29"/>
      <c r="V994" s="29"/>
      <c r="W994" s="24"/>
      <c r="X994" s="18"/>
      <c r="Y994" s="18"/>
      <c r="Z994" s="18"/>
      <c r="AA994" s="18"/>
      <c r="AB994" s="18"/>
      <c r="AC994" s="18"/>
      <c r="AD994" s="18"/>
      <c r="AE994" s="19"/>
      <c r="AF994" s="20"/>
      <c r="AG994" s="21"/>
      <c r="AH994" s="21"/>
      <c r="AI994" s="19"/>
      <c r="AJ994" s="29"/>
      <c r="AK994" s="29"/>
      <c r="AL994" s="29"/>
    </row>
    <row r="995" spans="2:38" s="28" customFormat="1" x14ac:dyDescent="0.3">
      <c r="B995" s="24"/>
      <c r="C995" s="37"/>
      <c r="D995" s="37"/>
      <c r="E995" s="37"/>
      <c r="F995" s="35"/>
      <c r="G995" s="35"/>
      <c r="H995" s="35"/>
      <c r="I995" s="35"/>
      <c r="J995" s="35"/>
      <c r="K995" s="35"/>
      <c r="L995" s="35"/>
      <c r="M995" s="31"/>
      <c r="N995" s="32"/>
      <c r="O995" s="32"/>
      <c r="P995" s="32"/>
      <c r="Q995" s="32"/>
      <c r="R995" s="32"/>
      <c r="S995" s="32"/>
      <c r="T995" s="32"/>
      <c r="U995" s="29"/>
      <c r="V995" s="29"/>
      <c r="W995" s="24"/>
      <c r="X995" s="18"/>
      <c r="Y995" s="18"/>
      <c r="Z995" s="18"/>
      <c r="AA995" s="18"/>
      <c r="AB995" s="18"/>
      <c r="AC995" s="18"/>
      <c r="AD995" s="18"/>
      <c r="AE995" s="19"/>
      <c r="AF995" s="20"/>
      <c r="AG995" s="21"/>
      <c r="AH995" s="21"/>
      <c r="AI995" s="19"/>
      <c r="AJ995" s="29"/>
      <c r="AK995" s="29"/>
      <c r="AL995" s="29"/>
    </row>
    <row r="996" spans="2:38" s="28" customFormat="1" x14ac:dyDescent="0.3">
      <c r="B996" s="24"/>
      <c r="C996" s="37"/>
      <c r="D996" s="37"/>
      <c r="E996" s="37"/>
      <c r="F996" s="35"/>
      <c r="G996" s="35"/>
      <c r="H996" s="35"/>
      <c r="I996" s="35"/>
      <c r="J996" s="35"/>
      <c r="K996" s="35"/>
      <c r="L996" s="35"/>
      <c r="M996" s="31"/>
      <c r="N996" s="32"/>
      <c r="O996" s="32"/>
      <c r="P996" s="32"/>
      <c r="Q996" s="32"/>
      <c r="R996" s="32"/>
      <c r="S996" s="32"/>
      <c r="T996" s="32"/>
      <c r="U996" s="29"/>
      <c r="V996" s="29"/>
      <c r="W996" s="24"/>
      <c r="X996" s="18"/>
      <c r="Y996" s="18"/>
      <c r="Z996" s="18"/>
      <c r="AA996" s="18"/>
      <c r="AB996" s="18"/>
      <c r="AC996" s="18"/>
      <c r="AD996" s="18"/>
      <c r="AE996" s="19"/>
      <c r="AF996" s="20"/>
      <c r="AG996" s="21"/>
      <c r="AH996" s="21"/>
      <c r="AI996" s="19"/>
      <c r="AJ996" s="29"/>
      <c r="AK996" s="29"/>
      <c r="AL996" s="29"/>
    </row>
    <row r="997" spans="2:38" s="28" customFormat="1" x14ac:dyDescent="0.3">
      <c r="B997" s="24"/>
      <c r="C997" s="37"/>
      <c r="D997" s="37"/>
      <c r="E997" s="37"/>
      <c r="F997" s="35"/>
      <c r="G997" s="35"/>
      <c r="H997" s="35"/>
      <c r="I997" s="35"/>
      <c r="J997" s="35"/>
      <c r="K997" s="35"/>
      <c r="L997" s="35"/>
      <c r="M997" s="31"/>
      <c r="N997" s="32"/>
      <c r="O997" s="32"/>
      <c r="P997" s="32"/>
      <c r="Q997" s="32"/>
      <c r="R997" s="32"/>
      <c r="S997" s="32"/>
      <c r="T997" s="32"/>
      <c r="U997" s="29"/>
      <c r="V997" s="29"/>
      <c r="W997" s="24"/>
      <c r="X997" s="18"/>
      <c r="Y997" s="18"/>
      <c r="Z997" s="18"/>
      <c r="AA997" s="18"/>
      <c r="AB997" s="18"/>
      <c r="AC997" s="18"/>
      <c r="AD997" s="18"/>
      <c r="AE997" s="19"/>
      <c r="AF997" s="20"/>
      <c r="AG997" s="21"/>
      <c r="AH997" s="21"/>
      <c r="AI997" s="19"/>
      <c r="AJ997" s="29"/>
      <c r="AK997" s="29"/>
      <c r="AL997" s="29"/>
    </row>
    <row r="998" spans="2:38" s="28" customFormat="1" x14ac:dyDescent="0.3">
      <c r="B998" s="24"/>
      <c r="C998" s="37"/>
      <c r="D998" s="37"/>
      <c r="E998" s="37"/>
      <c r="F998" s="35"/>
      <c r="G998" s="35"/>
      <c r="H998" s="35"/>
      <c r="I998" s="35"/>
      <c r="J998" s="35"/>
      <c r="K998" s="35"/>
      <c r="L998" s="35"/>
      <c r="M998" s="31"/>
      <c r="N998" s="32"/>
      <c r="O998" s="32"/>
      <c r="P998" s="32"/>
      <c r="Q998" s="32"/>
      <c r="R998" s="32"/>
      <c r="S998" s="32"/>
      <c r="T998" s="32"/>
      <c r="U998" s="29"/>
      <c r="V998" s="29"/>
      <c r="W998" s="24"/>
      <c r="X998" s="18"/>
      <c r="Y998" s="18"/>
      <c r="Z998" s="18"/>
      <c r="AA998" s="18"/>
      <c r="AB998" s="18"/>
      <c r="AC998" s="18"/>
      <c r="AD998" s="18"/>
      <c r="AE998" s="19"/>
      <c r="AF998" s="20"/>
      <c r="AG998" s="21"/>
      <c r="AH998" s="21"/>
      <c r="AI998" s="19"/>
      <c r="AJ998" s="29"/>
      <c r="AK998" s="29"/>
      <c r="AL998" s="29"/>
    </row>
    <row r="999" spans="2:38" s="28" customFormat="1" x14ac:dyDescent="0.3">
      <c r="B999" s="24"/>
      <c r="C999" s="37"/>
      <c r="D999" s="37"/>
      <c r="E999" s="37"/>
      <c r="F999" s="35"/>
      <c r="G999" s="35"/>
      <c r="H999" s="35"/>
      <c r="I999" s="35"/>
      <c r="J999" s="35"/>
      <c r="K999" s="35"/>
      <c r="L999" s="35"/>
      <c r="M999" s="31"/>
      <c r="N999" s="32"/>
      <c r="O999" s="32"/>
      <c r="P999" s="32"/>
      <c r="Q999" s="32"/>
      <c r="R999" s="32"/>
      <c r="S999" s="32"/>
      <c r="T999" s="32"/>
      <c r="U999" s="29"/>
      <c r="V999" s="29"/>
      <c r="W999" s="24"/>
      <c r="X999" s="18"/>
      <c r="Y999" s="18"/>
      <c r="Z999" s="18"/>
      <c r="AA999" s="18"/>
      <c r="AB999" s="18"/>
      <c r="AC999" s="18"/>
      <c r="AD999" s="18"/>
      <c r="AE999" s="19"/>
      <c r="AF999" s="20"/>
      <c r="AG999" s="21"/>
      <c r="AH999" s="21"/>
      <c r="AI999" s="19"/>
      <c r="AJ999" s="29"/>
      <c r="AK999" s="29"/>
      <c r="AL999" s="29"/>
    </row>
    <row r="1000" spans="2:38" s="28" customFormat="1" x14ac:dyDescent="0.3">
      <c r="B1000" s="24"/>
      <c r="C1000" s="37"/>
      <c r="D1000" s="37"/>
      <c r="E1000" s="37"/>
      <c r="F1000" s="35"/>
      <c r="G1000" s="35"/>
      <c r="H1000" s="35"/>
      <c r="I1000" s="35"/>
      <c r="J1000" s="35"/>
      <c r="K1000" s="35"/>
      <c r="L1000" s="35"/>
      <c r="M1000" s="31"/>
      <c r="N1000" s="32"/>
      <c r="O1000" s="32"/>
      <c r="P1000" s="32"/>
      <c r="Q1000" s="32"/>
      <c r="R1000" s="32"/>
      <c r="S1000" s="32"/>
      <c r="T1000" s="32"/>
      <c r="U1000" s="29"/>
      <c r="V1000" s="29"/>
      <c r="W1000" s="24"/>
      <c r="X1000" s="18"/>
      <c r="Y1000" s="18"/>
      <c r="Z1000" s="18"/>
      <c r="AA1000" s="18"/>
      <c r="AB1000" s="18"/>
      <c r="AC1000" s="18"/>
      <c r="AD1000" s="18"/>
      <c r="AE1000" s="19"/>
      <c r="AF1000" s="20"/>
      <c r="AG1000" s="21"/>
      <c r="AH1000" s="21"/>
      <c r="AI1000" s="19"/>
      <c r="AJ1000" s="29"/>
      <c r="AK1000" s="29"/>
      <c r="AL1000" s="29"/>
    </row>
    <row r="1001" spans="2:38" s="28" customFormat="1" x14ac:dyDescent="0.3">
      <c r="B1001" s="24"/>
      <c r="C1001" s="37"/>
      <c r="D1001" s="37"/>
      <c r="E1001" s="37"/>
      <c r="F1001" s="35"/>
      <c r="G1001" s="35"/>
      <c r="H1001" s="35"/>
      <c r="I1001" s="35"/>
      <c r="J1001" s="35"/>
      <c r="K1001" s="35"/>
      <c r="L1001" s="35"/>
      <c r="M1001" s="31"/>
      <c r="N1001" s="32"/>
      <c r="O1001" s="32"/>
      <c r="P1001" s="32"/>
      <c r="Q1001" s="32"/>
      <c r="R1001" s="32"/>
      <c r="S1001" s="32"/>
      <c r="T1001" s="32"/>
      <c r="U1001" s="29"/>
      <c r="V1001" s="29"/>
      <c r="W1001" s="24"/>
      <c r="X1001" s="18"/>
      <c r="Y1001" s="18"/>
      <c r="Z1001" s="18"/>
      <c r="AA1001" s="18"/>
      <c r="AB1001" s="18"/>
      <c r="AC1001" s="18"/>
      <c r="AD1001" s="18"/>
      <c r="AE1001" s="19"/>
      <c r="AF1001" s="20"/>
      <c r="AG1001" s="21"/>
      <c r="AH1001" s="21"/>
      <c r="AI1001" s="19"/>
      <c r="AJ1001" s="29"/>
      <c r="AK1001" s="29"/>
      <c r="AL1001" s="29"/>
    </row>
    <row r="1002" spans="2:38" s="28" customFormat="1" x14ac:dyDescent="0.3">
      <c r="B1002" s="24"/>
      <c r="C1002" s="37"/>
      <c r="D1002" s="37"/>
      <c r="E1002" s="37"/>
      <c r="F1002" s="35"/>
      <c r="G1002" s="35"/>
      <c r="H1002" s="35"/>
      <c r="I1002" s="35"/>
      <c r="J1002" s="35"/>
      <c r="K1002" s="35"/>
      <c r="L1002" s="35"/>
      <c r="M1002" s="31"/>
      <c r="N1002" s="32"/>
      <c r="O1002" s="32"/>
      <c r="P1002" s="32"/>
      <c r="Q1002" s="32"/>
      <c r="R1002" s="32"/>
      <c r="S1002" s="32"/>
      <c r="T1002" s="32"/>
      <c r="U1002" s="29"/>
      <c r="V1002" s="29"/>
      <c r="W1002" s="24"/>
      <c r="X1002" s="18"/>
      <c r="Y1002" s="18"/>
      <c r="Z1002" s="18"/>
      <c r="AA1002" s="18"/>
      <c r="AB1002" s="18"/>
      <c r="AC1002" s="18"/>
      <c r="AD1002" s="18"/>
      <c r="AE1002" s="19"/>
      <c r="AF1002" s="20"/>
      <c r="AG1002" s="21"/>
      <c r="AH1002" s="21"/>
      <c r="AI1002" s="19"/>
      <c r="AJ1002" s="29"/>
      <c r="AK1002" s="29"/>
      <c r="AL1002" s="29"/>
    </row>
    <row r="1003" spans="2:38" s="28" customFormat="1" x14ac:dyDescent="0.3">
      <c r="B1003" s="24"/>
      <c r="C1003" s="37"/>
      <c r="D1003" s="37"/>
      <c r="E1003" s="37"/>
      <c r="F1003" s="35"/>
      <c r="G1003" s="35"/>
      <c r="H1003" s="35"/>
      <c r="I1003" s="35"/>
      <c r="J1003" s="35"/>
      <c r="K1003" s="35"/>
      <c r="L1003" s="35"/>
      <c r="M1003" s="31"/>
      <c r="N1003" s="32"/>
      <c r="O1003" s="32"/>
      <c r="P1003" s="32"/>
      <c r="Q1003" s="32"/>
      <c r="R1003" s="32"/>
      <c r="S1003" s="32"/>
      <c r="T1003" s="32"/>
      <c r="U1003" s="29"/>
      <c r="V1003" s="29"/>
      <c r="W1003" s="24"/>
      <c r="X1003" s="18"/>
      <c r="Y1003" s="18"/>
      <c r="Z1003" s="18"/>
      <c r="AA1003" s="18"/>
      <c r="AB1003" s="18"/>
      <c r="AC1003" s="18"/>
      <c r="AD1003" s="18"/>
      <c r="AE1003" s="19"/>
      <c r="AF1003" s="20"/>
      <c r="AG1003" s="21"/>
      <c r="AH1003" s="21"/>
      <c r="AI1003" s="19"/>
      <c r="AJ1003" s="29"/>
      <c r="AK1003" s="29"/>
      <c r="AL1003" s="29"/>
    </row>
    <row r="1004" spans="2:38" s="28" customFormat="1" x14ac:dyDescent="0.3">
      <c r="B1004" s="24"/>
      <c r="C1004" s="37"/>
      <c r="D1004" s="37"/>
      <c r="E1004" s="37"/>
      <c r="F1004" s="35"/>
      <c r="G1004" s="35"/>
      <c r="H1004" s="35"/>
      <c r="I1004" s="35"/>
      <c r="J1004" s="35"/>
      <c r="K1004" s="35"/>
      <c r="L1004" s="35"/>
      <c r="M1004" s="31"/>
      <c r="N1004" s="32"/>
      <c r="O1004" s="32"/>
      <c r="P1004" s="32"/>
      <c r="Q1004" s="32"/>
      <c r="R1004" s="32"/>
      <c r="S1004" s="32"/>
      <c r="T1004" s="32"/>
      <c r="U1004" s="29"/>
      <c r="V1004" s="29"/>
      <c r="W1004" s="24"/>
      <c r="X1004" s="18"/>
      <c r="Y1004" s="18"/>
      <c r="Z1004" s="18"/>
      <c r="AA1004" s="18"/>
      <c r="AB1004" s="18"/>
      <c r="AC1004" s="18"/>
      <c r="AD1004" s="18"/>
      <c r="AE1004" s="19"/>
      <c r="AF1004" s="20"/>
      <c r="AG1004" s="21"/>
      <c r="AH1004" s="21"/>
      <c r="AI1004" s="19"/>
      <c r="AJ1004" s="29"/>
      <c r="AK1004" s="29"/>
      <c r="AL1004" s="29"/>
    </row>
    <row r="1005" spans="2:38" s="28" customFormat="1" x14ac:dyDescent="0.3">
      <c r="B1005" s="24"/>
      <c r="C1005" s="37"/>
      <c r="D1005" s="37"/>
      <c r="E1005" s="37"/>
      <c r="F1005" s="35"/>
      <c r="G1005" s="35"/>
      <c r="H1005" s="35"/>
      <c r="I1005" s="35"/>
      <c r="J1005" s="35"/>
      <c r="K1005" s="35"/>
      <c r="L1005" s="35"/>
      <c r="M1005" s="31"/>
      <c r="N1005" s="32"/>
      <c r="O1005" s="32"/>
      <c r="P1005" s="32"/>
      <c r="Q1005" s="32"/>
      <c r="R1005" s="32"/>
      <c r="S1005" s="32"/>
      <c r="T1005" s="32"/>
      <c r="U1005" s="29"/>
      <c r="V1005" s="29"/>
      <c r="W1005" s="24"/>
      <c r="X1005" s="18"/>
      <c r="Y1005" s="18"/>
      <c r="Z1005" s="18"/>
      <c r="AA1005" s="18"/>
      <c r="AB1005" s="18"/>
      <c r="AC1005" s="18"/>
      <c r="AD1005" s="18"/>
      <c r="AE1005" s="19"/>
      <c r="AF1005" s="20"/>
      <c r="AG1005" s="21"/>
      <c r="AH1005" s="21"/>
      <c r="AI1005" s="19"/>
      <c r="AJ1005" s="29"/>
      <c r="AK1005" s="29"/>
      <c r="AL1005" s="29"/>
    </row>
    <row r="1006" spans="2:38" s="28" customFormat="1" x14ac:dyDescent="0.3">
      <c r="B1006" s="24"/>
      <c r="C1006" s="37"/>
      <c r="D1006" s="37"/>
      <c r="E1006" s="37"/>
      <c r="F1006" s="35"/>
      <c r="G1006" s="35"/>
      <c r="H1006" s="35"/>
      <c r="I1006" s="35"/>
      <c r="J1006" s="35"/>
      <c r="K1006" s="35"/>
      <c r="L1006" s="35"/>
      <c r="M1006" s="31"/>
      <c r="N1006" s="32"/>
      <c r="O1006" s="32"/>
      <c r="P1006" s="32"/>
      <c r="Q1006" s="32"/>
      <c r="R1006" s="32"/>
      <c r="S1006" s="32"/>
      <c r="T1006" s="32"/>
      <c r="U1006" s="29"/>
      <c r="V1006" s="29"/>
      <c r="W1006" s="24"/>
      <c r="X1006" s="18"/>
      <c r="Y1006" s="18"/>
      <c r="Z1006" s="18"/>
      <c r="AA1006" s="18"/>
      <c r="AB1006" s="18"/>
      <c r="AC1006" s="18"/>
      <c r="AD1006" s="18"/>
      <c r="AE1006" s="19"/>
      <c r="AF1006" s="20"/>
      <c r="AG1006" s="21"/>
      <c r="AH1006" s="21"/>
      <c r="AI1006" s="19"/>
      <c r="AJ1006" s="29"/>
      <c r="AK1006" s="29"/>
      <c r="AL1006" s="29"/>
    </row>
    <row r="1007" spans="2:38" s="28" customFormat="1" x14ac:dyDescent="0.3">
      <c r="B1007" s="24"/>
      <c r="C1007" s="37"/>
      <c r="D1007" s="37"/>
      <c r="E1007" s="37"/>
      <c r="F1007" s="35"/>
      <c r="G1007" s="35"/>
      <c r="H1007" s="35"/>
      <c r="I1007" s="35"/>
      <c r="J1007" s="35"/>
      <c r="K1007" s="35"/>
      <c r="L1007" s="35"/>
      <c r="M1007" s="31"/>
      <c r="N1007" s="32"/>
      <c r="O1007" s="32"/>
      <c r="P1007" s="32"/>
      <c r="Q1007" s="32"/>
      <c r="R1007" s="32"/>
      <c r="S1007" s="32"/>
      <c r="T1007" s="32"/>
      <c r="U1007" s="29"/>
      <c r="V1007" s="29"/>
      <c r="W1007" s="24"/>
      <c r="X1007" s="18"/>
      <c r="Y1007" s="18"/>
      <c r="Z1007" s="18"/>
      <c r="AA1007" s="18"/>
      <c r="AB1007" s="18"/>
      <c r="AC1007" s="18"/>
      <c r="AD1007" s="18"/>
      <c r="AE1007" s="19"/>
      <c r="AF1007" s="20"/>
      <c r="AG1007" s="21"/>
      <c r="AH1007" s="21"/>
      <c r="AI1007" s="19"/>
      <c r="AJ1007" s="29"/>
      <c r="AK1007" s="29"/>
      <c r="AL1007" s="29"/>
    </row>
    <row r="1008" spans="2:38" s="28" customFormat="1" x14ac:dyDescent="0.3">
      <c r="B1008" s="24"/>
      <c r="C1008" s="37"/>
      <c r="D1008" s="37"/>
      <c r="E1008" s="37"/>
      <c r="F1008" s="35"/>
      <c r="G1008" s="35"/>
      <c r="H1008" s="35"/>
      <c r="I1008" s="35"/>
      <c r="J1008" s="35"/>
      <c r="K1008" s="35"/>
      <c r="L1008" s="35"/>
      <c r="M1008" s="31"/>
      <c r="N1008" s="32"/>
      <c r="O1008" s="32"/>
      <c r="P1008" s="32"/>
      <c r="Q1008" s="32"/>
      <c r="R1008" s="32"/>
      <c r="S1008" s="32"/>
      <c r="T1008" s="32"/>
      <c r="U1008" s="29"/>
      <c r="V1008" s="29"/>
      <c r="W1008" s="24"/>
      <c r="X1008" s="18"/>
      <c r="Y1008" s="18"/>
      <c r="Z1008" s="18"/>
      <c r="AA1008" s="18"/>
      <c r="AB1008" s="18"/>
      <c r="AC1008" s="18"/>
      <c r="AD1008" s="18"/>
      <c r="AE1008" s="19"/>
      <c r="AF1008" s="20"/>
      <c r="AG1008" s="21"/>
      <c r="AH1008" s="21"/>
      <c r="AI1008" s="19"/>
      <c r="AJ1008" s="29"/>
      <c r="AK1008" s="29"/>
      <c r="AL1008" s="29"/>
    </row>
    <row r="1009" spans="2:38" s="28" customFormat="1" x14ac:dyDescent="0.3">
      <c r="B1009" s="24"/>
      <c r="C1009" s="37"/>
      <c r="D1009" s="37"/>
      <c r="E1009" s="37"/>
      <c r="F1009" s="35"/>
      <c r="G1009" s="35"/>
      <c r="H1009" s="35"/>
      <c r="I1009" s="35"/>
      <c r="J1009" s="35"/>
      <c r="K1009" s="35"/>
      <c r="L1009" s="35"/>
      <c r="M1009" s="31"/>
      <c r="N1009" s="32"/>
      <c r="O1009" s="32"/>
      <c r="P1009" s="32"/>
      <c r="Q1009" s="32"/>
      <c r="R1009" s="32"/>
      <c r="S1009" s="32"/>
      <c r="T1009" s="32"/>
      <c r="U1009" s="29"/>
      <c r="V1009" s="29"/>
      <c r="W1009" s="24"/>
      <c r="X1009" s="18"/>
      <c r="Y1009" s="18"/>
      <c r="Z1009" s="18"/>
      <c r="AA1009" s="18"/>
      <c r="AB1009" s="18"/>
      <c r="AC1009" s="18"/>
      <c r="AD1009" s="18"/>
      <c r="AE1009" s="19"/>
      <c r="AF1009" s="20"/>
      <c r="AG1009" s="21"/>
      <c r="AH1009" s="21"/>
      <c r="AI1009" s="19"/>
      <c r="AJ1009" s="29"/>
      <c r="AK1009" s="29"/>
      <c r="AL1009" s="29"/>
    </row>
    <row r="1010" spans="2:38" s="28" customFormat="1" x14ac:dyDescent="0.3">
      <c r="B1010" s="24"/>
      <c r="C1010" s="37"/>
      <c r="D1010" s="37"/>
      <c r="E1010" s="37"/>
      <c r="F1010" s="35"/>
      <c r="G1010" s="35"/>
      <c r="H1010" s="35"/>
      <c r="I1010" s="35"/>
      <c r="J1010" s="35"/>
      <c r="K1010" s="35"/>
      <c r="L1010" s="35"/>
      <c r="M1010" s="31"/>
      <c r="N1010" s="32"/>
      <c r="O1010" s="32"/>
      <c r="P1010" s="32"/>
      <c r="Q1010" s="32"/>
      <c r="R1010" s="32"/>
      <c r="S1010" s="32"/>
      <c r="T1010" s="32"/>
      <c r="U1010" s="29"/>
      <c r="V1010" s="29"/>
      <c r="W1010" s="24"/>
      <c r="X1010" s="18"/>
      <c r="Y1010" s="18"/>
      <c r="Z1010" s="18"/>
      <c r="AA1010" s="18"/>
      <c r="AB1010" s="18"/>
      <c r="AC1010" s="18"/>
      <c r="AD1010" s="18"/>
      <c r="AE1010" s="19"/>
      <c r="AF1010" s="20"/>
      <c r="AG1010" s="21"/>
      <c r="AH1010" s="21"/>
      <c r="AI1010" s="19"/>
      <c r="AJ1010" s="29"/>
      <c r="AK1010" s="29"/>
      <c r="AL1010" s="29"/>
    </row>
    <row r="1011" spans="2:38" s="28" customFormat="1" x14ac:dyDescent="0.3">
      <c r="B1011" s="24"/>
      <c r="C1011" s="37"/>
      <c r="D1011" s="37"/>
      <c r="E1011" s="37"/>
      <c r="F1011" s="35"/>
      <c r="G1011" s="35"/>
      <c r="H1011" s="35"/>
      <c r="I1011" s="35"/>
      <c r="J1011" s="35"/>
      <c r="K1011" s="35"/>
      <c r="L1011" s="35"/>
      <c r="M1011" s="31"/>
      <c r="N1011" s="32"/>
      <c r="O1011" s="32"/>
      <c r="P1011" s="32"/>
      <c r="Q1011" s="32"/>
      <c r="R1011" s="32"/>
      <c r="S1011" s="32"/>
      <c r="T1011" s="32"/>
      <c r="U1011" s="29"/>
      <c r="V1011" s="29"/>
      <c r="W1011" s="24"/>
      <c r="X1011" s="18"/>
      <c r="Y1011" s="18"/>
      <c r="Z1011" s="18"/>
      <c r="AA1011" s="18"/>
      <c r="AB1011" s="18"/>
      <c r="AC1011" s="18"/>
      <c r="AD1011" s="18"/>
      <c r="AE1011" s="19"/>
      <c r="AF1011" s="20"/>
      <c r="AG1011" s="21"/>
      <c r="AH1011" s="21"/>
      <c r="AI1011" s="19"/>
      <c r="AJ1011" s="29"/>
      <c r="AK1011" s="29"/>
      <c r="AL1011" s="29"/>
    </row>
    <row r="1012" spans="2:38" s="28" customFormat="1" x14ac:dyDescent="0.3">
      <c r="B1012" s="24"/>
      <c r="C1012" s="37"/>
      <c r="D1012" s="37"/>
      <c r="E1012" s="37"/>
      <c r="F1012" s="35"/>
      <c r="G1012" s="35"/>
      <c r="H1012" s="35"/>
      <c r="I1012" s="35"/>
      <c r="J1012" s="35"/>
      <c r="K1012" s="35"/>
      <c r="L1012" s="35"/>
      <c r="M1012" s="31"/>
      <c r="N1012" s="32"/>
      <c r="O1012" s="32"/>
      <c r="P1012" s="32"/>
      <c r="Q1012" s="32"/>
      <c r="R1012" s="32"/>
      <c r="S1012" s="32"/>
      <c r="T1012" s="32"/>
      <c r="U1012" s="29"/>
      <c r="V1012" s="29"/>
      <c r="W1012" s="24"/>
      <c r="X1012" s="18"/>
      <c r="Y1012" s="18"/>
      <c r="Z1012" s="18"/>
      <c r="AA1012" s="18"/>
      <c r="AB1012" s="18"/>
      <c r="AC1012" s="18"/>
      <c r="AD1012" s="18"/>
      <c r="AE1012" s="19"/>
      <c r="AF1012" s="20"/>
      <c r="AG1012" s="21"/>
      <c r="AH1012" s="21"/>
      <c r="AI1012" s="19"/>
      <c r="AJ1012" s="29"/>
      <c r="AK1012" s="29"/>
      <c r="AL1012" s="29"/>
    </row>
    <row r="1013" spans="2:38" s="28" customFormat="1" x14ac:dyDescent="0.3">
      <c r="B1013" s="24"/>
      <c r="C1013" s="37"/>
      <c r="D1013" s="37"/>
      <c r="E1013" s="37"/>
      <c r="F1013" s="35"/>
      <c r="G1013" s="35"/>
      <c r="H1013" s="35"/>
      <c r="I1013" s="35"/>
      <c r="J1013" s="35"/>
      <c r="K1013" s="35"/>
      <c r="L1013" s="35"/>
      <c r="M1013" s="31"/>
      <c r="N1013" s="32"/>
      <c r="O1013" s="32"/>
      <c r="P1013" s="32"/>
      <c r="Q1013" s="32"/>
      <c r="R1013" s="32"/>
      <c r="S1013" s="32"/>
      <c r="T1013" s="32"/>
      <c r="U1013" s="29"/>
      <c r="V1013" s="29"/>
      <c r="W1013" s="24"/>
      <c r="X1013" s="18"/>
      <c r="Y1013" s="18"/>
      <c r="Z1013" s="18"/>
      <c r="AA1013" s="18"/>
      <c r="AB1013" s="18"/>
      <c r="AC1013" s="18"/>
      <c r="AD1013" s="18"/>
      <c r="AE1013" s="19"/>
      <c r="AF1013" s="20"/>
      <c r="AG1013" s="21"/>
      <c r="AH1013" s="21"/>
      <c r="AI1013" s="19"/>
      <c r="AJ1013" s="29"/>
      <c r="AK1013" s="29"/>
      <c r="AL1013" s="29"/>
    </row>
    <row r="1014" spans="2:38" s="28" customFormat="1" x14ac:dyDescent="0.3">
      <c r="B1014" s="24"/>
      <c r="C1014" s="37"/>
      <c r="D1014" s="37"/>
      <c r="E1014" s="37"/>
      <c r="F1014" s="35"/>
      <c r="G1014" s="35"/>
      <c r="H1014" s="35"/>
      <c r="I1014" s="35"/>
      <c r="J1014" s="35"/>
      <c r="K1014" s="35"/>
      <c r="L1014" s="35"/>
      <c r="M1014" s="31"/>
      <c r="N1014" s="32"/>
      <c r="O1014" s="32"/>
      <c r="P1014" s="32"/>
      <c r="Q1014" s="32"/>
      <c r="R1014" s="32"/>
      <c r="S1014" s="32"/>
      <c r="T1014" s="32"/>
      <c r="U1014" s="29"/>
      <c r="V1014" s="29"/>
      <c r="W1014" s="24"/>
      <c r="X1014" s="18"/>
      <c r="Y1014" s="18"/>
      <c r="Z1014" s="18"/>
      <c r="AA1014" s="18"/>
      <c r="AB1014" s="18"/>
      <c r="AC1014" s="18"/>
      <c r="AD1014" s="18"/>
      <c r="AE1014" s="19"/>
      <c r="AF1014" s="20"/>
      <c r="AG1014" s="21"/>
      <c r="AH1014" s="21"/>
      <c r="AI1014" s="19"/>
      <c r="AJ1014" s="29"/>
      <c r="AK1014" s="29"/>
      <c r="AL1014" s="29"/>
    </row>
    <row r="1015" spans="2:38" s="28" customFormat="1" x14ac:dyDescent="0.3">
      <c r="B1015" s="24"/>
      <c r="C1015" s="37"/>
      <c r="D1015" s="37"/>
      <c r="E1015" s="37"/>
      <c r="F1015" s="35"/>
      <c r="G1015" s="35"/>
      <c r="H1015" s="35"/>
      <c r="I1015" s="35"/>
      <c r="J1015" s="35"/>
      <c r="K1015" s="35"/>
      <c r="L1015" s="35"/>
      <c r="M1015" s="31"/>
      <c r="N1015" s="32"/>
      <c r="O1015" s="32"/>
      <c r="P1015" s="32"/>
      <c r="Q1015" s="32"/>
      <c r="R1015" s="32"/>
      <c r="S1015" s="32"/>
      <c r="T1015" s="32"/>
      <c r="U1015" s="29"/>
      <c r="V1015" s="29"/>
      <c r="W1015" s="24"/>
      <c r="X1015" s="18"/>
      <c r="Y1015" s="18"/>
      <c r="Z1015" s="18"/>
      <c r="AA1015" s="18"/>
      <c r="AB1015" s="18"/>
      <c r="AC1015" s="18"/>
      <c r="AD1015" s="18"/>
      <c r="AE1015" s="19"/>
      <c r="AF1015" s="20"/>
      <c r="AG1015" s="21"/>
      <c r="AH1015" s="21"/>
      <c r="AI1015" s="19"/>
      <c r="AJ1015" s="29"/>
      <c r="AK1015" s="29"/>
      <c r="AL1015" s="29"/>
    </row>
    <row r="1016" spans="2:38" s="28" customFormat="1" x14ac:dyDescent="0.3">
      <c r="B1016" s="24"/>
      <c r="C1016" s="37"/>
      <c r="D1016" s="37"/>
      <c r="E1016" s="37"/>
      <c r="F1016" s="35"/>
      <c r="G1016" s="35"/>
      <c r="H1016" s="35"/>
      <c r="I1016" s="35"/>
      <c r="J1016" s="35"/>
      <c r="K1016" s="35"/>
      <c r="L1016" s="35"/>
      <c r="M1016" s="31"/>
      <c r="N1016" s="32"/>
      <c r="O1016" s="32"/>
      <c r="P1016" s="32"/>
      <c r="Q1016" s="32"/>
      <c r="R1016" s="32"/>
      <c r="S1016" s="32"/>
      <c r="T1016" s="32"/>
      <c r="U1016" s="29"/>
      <c r="V1016" s="29"/>
      <c r="W1016" s="24"/>
      <c r="X1016" s="18"/>
      <c r="Y1016" s="18"/>
      <c r="Z1016" s="18"/>
      <c r="AA1016" s="18"/>
      <c r="AB1016" s="18"/>
      <c r="AC1016" s="18"/>
      <c r="AD1016" s="18"/>
      <c r="AE1016" s="19"/>
      <c r="AF1016" s="20"/>
      <c r="AG1016" s="21"/>
      <c r="AH1016" s="21"/>
      <c r="AI1016" s="19"/>
      <c r="AJ1016" s="29"/>
      <c r="AK1016" s="29"/>
      <c r="AL1016" s="29"/>
    </row>
    <row r="1017" spans="2:38" s="28" customFormat="1" x14ac:dyDescent="0.3">
      <c r="B1017" s="24"/>
      <c r="C1017" s="37"/>
      <c r="D1017" s="37"/>
      <c r="E1017" s="37"/>
      <c r="F1017" s="35"/>
      <c r="G1017" s="35"/>
      <c r="H1017" s="35"/>
      <c r="I1017" s="35"/>
      <c r="J1017" s="35"/>
      <c r="K1017" s="35"/>
      <c r="L1017" s="35"/>
      <c r="M1017" s="31"/>
      <c r="N1017" s="32"/>
      <c r="O1017" s="32"/>
      <c r="P1017" s="32"/>
      <c r="Q1017" s="32"/>
      <c r="R1017" s="32"/>
      <c r="S1017" s="32"/>
      <c r="T1017" s="32"/>
      <c r="U1017" s="29"/>
      <c r="V1017" s="29"/>
      <c r="W1017" s="24"/>
      <c r="X1017" s="18"/>
      <c r="Y1017" s="18"/>
      <c r="Z1017" s="18"/>
      <c r="AA1017" s="18"/>
      <c r="AB1017" s="18"/>
      <c r="AC1017" s="18"/>
      <c r="AD1017" s="18"/>
      <c r="AE1017" s="19"/>
      <c r="AF1017" s="20"/>
      <c r="AG1017" s="21"/>
      <c r="AH1017" s="21"/>
      <c r="AI1017" s="19"/>
      <c r="AJ1017" s="29"/>
      <c r="AK1017" s="29"/>
      <c r="AL1017" s="29"/>
    </row>
    <row r="1018" spans="2:38" s="28" customFormat="1" x14ac:dyDescent="0.3">
      <c r="B1018" s="24"/>
      <c r="C1018" s="37"/>
      <c r="D1018" s="37"/>
      <c r="E1018" s="37"/>
      <c r="F1018" s="35"/>
      <c r="G1018" s="35"/>
      <c r="H1018" s="35"/>
      <c r="I1018" s="35"/>
      <c r="J1018" s="35"/>
      <c r="K1018" s="35"/>
      <c r="L1018" s="35"/>
      <c r="M1018" s="31"/>
      <c r="N1018" s="32"/>
      <c r="O1018" s="32"/>
      <c r="P1018" s="32"/>
      <c r="Q1018" s="32"/>
      <c r="R1018" s="32"/>
      <c r="S1018" s="32"/>
      <c r="T1018" s="32"/>
      <c r="U1018" s="29"/>
      <c r="V1018" s="29"/>
      <c r="W1018" s="24"/>
      <c r="X1018" s="18"/>
      <c r="Y1018" s="18"/>
      <c r="Z1018" s="18"/>
      <c r="AA1018" s="18"/>
      <c r="AB1018" s="18"/>
      <c r="AC1018" s="18"/>
      <c r="AD1018" s="18"/>
      <c r="AE1018" s="19"/>
      <c r="AF1018" s="20"/>
      <c r="AG1018" s="21"/>
      <c r="AH1018" s="21"/>
      <c r="AI1018" s="19"/>
      <c r="AJ1018" s="29"/>
      <c r="AK1018" s="29"/>
      <c r="AL1018" s="29"/>
    </row>
    <row r="1019" spans="2:38" s="28" customFormat="1" x14ac:dyDescent="0.3">
      <c r="B1019" s="24"/>
      <c r="C1019" s="37"/>
      <c r="D1019" s="37"/>
      <c r="E1019" s="37"/>
      <c r="F1019" s="35"/>
      <c r="G1019" s="35"/>
      <c r="H1019" s="35"/>
      <c r="I1019" s="35"/>
      <c r="J1019" s="35"/>
      <c r="K1019" s="35"/>
      <c r="L1019" s="35"/>
      <c r="M1019" s="31"/>
      <c r="N1019" s="32"/>
      <c r="O1019" s="32"/>
      <c r="P1019" s="32"/>
      <c r="Q1019" s="32"/>
      <c r="R1019" s="32"/>
      <c r="S1019" s="32"/>
      <c r="T1019" s="32"/>
      <c r="U1019" s="29"/>
      <c r="V1019" s="29"/>
      <c r="W1019" s="24"/>
      <c r="X1019" s="18"/>
      <c r="Y1019" s="18"/>
      <c r="Z1019" s="18"/>
      <c r="AA1019" s="18"/>
      <c r="AB1019" s="18"/>
      <c r="AC1019" s="18"/>
      <c r="AD1019" s="18"/>
      <c r="AE1019" s="19"/>
      <c r="AF1019" s="20"/>
      <c r="AG1019" s="21"/>
      <c r="AH1019" s="21"/>
      <c r="AI1019" s="19"/>
      <c r="AJ1019" s="29"/>
      <c r="AK1019" s="29"/>
      <c r="AL1019" s="29"/>
    </row>
    <row r="1020" spans="2:38" s="28" customFormat="1" x14ac:dyDescent="0.3">
      <c r="B1020" s="24"/>
      <c r="C1020" s="37"/>
      <c r="D1020" s="37"/>
      <c r="E1020" s="37"/>
      <c r="F1020" s="35"/>
      <c r="G1020" s="35"/>
      <c r="H1020" s="35"/>
      <c r="I1020" s="35"/>
      <c r="J1020" s="35"/>
      <c r="K1020" s="35"/>
      <c r="L1020" s="35"/>
      <c r="M1020" s="31"/>
      <c r="N1020" s="32"/>
      <c r="O1020" s="32"/>
      <c r="P1020" s="32"/>
      <c r="Q1020" s="32"/>
      <c r="R1020" s="32"/>
      <c r="S1020" s="32"/>
      <c r="T1020" s="32"/>
      <c r="U1020" s="29"/>
      <c r="V1020" s="29"/>
      <c r="W1020" s="24"/>
      <c r="X1020" s="18"/>
      <c r="Y1020" s="18"/>
      <c r="Z1020" s="18"/>
      <c r="AA1020" s="18"/>
      <c r="AB1020" s="18"/>
      <c r="AC1020" s="18"/>
      <c r="AD1020" s="18"/>
      <c r="AE1020" s="19"/>
      <c r="AF1020" s="20"/>
      <c r="AG1020" s="21"/>
      <c r="AH1020" s="21"/>
      <c r="AI1020" s="19"/>
      <c r="AJ1020" s="29"/>
      <c r="AK1020" s="29"/>
      <c r="AL1020" s="29"/>
    </row>
    <row r="1021" spans="2:38" s="28" customFormat="1" x14ac:dyDescent="0.3">
      <c r="B1021" s="24"/>
      <c r="C1021" s="37"/>
      <c r="D1021" s="37"/>
      <c r="E1021" s="37"/>
      <c r="F1021" s="35"/>
      <c r="G1021" s="35"/>
      <c r="H1021" s="35"/>
      <c r="I1021" s="35"/>
      <c r="J1021" s="35"/>
      <c r="K1021" s="35"/>
      <c r="L1021" s="35"/>
      <c r="M1021" s="31"/>
      <c r="N1021" s="32"/>
      <c r="O1021" s="32"/>
      <c r="P1021" s="32"/>
      <c r="Q1021" s="32"/>
      <c r="R1021" s="32"/>
      <c r="S1021" s="32"/>
      <c r="T1021" s="32"/>
      <c r="U1021" s="29"/>
      <c r="V1021" s="29"/>
      <c r="W1021" s="24"/>
      <c r="X1021" s="18"/>
      <c r="Y1021" s="18"/>
      <c r="Z1021" s="18"/>
      <c r="AA1021" s="18"/>
      <c r="AB1021" s="18"/>
      <c r="AC1021" s="18"/>
      <c r="AD1021" s="18"/>
      <c r="AE1021" s="19"/>
      <c r="AF1021" s="20"/>
      <c r="AG1021" s="21"/>
      <c r="AH1021" s="21"/>
      <c r="AI1021" s="19"/>
      <c r="AJ1021" s="29"/>
      <c r="AK1021" s="29"/>
      <c r="AL1021" s="29"/>
    </row>
    <row r="1022" spans="2:38" s="28" customFormat="1" x14ac:dyDescent="0.3">
      <c r="B1022" s="24"/>
      <c r="C1022" s="37"/>
      <c r="D1022" s="37"/>
      <c r="E1022" s="37"/>
      <c r="F1022" s="35"/>
      <c r="G1022" s="35"/>
      <c r="H1022" s="35"/>
      <c r="I1022" s="35"/>
      <c r="J1022" s="35"/>
      <c r="K1022" s="35"/>
      <c r="L1022" s="35"/>
      <c r="M1022" s="31"/>
      <c r="N1022" s="32"/>
      <c r="O1022" s="32"/>
      <c r="P1022" s="32"/>
      <c r="Q1022" s="32"/>
      <c r="R1022" s="32"/>
      <c r="S1022" s="32"/>
      <c r="T1022" s="32"/>
      <c r="U1022" s="29"/>
      <c r="V1022" s="29"/>
      <c r="W1022" s="24"/>
      <c r="X1022" s="18"/>
      <c r="Y1022" s="18"/>
      <c r="Z1022" s="18"/>
      <c r="AA1022" s="18"/>
      <c r="AB1022" s="18"/>
      <c r="AC1022" s="18"/>
      <c r="AD1022" s="18"/>
      <c r="AE1022" s="19"/>
      <c r="AF1022" s="20"/>
      <c r="AG1022" s="21"/>
      <c r="AH1022" s="21"/>
      <c r="AI1022" s="19"/>
      <c r="AJ1022" s="29"/>
      <c r="AK1022" s="29"/>
      <c r="AL1022" s="29"/>
    </row>
    <row r="1023" spans="2:38" s="28" customFormat="1" x14ac:dyDescent="0.3">
      <c r="B1023" s="24"/>
      <c r="C1023" s="37"/>
      <c r="D1023" s="37"/>
      <c r="E1023" s="37"/>
      <c r="F1023" s="35"/>
      <c r="G1023" s="35"/>
      <c r="H1023" s="35"/>
      <c r="I1023" s="35"/>
      <c r="J1023" s="35"/>
      <c r="K1023" s="35"/>
      <c r="L1023" s="35"/>
      <c r="M1023" s="31"/>
      <c r="N1023" s="32"/>
      <c r="O1023" s="32"/>
      <c r="P1023" s="32"/>
      <c r="Q1023" s="32"/>
      <c r="R1023" s="32"/>
      <c r="S1023" s="32"/>
      <c r="T1023" s="32"/>
      <c r="U1023" s="29"/>
      <c r="V1023" s="29"/>
      <c r="W1023" s="24"/>
      <c r="X1023" s="18"/>
      <c r="Y1023" s="18"/>
      <c r="Z1023" s="18"/>
      <c r="AA1023" s="18"/>
      <c r="AB1023" s="18"/>
      <c r="AC1023" s="18"/>
      <c r="AD1023" s="18"/>
      <c r="AE1023" s="19"/>
      <c r="AF1023" s="20"/>
      <c r="AG1023" s="21"/>
      <c r="AH1023" s="21"/>
      <c r="AI1023" s="19"/>
      <c r="AJ1023" s="29"/>
      <c r="AK1023" s="29"/>
      <c r="AL1023" s="29"/>
    </row>
    <row r="1024" spans="2:38" s="28" customFormat="1" x14ac:dyDescent="0.3">
      <c r="B1024" s="24"/>
      <c r="C1024" s="37"/>
      <c r="D1024" s="37"/>
      <c r="E1024" s="37"/>
      <c r="F1024" s="35"/>
      <c r="G1024" s="35"/>
      <c r="H1024" s="35"/>
      <c r="I1024" s="35"/>
      <c r="J1024" s="35"/>
      <c r="K1024" s="35"/>
      <c r="L1024" s="35"/>
      <c r="M1024" s="31"/>
      <c r="N1024" s="32"/>
      <c r="O1024" s="32"/>
      <c r="P1024" s="32"/>
      <c r="Q1024" s="32"/>
      <c r="R1024" s="32"/>
      <c r="S1024" s="32"/>
      <c r="T1024" s="32"/>
      <c r="U1024" s="29"/>
      <c r="V1024" s="29"/>
      <c r="W1024" s="24"/>
      <c r="X1024" s="18"/>
      <c r="Y1024" s="18"/>
      <c r="Z1024" s="18"/>
      <c r="AA1024" s="18"/>
      <c r="AB1024" s="18"/>
      <c r="AC1024" s="18"/>
      <c r="AD1024" s="18"/>
      <c r="AE1024" s="19"/>
      <c r="AF1024" s="20"/>
      <c r="AG1024" s="21"/>
      <c r="AH1024" s="21"/>
      <c r="AI1024" s="19"/>
      <c r="AJ1024" s="29"/>
      <c r="AK1024" s="29"/>
      <c r="AL1024" s="29"/>
    </row>
    <row r="1025" spans="2:38" s="28" customFormat="1" x14ac:dyDescent="0.3">
      <c r="B1025" s="24"/>
      <c r="C1025" s="37"/>
      <c r="D1025" s="37"/>
      <c r="E1025" s="37"/>
      <c r="F1025" s="35"/>
      <c r="G1025" s="35"/>
      <c r="H1025" s="35"/>
      <c r="I1025" s="35"/>
      <c r="J1025" s="35"/>
      <c r="K1025" s="35"/>
      <c r="L1025" s="35"/>
      <c r="M1025" s="31"/>
      <c r="N1025" s="32"/>
      <c r="O1025" s="32"/>
      <c r="P1025" s="32"/>
      <c r="Q1025" s="32"/>
      <c r="R1025" s="32"/>
      <c r="S1025" s="32"/>
      <c r="T1025" s="32"/>
      <c r="U1025" s="29"/>
      <c r="V1025" s="29"/>
      <c r="W1025" s="24"/>
      <c r="X1025" s="18"/>
      <c r="Y1025" s="18"/>
      <c r="Z1025" s="18"/>
      <c r="AA1025" s="18"/>
      <c r="AB1025" s="18"/>
      <c r="AC1025" s="18"/>
      <c r="AD1025" s="18"/>
      <c r="AE1025" s="19"/>
      <c r="AF1025" s="20"/>
      <c r="AG1025" s="21"/>
      <c r="AH1025" s="21"/>
      <c r="AI1025" s="19"/>
      <c r="AJ1025" s="29"/>
      <c r="AK1025" s="29"/>
      <c r="AL1025" s="29"/>
    </row>
    <row r="1026" spans="2:38" s="28" customFormat="1" x14ac:dyDescent="0.3">
      <c r="B1026" s="24"/>
      <c r="C1026" s="37"/>
      <c r="D1026" s="37"/>
      <c r="E1026" s="37"/>
      <c r="F1026" s="35"/>
      <c r="G1026" s="35"/>
      <c r="H1026" s="35"/>
      <c r="I1026" s="35"/>
      <c r="J1026" s="35"/>
      <c r="K1026" s="35"/>
      <c r="L1026" s="35"/>
      <c r="M1026" s="31"/>
      <c r="N1026" s="32"/>
      <c r="O1026" s="32"/>
      <c r="P1026" s="32"/>
      <c r="Q1026" s="32"/>
      <c r="R1026" s="32"/>
      <c r="S1026" s="32"/>
      <c r="T1026" s="32"/>
      <c r="U1026" s="29"/>
      <c r="V1026" s="29"/>
      <c r="W1026" s="24"/>
      <c r="X1026" s="18"/>
      <c r="Y1026" s="18"/>
      <c r="Z1026" s="18"/>
      <c r="AA1026" s="18"/>
      <c r="AB1026" s="18"/>
      <c r="AC1026" s="18"/>
      <c r="AD1026" s="18"/>
      <c r="AE1026" s="19"/>
      <c r="AF1026" s="20"/>
      <c r="AG1026" s="21"/>
      <c r="AH1026" s="21"/>
      <c r="AI1026" s="19"/>
      <c r="AJ1026" s="29"/>
      <c r="AK1026" s="29"/>
      <c r="AL1026" s="29"/>
    </row>
    <row r="1027" spans="2:38" s="28" customFormat="1" x14ac:dyDescent="0.3">
      <c r="B1027" s="24"/>
      <c r="C1027" s="37"/>
      <c r="D1027" s="37"/>
      <c r="E1027" s="37"/>
      <c r="F1027" s="35"/>
      <c r="G1027" s="35"/>
      <c r="H1027" s="35"/>
      <c r="I1027" s="35"/>
      <c r="J1027" s="35"/>
      <c r="K1027" s="35"/>
      <c r="L1027" s="35"/>
      <c r="M1027" s="31"/>
      <c r="N1027" s="32"/>
      <c r="O1027" s="32"/>
      <c r="P1027" s="32"/>
      <c r="Q1027" s="32"/>
      <c r="R1027" s="32"/>
      <c r="S1027" s="32"/>
      <c r="T1027" s="32"/>
      <c r="U1027" s="29"/>
      <c r="V1027" s="29"/>
      <c r="W1027" s="24"/>
      <c r="X1027" s="18"/>
      <c r="Y1027" s="18"/>
      <c r="Z1027" s="18"/>
      <c r="AA1027" s="18"/>
      <c r="AB1027" s="18"/>
      <c r="AC1027" s="18"/>
      <c r="AD1027" s="18"/>
      <c r="AE1027" s="19"/>
      <c r="AF1027" s="20"/>
      <c r="AG1027" s="21"/>
      <c r="AH1027" s="21"/>
      <c r="AI1027" s="19"/>
      <c r="AJ1027" s="29"/>
      <c r="AK1027" s="29"/>
      <c r="AL1027" s="29"/>
    </row>
    <row r="1028" spans="2:38" s="28" customFormat="1" x14ac:dyDescent="0.3">
      <c r="B1028" s="24"/>
      <c r="C1028" s="37"/>
      <c r="D1028" s="37"/>
      <c r="E1028" s="37"/>
      <c r="F1028" s="35"/>
      <c r="G1028" s="35"/>
      <c r="H1028" s="35"/>
      <c r="I1028" s="35"/>
      <c r="J1028" s="35"/>
      <c r="K1028" s="35"/>
      <c r="L1028" s="35"/>
      <c r="M1028" s="31"/>
      <c r="N1028" s="32"/>
      <c r="O1028" s="32"/>
      <c r="P1028" s="32"/>
      <c r="Q1028" s="32"/>
      <c r="R1028" s="32"/>
      <c r="S1028" s="32"/>
      <c r="T1028" s="32"/>
      <c r="U1028" s="29"/>
      <c r="V1028" s="29"/>
      <c r="W1028" s="24"/>
      <c r="X1028" s="18"/>
      <c r="Y1028" s="18"/>
      <c r="Z1028" s="18"/>
      <c r="AA1028" s="18"/>
      <c r="AB1028" s="18"/>
      <c r="AC1028" s="18"/>
      <c r="AD1028" s="18"/>
      <c r="AE1028" s="19"/>
      <c r="AF1028" s="20"/>
      <c r="AG1028" s="21"/>
      <c r="AH1028" s="21"/>
      <c r="AI1028" s="19"/>
      <c r="AJ1028" s="29"/>
      <c r="AK1028" s="29"/>
      <c r="AL1028" s="29"/>
    </row>
    <row r="1029" spans="2:38" s="28" customFormat="1" x14ac:dyDescent="0.3">
      <c r="B1029" s="24"/>
      <c r="C1029" s="37"/>
      <c r="D1029" s="37"/>
      <c r="E1029" s="37"/>
      <c r="F1029" s="35"/>
      <c r="G1029" s="35"/>
      <c r="H1029" s="35"/>
      <c r="I1029" s="35"/>
      <c r="J1029" s="35"/>
      <c r="K1029" s="35"/>
      <c r="L1029" s="35"/>
      <c r="M1029" s="31"/>
      <c r="N1029" s="32"/>
      <c r="O1029" s="32"/>
      <c r="P1029" s="32"/>
      <c r="Q1029" s="32"/>
      <c r="R1029" s="32"/>
      <c r="S1029" s="32"/>
      <c r="T1029" s="32"/>
      <c r="U1029" s="29"/>
      <c r="V1029" s="29"/>
      <c r="W1029" s="24"/>
      <c r="X1029" s="18"/>
      <c r="Y1029" s="18"/>
      <c r="Z1029" s="18"/>
      <c r="AA1029" s="18"/>
      <c r="AB1029" s="18"/>
      <c r="AC1029" s="18"/>
      <c r="AD1029" s="18"/>
      <c r="AE1029" s="19"/>
      <c r="AF1029" s="20"/>
      <c r="AG1029" s="21"/>
      <c r="AH1029" s="21"/>
      <c r="AI1029" s="19"/>
      <c r="AJ1029" s="29"/>
      <c r="AK1029" s="29"/>
      <c r="AL1029" s="29"/>
    </row>
    <row r="1030" spans="2:38" s="28" customFormat="1" x14ac:dyDescent="0.3">
      <c r="B1030" s="24"/>
      <c r="C1030" s="37"/>
      <c r="D1030" s="37"/>
      <c r="E1030" s="37"/>
      <c r="F1030" s="35"/>
      <c r="G1030" s="35"/>
      <c r="H1030" s="35"/>
      <c r="I1030" s="35"/>
      <c r="J1030" s="35"/>
      <c r="K1030" s="35"/>
      <c r="L1030" s="35"/>
      <c r="M1030" s="31"/>
      <c r="N1030" s="32"/>
      <c r="O1030" s="32"/>
      <c r="P1030" s="32"/>
      <c r="Q1030" s="32"/>
      <c r="R1030" s="32"/>
      <c r="S1030" s="32"/>
      <c r="T1030" s="32"/>
      <c r="U1030" s="29"/>
      <c r="V1030" s="29"/>
      <c r="W1030" s="24"/>
      <c r="X1030" s="18"/>
      <c r="Y1030" s="18"/>
      <c r="Z1030" s="18"/>
      <c r="AA1030" s="18"/>
      <c r="AB1030" s="18"/>
      <c r="AC1030" s="18"/>
      <c r="AD1030" s="18"/>
      <c r="AE1030" s="19"/>
      <c r="AF1030" s="20"/>
      <c r="AG1030" s="21"/>
      <c r="AH1030" s="21"/>
      <c r="AI1030" s="19"/>
      <c r="AJ1030" s="29"/>
      <c r="AK1030" s="29"/>
      <c r="AL1030" s="29"/>
    </row>
    <row r="1031" spans="2:38" s="28" customFormat="1" x14ac:dyDescent="0.3">
      <c r="B1031" s="24"/>
      <c r="C1031" s="37"/>
      <c r="D1031" s="37"/>
      <c r="E1031" s="37"/>
      <c r="F1031" s="35"/>
      <c r="G1031" s="35"/>
      <c r="H1031" s="35"/>
      <c r="I1031" s="35"/>
      <c r="J1031" s="35"/>
      <c r="K1031" s="35"/>
      <c r="L1031" s="35"/>
      <c r="M1031" s="31"/>
      <c r="N1031" s="32"/>
      <c r="O1031" s="32"/>
      <c r="P1031" s="32"/>
      <c r="Q1031" s="32"/>
      <c r="R1031" s="32"/>
      <c r="S1031" s="32"/>
      <c r="T1031" s="32"/>
      <c r="U1031" s="29"/>
      <c r="V1031" s="29"/>
      <c r="W1031" s="24"/>
      <c r="X1031" s="18"/>
      <c r="Y1031" s="18"/>
      <c r="Z1031" s="18"/>
      <c r="AA1031" s="18"/>
      <c r="AB1031" s="18"/>
      <c r="AC1031" s="18"/>
      <c r="AD1031" s="18"/>
      <c r="AE1031" s="19"/>
      <c r="AF1031" s="20"/>
      <c r="AG1031" s="21"/>
      <c r="AH1031" s="21"/>
      <c r="AI1031" s="19"/>
      <c r="AJ1031" s="29"/>
      <c r="AK1031" s="29"/>
      <c r="AL1031" s="29"/>
    </row>
    <row r="1032" spans="2:38" s="28" customFormat="1" x14ac:dyDescent="0.3">
      <c r="B1032" s="24"/>
      <c r="C1032" s="37"/>
      <c r="D1032" s="37"/>
      <c r="E1032" s="37"/>
      <c r="F1032" s="35"/>
      <c r="G1032" s="35"/>
      <c r="H1032" s="35"/>
      <c r="I1032" s="35"/>
      <c r="J1032" s="35"/>
      <c r="K1032" s="35"/>
      <c r="L1032" s="35"/>
      <c r="M1032" s="31"/>
      <c r="N1032" s="32"/>
      <c r="O1032" s="32"/>
      <c r="P1032" s="32"/>
      <c r="Q1032" s="32"/>
      <c r="R1032" s="32"/>
      <c r="S1032" s="32"/>
      <c r="T1032" s="32"/>
      <c r="U1032" s="29"/>
      <c r="V1032" s="29"/>
      <c r="W1032" s="24"/>
      <c r="X1032" s="18"/>
      <c r="Y1032" s="18"/>
      <c r="Z1032" s="18"/>
      <c r="AA1032" s="18"/>
      <c r="AB1032" s="18"/>
      <c r="AC1032" s="18"/>
      <c r="AD1032" s="18"/>
      <c r="AE1032" s="19"/>
      <c r="AF1032" s="20"/>
      <c r="AG1032" s="21"/>
      <c r="AH1032" s="21"/>
      <c r="AI1032" s="19"/>
      <c r="AJ1032" s="29"/>
      <c r="AK1032" s="29"/>
      <c r="AL1032" s="29"/>
    </row>
    <row r="1033" spans="2:38" s="28" customFormat="1" x14ac:dyDescent="0.3">
      <c r="B1033" s="24"/>
      <c r="C1033" s="37"/>
      <c r="D1033" s="37"/>
      <c r="E1033" s="37"/>
      <c r="F1033" s="35"/>
      <c r="G1033" s="35"/>
      <c r="H1033" s="35"/>
      <c r="I1033" s="35"/>
      <c r="J1033" s="35"/>
      <c r="K1033" s="35"/>
      <c r="L1033" s="35"/>
      <c r="M1033" s="31"/>
      <c r="N1033" s="32"/>
      <c r="O1033" s="32"/>
      <c r="P1033" s="32"/>
      <c r="Q1033" s="32"/>
      <c r="R1033" s="32"/>
      <c r="S1033" s="32"/>
      <c r="T1033" s="32"/>
      <c r="U1033" s="29"/>
      <c r="V1033" s="29"/>
      <c r="W1033" s="24"/>
      <c r="X1033" s="18"/>
      <c r="Y1033" s="18"/>
      <c r="Z1033" s="18"/>
      <c r="AA1033" s="18"/>
      <c r="AB1033" s="18"/>
      <c r="AC1033" s="18"/>
      <c r="AD1033" s="18"/>
      <c r="AE1033" s="19"/>
      <c r="AF1033" s="20"/>
      <c r="AG1033" s="21"/>
      <c r="AH1033" s="21"/>
      <c r="AI1033" s="19"/>
      <c r="AJ1033" s="29"/>
      <c r="AK1033" s="29"/>
      <c r="AL1033" s="29"/>
    </row>
    <row r="1034" spans="2:38" s="28" customFormat="1" x14ac:dyDescent="0.3">
      <c r="B1034" s="24"/>
      <c r="C1034" s="37"/>
      <c r="D1034" s="37"/>
      <c r="E1034" s="37"/>
      <c r="F1034" s="35"/>
      <c r="G1034" s="35"/>
      <c r="H1034" s="35"/>
      <c r="I1034" s="35"/>
      <c r="J1034" s="35"/>
      <c r="K1034" s="35"/>
      <c r="L1034" s="35"/>
      <c r="M1034" s="31"/>
      <c r="N1034" s="32"/>
      <c r="O1034" s="32"/>
      <c r="P1034" s="32"/>
      <c r="Q1034" s="32"/>
      <c r="R1034" s="32"/>
      <c r="S1034" s="32"/>
      <c r="T1034" s="32"/>
      <c r="U1034" s="29"/>
      <c r="V1034" s="29"/>
      <c r="W1034" s="24"/>
      <c r="X1034" s="18"/>
      <c r="Y1034" s="18"/>
      <c r="Z1034" s="18"/>
      <c r="AA1034" s="18"/>
      <c r="AB1034" s="18"/>
      <c r="AC1034" s="18"/>
      <c r="AD1034" s="18"/>
      <c r="AE1034" s="19"/>
      <c r="AF1034" s="20"/>
      <c r="AG1034" s="21"/>
      <c r="AH1034" s="21"/>
      <c r="AI1034" s="19"/>
      <c r="AJ1034" s="29"/>
      <c r="AK1034" s="29"/>
      <c r="AL1034" s="29"/>
    </row>
    <row r="1035" spans="2:38" s="28" customFormat="1" x14ac:dyDescent="0.3">
      <c r="B1035" s="24"/>
      <c r="C1035" s="37"/>
      <c r="D1035" s="37"/>
      <c r="E1035" s="37"/>
      <c r="F1035" s="35"/>
      <c r="G1035" s="35"/>
      <c r="H1035" s="35"/>
      <c r="I1035" s="35"/>
      <c r="J1035" s="35"/>
      <c r="K1035" s="35"/>
      <c r="L1035" s="35"/>
      <c r="M1035" s="31"/>
      <c r="N1035" s="32"/>
      <c r="O1035" s="32"/>
      <c r="P1035" s="32"/>
      <c r="Q1035" s="32"/>
      <c r="R1035" s="32"/>
      <c r="S1035" s="32"/>
      <c r="T1035" s="32"/>
      <c r="U1035" s="29"/>
      <c r="V1035" s="29"/>
      <c r="W1035" s="24"/>
      <c r="X1035" s="18"/>
      <c r="Y1035" s="18"/>
      <c r="Z1035" s="18"/>
      <c r="AA1035" s="18"/>
      <c r="AB1035" s="18"/>
      <c r="AC1035" s="18"/>
      <c r="AD1035" s="18"/>
      <c r="AE1035" s="19"/>
      <c r="AF1035" s="20"/>
      <c r="AG1035" s="21"/>
      <c r="AH1035" s="21"/>
      <c r="AI1035" s="19"/>
      <c r="AJ1035" s="29"/>
      <c r="AK1035" s="29"/>
      <c r="AL1035" s="29"/>
    </row>
    <row r="1036" spans="2:38" s="28" customFormat="1" x14ac:dyDescent="0.3">
      <c r="B1036" s="24"/>
      <c r="C1036" s="37"/>
      <c r="D1036" s="37"/>
      <c r="E1036" s="37"/>
      <c r="F1036" s="35"/>
      <c r="G1036" s="35"/>
      <c r="H1036" s="35"/>
      <c r="I1036" s="35"/>
      <c r="J1036" s="35"/>
      <c r="K1036" s="35"/>
      <c r="L1036" s="35"/>
      <c r="M1036" s="31"/>
      <c r="N1036" s="32"/>
      <c r="O1036" s="32"/>
      <c r="P1036" s="32"/>
      <c r="Q1036" s="32"/>
      <c r="R1036" s="32"/>
      <c r="S1036" s="32"/>
      <c r="T1036" s="32"/>
      <c r="U1036" s="29"/>
      <c r="V1036" s="29"/>
      <c r="W1036" s="24"/>
      <c r="X1036" s="18"/>
      <c r="Y1036" s="18"/>
      <c r="Z1036" s="18"/>
      <c r="AA1036" s="18"/>
      <c r="AB1036" s="18"/>
      <c r="AC1036" s="18"/>
      <c r="AD1036" s="18"/>
      <c r="AE1036" s="19"/>
      <c r="AF1036" s="20"/>
      <c r="AG1036" s="21"/>
      <c r="AH1036" s="21"/>
      <c r="AI1036" s="19"/>
      <c r="AJ1036" s="29"/>
      <c r="AK1036" s="29"/>
      <c r="AL1036" s="29"/>
    </row>
    <row r="1037" spans="2:38" s="28" customFormat="1" x14ac:dyDescent="0.3">
      <c r="B1037" s="24"/>
      <c r="C1037" s="37"/>
      <c r="D1037" s="37"/>
      <c r="E1037" s="37"/>
      <c r="F1037" s="35"/>
      <c r="G1037" s="35"/>
      <c r="H1037" s="35"/>
      <c r="I1037" s="35"/>
      <c r="J1037" s="35"/>
      <c r="K1037" s="35"/>
      <c r="L1037" s="35"/>
      <c r="M1037" s="31"/>
      <c r="N1037" s="32"/>
      <c r="O1037" s="32"/>
      <c r="P1037" s="32"/>
      <c r="Q1037" s="32"/>
      <c r="R1037" s="32"/>
      <c r="S1037" s="32"/>
      <c r="T1037" s="32"/>
      <c r="U1037" s="29"/>
      <c r="V1037" s="29"/>
      <c r="W1037" s="24"/>
      <c r="X1037" s="18"/>
      <c r="Y1037" s="18"/>
      <c r="Z1037" s="18"/>
      <c r="AA1037" s="18"/>
      <c r="AB1037" s="18"/>
      <c r="AC1037" s="18"/>
      <c r="AD1037" s="18"/>
      <c r="AE1037" s="19"/>
      <c r="AF1037" s="20"/>
      <c r="AG1037" s="21"/>
      <c r="AH1037" s="21"/>
      <c r="AI1037" s="19"/>
      <c r="AJ1037" s="29"/>
      <c r="AK1037" s="29"/>
      <c r="AL1037" s="29"/>
    </row>
    <row r="1038" spans="2:38" s="28" customFormat="1" x14ac:dyDescent="0.3">
      <c r="B1038" s="24"/>
      <c r="C1038" s="37"/>
      <c r="D1038" s="37"/>
      <c r="E1038" s="37"/>
      <c r="F1038" s="35"/>
      <c r="G1038" s="35"/>
      <c r="H1038" s="35"/>
      <c r="I1038" s="35"/>
      <c r="J1038" s="35"/>
      <c r="K1038" s="35"/>
      <c r="L1038" s="35"/>
      <c r="M1038" s="31"/>
      <c r="N1038" s="32"/>
      <c r="O1038" s="32"/>
      <c r="P1038" s="32"/>
      <c r="Q1038" s="32"/>
      <c r="R1038" s="32"/>
      <c r="S1038" s="32"/>
      <c r="T1038" s="32"/>
      <c r="U1038" s="29"/>
      <c r="V1038" s="29"/>
      <c r="W1038" s="24"/>
      <c r="X1038" s="18"/>
      <c r="Y1038" s="18"/>
      <c r="Z1038" s="18"/>
      <c r="AA1038" s="18"/>
      <c r="AB1038" s="18"/>
      <c r="AC1038" s="18"/>
      <c r="AD1038" s="18"/>
      <c r="AE1038" s="19"/>
      <c r="AF1038" s="20"/>
      <c r="AG1038" s="21"/>
      <c r="AH1038" s="21"/>
      <c r="AI1038" s="19"/>
      <c r="AJ1038" s="29"/>
      <c r="AK1038" s="29"/>
      <c r="AL1038" s="29"/>
    </row>
    <row r="1039" spans="2:38" s="28" customFormat="1" x14ac:dyDescent="0.3">
      <c r="B1039" s="24"/>
      <c r="C1039" s="37"/>
      <c r="D1039" s="37"/>
      <c r="E1039" s="37"/>
      <c r="F1039" s="35"/>
      <c r="G1039" s="35"/>
      <c r="H1039" s="35"/>
      <c r="I1039" s="35"/>
      <c r="J1039" s="35"/>
      <c r="K1039" s="35"/>
      <c r="L1039" s="35"/>
      <c r="M1039" s="31"/>
      <c r="N1039" s="32"/>
      <c r="O1039" s="32"/>
      <c r="P1039" s="32"/>
      <c r="Q1039" s="32"/>
      <c r="R1039" s="32"/>
      <c r="S1039" s="32"/>
      <c r="T1039" s="32"/>
      <c r="U1039" s="29"/>
      <c r="V1039" s="29"/>
      <c r="W1039" s="24"/>
      <c r="X1039" s="18"/>
      <c r="Y1039" s="18"/>
      <c r="Z1039" s="18"/>
      <c r="AA1039" s="18"/>
      <c r="AB1039" s="18"/>
      <c r="AC1039" s="18"/>
      <c r="AD1039" s="18"/>
      <c r="AE1039" s="19"/>
      <c r="AF1039" s="20"/>
      <c r="AG1039" s="21"/>
      <c r="AH1039" s="21"/>
      <c r="AI1039" s="19"/>
      <c r="AJ1039" s="29"/>
      <c r="AK1039" s="29"/>
      <c r="AL1039" s="29"/>
    </row>
    <row r="1040" spans="2:38" s="28" customFormat="1" x14ac:dyDescent="0.3">
      <c r="B1040" s="24"/>
      <c r="C1040" s="37"/>
      <c r="D1040" s="37"/>
      <c r="E1040" s="37"/>
      <c r="F1040" s="35"/>
      <c r="G1040" s="35"/>
      <c r="H1040" s="35"/>
      <c r="I1040" s="35"/>
      <c r="J1040" s="35"/>
      <c r="K1040" s="35"/>
      <c r="L1040" s="35"/>
      <c r="M1040" s="31"/>
      <c r="N1040" s="32"/>
      <c r="O1040" s="32"/>
      <c r="P1040" s="32"/>
      <c r="Q1040" s="32"/>
      <c r="R1040" s="32"/>
      <c r="S1040" s="32"/>
      <c r="T1040" s="32"/>
      <c r="U1040" s="29"/>
      <c r="V1040" s="29"/>
      <c r="W1040" s="24"/>
      <c r="X1040" s="18"/>
      <c r="Y1040" s="18"/>
      <c r="Z1040" s="18"/>
      <c r="AA1040" s="18"/>
      <c r="AB1040" s="18"/>
      <c r="AC1040" s="18"/>
      <c r="AD1040" s="18"/>
      <c r="AE1040" s="19"/>
      <c r="AF1040" s="20"/>
      <c r="AG1040" s="21"/>
      <c r="AH1040" s="21"/>
      <c r="AI1040" s="19"/>
      <c r="AJ1040" s="29"/>
      <c r="AK1040" s="29"/>
      <c r="AL1040" s="29"/>
    </row>
    <row r="1041" spans="2:38" s="28" customFormat="1" x14ac:dyDescent="0.3">
      <c r="B1041" s="24"/>
      <c r="C1041" s="37"/>
      <c r="D1041" s="37"/>
      <c r="E1041" s="37"/>
      <c r="F1041" s="35"/>
      <c r="G1041" s="35"/>
      <c r="H1041" s="35"/>
      <c r="I1041" s="35"/>
      <c r="J1041" s="35"/>
      <c r="K1041" s="35"/>
      <c r="L1041" s="35"/>
      <c r="M1041" s="31"/>
      <c r="N1041" s="32"/>
      <c r="O1041" s="32"/>
      <c r="P1041" s="32"/>
      <c r="Q1041" s="32"/>
      <c r="R1041" s="32"/>
      <c r="S1041" s="32"/>
      <c r="T1041" s="32"/>
      <c r="U1041" s="29"/>
      <c r="V1041" s="29"/>
      <c r="W1041" s="24"/>
      <c r="X1041" s="18"/>
      <c r="Y1041" s="18"/>
      <c r="Z1041" s="18"/>
      <c r="AA1041" s="18"/>
      <c r="AB1041" s="18"/>
      <c r="AC1041" s="18"/>
      <c r="AD1041" s="18"/>
      <c r="AE1041" s="19"/>
      <c r="AF1041" s="20"/>
      <c r="AG1041" s="21"/>
      <c r="AH1041" s="21"/>
      <c r="AI1041" s="19"/>
      <c r="AJ1041" s="29"/>
      <c r="AK1041" s="29"/>
      <c r="AL1041" s="29"/>
    </row>
    <row r="1042" spans="2:38" s="28" customFormat="1" x14ac:dyDescent="0.3">
      <c r="B1042" s="24"/>
      <c r="C1042" s="37"/>
      <c r="D1042" s="37"/>
      <c r="E1042" s="37"/>
      <c r="F1042" s="35"/>
      <c r="G1042" s="35"/>
      <c r="H1042" s="35"/>
      <c r="I1042" s="35"/>
      <c r="J1042" s="35"/>
      <c r="K1042" s="35"/>
      <c r="L1042" s="35"/>
      <c r="M1042" s="31"/>
      <c r="N1042" s="32"/>
      <c r="O1042" s="32"/>
      <c r="P1042" s="32"/>
      <c r="Q1042" s="32"/>
      <c r="R1042" s="32"/>
      <c r="S1042" s="32"/>
      <c r="T1042" s="32"/>
      <c r="U1042" s="29"/>
      <c r="V1042" s="29"/>
      <c r="W1042" s="24"/>
      <c r="X1042" s="18"/>
      <c r="Y1042" s="18"/>
      <c r="Z1042" s="18"/>
      <c r="AA1042" s="18"/>
      <c r="AB1042" s="18"/>
      <c r="AC1042" s="18"/>
      <c r="AD1042" s="18"/>
      <c r="AE1042" s="19"/>
      <c r="AF1042" s="20"/>
      <c r="AG1042" s="21"/>
      <c r="AH1042" s="21"/>
      <c r="AI1042" s="19"/>
      <c r="AJ1042" s="29"/>
      <c r="AK1042" s="29"/>
      <c r="AL1042" s="29"/>
    </row>
    <row r="1043" spans="2:38" s="28" customFormat="1" x14ac:dyDescent="0.3">
      <c r="B1043" s="24"/>
      <c r="C1043" s="37"/>
      <c r="D1043" s="37"/>
      <c r="E1043" s="37"/>
      <c r="F1043" s="35"/>
      <c r="G1043" s="35"/>
      <c r="H1043" s="35"/>
      <c r="I1043" s="35"/>
      <c r="J1043" s="35"/>
      <c r="K1043" s="35"/>
      <c r="L1043" s="35"/>
      <c r="M1043" s="31"/>
      <c r="N1043" s="32"/>
      <c r="O1043" s="32"/>
      <c r="P1043" s="32"/>
      <c r="Q1043" s="32"/>
      <c r="R1043" s="32"/>
      <c r="S1043" s="32"/>
      <c r="T1043" s="32"/>
      <c r="U1043" s="29"/>
      <c r="V1043" s="29"/>
      <c r="W1043" s="24"/>
      <c r="X1043" s="18"/>
      <c r="Y1043" s="18"/>
      <c r="Z1043" s="18"/>
      <c r="AA1043" s="18"/>
      <c r="AB1043" s="18"/>
      <c r="AC1043" s="18"/>
      <c r="AD1043" s="18"/>
      <c r="AE1043" s="19"/>
      <c r="AF1043" s="20"/>
      <c r="AG1043" s="21"/>
      <c r="AH1043" s="21"/>
      <c r="AI1043" s="19"/>
      <c r="AJ1043" s="29"/>
      <c r="AK1043" s="29"/>
      <c r="AL1043" s="29"/>
    </row>
    <row r="1044" spans="2:38" s="28" customFormat="1" x14ac:dyDescent="0.3">
      <c r="B1044" s="24"/>
      <c r="C1044" s="37"/>
      <c r="D1044" s="37"/>
      <c r="E1044" s="37"/>
      <c r="F1044" s="35"/>
      <c r="G1044" s="35"/>
      <c r="H1044" s="35"/>
      <c r="I1044" s="35"/>
      <c r="J1044" s="35"/>
      <c r="K1044" s="35"/>
      <c r="L1044" s="35"/>
      <c r="M1044" s="31"/>
      <c r="N1044" s="32"/>
      <c r="O1044" s="32"/>
      <c r="P1044" s="32"/>
      <c r="Q1044" s="32"/>
      <c r="R1044" s="32"/>
      <c r="S1044" s="32"/>
      <c r="T1044" s="32"/>
      <c r="U1044" s="29"/>
      <c r="V1044" s="29"/>
      <c r="W1044" s="24"/>
      <c r="X1044" s="18"/>
      <c r="Y1044" s="18"/>
      <c r="Z1044" s="18"/>
      <c r="AA1044" s="18"/>
      <c r="AB1044" s="18"/>
      <c r="AC1044" s="18"/>
      <c r="AD1044" s="18"/>
      <c r="AE1044" s="19"/>
      <c r="AF1044" s="20"/>
      <c r="AG1044" s="21"/>
      <c r="AH1044" s="21"/>
      <c r="AI1044" s="19"/>
      <c r="AJ1044" s="29"/>
      <c r="AK1044" s="29"/>
      <c r="AL1044" s="29"/>
    </row>
    <row r="1045" spans="2:38" s="28" customFormat="1" x14ac:dyDescent="0.3">
      <c r="B1045" s="24"/>
      <c r="C1045" s="37"/>
      <c r="D1045" s="37"/>
      <c r="E1045" s="37"/>
      <c r="F1045" s="35"/>
      <c r="G1045" s="35"/>
      <c r="H1045" s="35"/>
      <c r="I1045" s="35"/>
      <c r="J1045" s="35"/>
      <c r="K1045" s="35"/>
      <c r="L1045" s="35"/>
      <c r="M1045" s="31"/>
      <c r="N1045" s="32"/>
      <c r="O1045" s="32"/>
      <c r="P1045" s="32"/>
      <c r="Q1045" s="32"/>
      <c r="R1045" s="32"/>
      <c r="S1045" s="32"/>
      <c r="T1045" s="32"/>
      <c r="U1045" s="29"/>
      <c r="V1045" s="29"/>
      <c r="W1045" s="24"/>
      <c r="X1045" s="18"/>
      <c r="Y1045" s="18"/>
      <c r="Z1045" s="18"/>
      <c r="AA1045" s="18"/>
      <c r="AB1045" s="18"/>
      <c r="AC1045" s="18"/>
      <c r="AD1045" s="18"/>
      <c r="AE1045" s="19"/>
      <c r="AF1045" s="20"/>
      <c r="AG1045" s="21"/>
      <c r="AH1045" s="21"/>
      <c r="AI1045" s="19"/>
      <c r="AJ1045" s="29"/>
      <c r="AK1045" s="29"/>
      <c r="AL1045" s="29"/>
    </row>
    <row r="1046" spans="2:38" s="28" customFormat="1" x14ac:dyDescent="0.3">
      <c r="B1046" s="24"/>
      <c r="C1046" s="37"/>
      <c r="D1046" s="37"/>
      <c r="E1046" s="37"/>
      <c r="F1046" s="35"/>
      <c r="G1046" s="35"/>
      <c r="H1046" s="35"/>
      <c r="I1046" s="35"/>
      <c r="J1046" s="35"/>
      <c r="K1046" s="35"/>
      <c r="L1046" s="35"/>
      <c r="M1046" s="31"/>
      <c r="N1046" s="32"/>
      <c r="O1046" s="32"/>
      <c r="P1046" s="32"/>
      <c r="Q1046" s="32"/>
      <c r="R1046" s="32"/>
      <c r="S1046" s="32"/>
      <c r="T1046" s="32"/>
      <c r="U1046" s="29"/>
      <c r="V1046" s="29"/>
      <c r="W1046" s="24"/>
      <c r="X1046" s="18"/>
      <c r="Y1046" s="18"/>
      <c r="Z1046" s="18"/>
      <c r="AA1046" s="18"/>
      <c r="AB1046" s="18"/>
      <c r="AC1046" s="18"/>
      <c r="AD1046" s="18"/>
      <c r="AE1046" s="19"/>
      <c r="AF1046" s="20"/>
      <c r="AG1046" s="21"/>
      <c r="AH1046" s="21"/>
      <c r="AI1046" s="19"/>
      <c r="AJ1046" s="29"/>
      <c r="AK1046" s="29"/>
      <c r="AL1046" s="29"/>
    </row>
    <row r="1047" spans="2:38" s="28" customFormat="1" x14ac:dyDescent="0.3">
      <c r="B1047" s="24"/>
      <c r="C1047" s="37"/>
      <c r="D1047" s="37"/>
      <c r="E1047" s="37"/>
      <c r="F1047" s="35"/>
      <c r="G1047" s="35"/>
      <c r="H1047" s="35"/>
      <c r="I1047" s="35"/>
      <c r="J1047" s="35"/>
      <c r="K1047" s="35"/>
      <c r="L1047" s="35"/>
      <c r="M1047" s="31"/>
      <c r="N1047" s="32"/>
      <c r="O1047" s="32"/>
      <c r="P1047" s="32"/>
      <c r="Q1047" s="32"/>
      <c r="R1047" s="32"/>
      <c r="S1047" s="32"/>
      <c r="T1047" s="32"/>
      <c r="U1047" s="29"/>
      <c r="V1047" s="29"/>
      <c r="W1047" s="24"/>
      <c r="X1047" s="18"/>
      <c r="Y1047" s="18"/>
      <c r="Z1047" s="18"/>
      <c r="AA1047" s="18"/>
      <c r="AB1047" s="18"/>
      <c r="AC1047" s="18"/>
      <c r="AD1047" s="18"/>
      <c r="AE1047" s="19"/>
      <c r="AF1047" s="20"/>
      <c r="AG1047" s="21"/>
      <c r="AH1047" s="21"/>
      <c r="AI1047" s="19"/>
      <c r="AJ1047" s="29"/>
      <c r="AK1047" s="29"/>
      <c r="AL1047" s="29"/>
    </row>
    <row r="1048" spans="2:38" s="28" customFormat="1" x14ac:dyDescent="0.3">
      <c r="B1048" s="24"/>
      <c r="C1048" s="37"/>
      <c r="D1048" s="37"/>
      <c r="E1048" s="37"/>
      <c r="F1048" s="35"/>
      <c r="G1048" s="35"/>
      <c r="H1048" s="35"/>
      <c r="I1048" s="35"/>
      <c r="J1048" s="35"/>
      <c r="K1048" s="35"/>
      <c r="L1048" s="35"/>
      <c r="M1048" s="31"/>
      <c r="N1048" s="32"/>
      <c r="O1048" s="32"/>
      <c r="P1048" s="32"/>
      <c r="Q1048" s="32"/>
      <c r="R1048" s="32"/>
      <c r="S1048" s="32"/>
      <c r="T1048" s="32"/>
      <c r="U1048" s="29"/>
      <c r="V1048" s="29"/>
      <c r="W1048" s="24"/>
      <c r="X1048" s="18"/>
      <c r="Y1048" s="18"/>
      <c r="Z1048" s="18"/>
      <c r="AA1048" s="18"/>
      <c r="AB1048" s="18"/>
      <c r="AC1048" s="18"/>
      <c r="AD1048" s="18"/>
      <c r="AE1048" s="19"/>
      <c r="AF1048" s="20"/>
      <c r="AG1048" s="21"/>
      <c r="AH1048" s="21"/>
      <c r="AI1048" s="19"/>
      <c r="AJ1048" s="29"/>
      <c r="AK1048" s="29"/>
      <c r="AL1048" s="29"/>
    </row>
    <row r="1049" spans="2:38" s="28" customFormat="1" x14ac:dyDescent="0.3">
      <c r="B1049" s="24"/>
      <c r="C1049" s="37"/>
      <c r="D1049" s="37"/>
      <c r="E1049" s="37"/>
      <c r="F1049" s="35"/>
      <c r="G1049" s="35"/>
      <c r="H1049" s="35"/>
      <c r="I1049" s="35"/>
      <c r="J1049" s="35"/>
      <c r="K1049" s="35"/>
      <c r="L1049" s="35"/>
      <c r="M1049" s="31"/>
      <c r="N1049" s="32"/>
      <c r="O1049" s="32"/>
      <c r="P1049" s="32"/>
      <c r="Q1049" s="32"/>
      <c r="R1049" s="32"/>
      <c r="S1049" s="32"/>
      <c r="T1049" s="32"/>
      <c r="U1049" s="29"/>
      <c r="V1049" s="29"/>
      <c r="W1049" s="24"/>
      <c r="X1049" s="18"/>
      <c r="Y1049" s="18"/>
      <c r="Z1049" s="18"/>
      <c r="AA1049" s="18"/>
      <c r="AB1049" s="18"/>
      <c r="AC1049" s="18"/>
      <c r="AD1049" s="18"/>
      <c r="AE1049" s="19"/>
      <c r="AF1049" s="20"/>
      <c r="AG1049" s="21"/>
      <c r="AH1049" s="21"/>
      <c r="AI1049" s="19"/>
      <c r="AJ1049" s="29"/>
      <c r="AK1049" s="29"/>
      <c r="AL1049" s="29"/>
    </row>
    <row r="1050" spans="2:38" s="28" customFormat="1" x14ac:dyDescent="0.3">
      <c r="B1050" s="24"/>
      <c r="C1050" s="37"/>
      <c r="D1050" s="37"/>
      <c r="E1050" s="37"/>
      <c r="F1050" s="35"/>
      <c r="G1050" s="35"/>
      <c r="H1050" s="35"/>
      <c r="I1050" s="35"/>
      <c r="J1050" s="35"/>
      <c r="K1050" s="35"/>
      <c r="L1050" s="35"/>
      <c r="M1050" s="31"/>
      <c r="N1050" s="32"/>
      <c r="O1050" s="32"/>
      <c r="P1050" s="32"/>
      <c r="Q1050" s="32"/>
      <c r="R1050" s="32"/>
      <c r="S1050" s="32"/>
      <c r="T1050" s="32"/>
      <c r="U1050" s="29"/>
      <c r="V1050" s="29"/>
      <c r="W1050" s="24"/>
      <c r="X1050" s="18"/>
      <c r="Y1050" s="18"/>
      <c r="Z1050" s="18"/>
      <c r="AA1050" s="18"/>
      <c r="AB1050" s="18"/>
      <c r="AC1050" s="18"/>
      <c r="AD1050" s="18"/>
      <c r="AE1050" s="19"/>
      <c r="AF1050" s="20"/>
      <c r="AG1050" s="21"/>
      <c r="AH1050" s="21"/>
      <c r="AI1050" s="19"/>
      <c r="AJ1050" s="29"/>
      <c r="AK1050" s="29"/>
      <c r="AL1050" s="29"/>
    </row>
    <row r="1051" spans="2:38" s="28" customFormat="1" x14ac:dyDescent="0.3">
      <c r="B1051" s="24"/>
      <c r="C1051" s="37"/>
      <c r="D1051" s="37"/>
      <c r="E1051" s="37"/>
      <c r="F1051" s="35"/>
      <c r="G1051" s="35"/>
      <c r="H1051" s="35"/>
      <c r="I1051" s="35"/>
      <c r="J1051" s="35"/>
      <c r="K1051" s="35"/>
      <c r="L1051" s="35"/>
      <c r="M1051" s="31"/>
      <c r="N1051" s="32"/>
      <c r="O1051" s="32"/>
      <c r="P1051" s="32"/>
      <c r="Q1051" s="32"/>
      <c r="R1051" s="32"/>
      <c r="S1051" s="32"/>
      <c r="T1051" s="32"/>
      <c r="U1051" s="29"/>
      <c r="V1051" s="29"/>
      <c r="W1051" s="24"/>
      <c r="X1051" s="18"/>
      <c r="Y1051" s="18"/>
      <c r="Z1051" s="18"/>
      <c r="AA1051" s="18"/>
      <c r="AB1051" s="18"/>
      <c r="AC1051" s="18"/>
      <c r="AD1051" s="18"/>
      <c r="AE1051" s="19"/>
      <c r="AF1051" s="20"/>
      <c r="AG1051" s="21"/>
      <c r="AH1051" s="21"/>
      <c r="AI1051" s="19"/>
      <c r="AJ1051" s="29"/>
      <c r="AK1051" s="29"/>
      <c r="AL1051" s="29"/>
    </row>
    <row r="1052" spans="2:38" s="28" customFormat="1" x14ac:dyDescent="0.3">
      <c r="B1052" s="24"/>
      <c r="C1052" s="37"/>
      <c r="D1052" s="37"/>
      <c r="E1052" s="37"/>
      <c r="F1052" s="35"/>
      <c r="G1052" s="35"/>
      <c r="H1052" s="35"/>
      <c r="I1052" s="35"/>
      <c r="J1052" s="35"/>
      <c r="K1052" s="35"/>
      <c r="L1052" s="35"/>
      <c r="M1052" s="31"/>
      <c r="N1052" s="32"/>
      <c r="O1052" s="32"/>
      <c r="P1052" s="32"/>
      <c r="Q1052" s="32"/>
      <c r="R1052" s="32"/>
      <c r="S1052" s="32"/>
      <c r="T1052" s="32"/>
      <c r="U1052" s="29"/>
      <c r="V1052" s="29"/>
      <c r="W1052" s="24"/>
      <c r="X1052" s="18"/>
      <c r="Y1052" s="18"/>
      <c r="Z1052" s="18"/>
      <c r="AA1052" s="18"/>
      <c r="AB1052" s="18"/>
      <c r="AC1052" s="18"/>
      <c r="AD1052" s="18"/>
      <c r="AE1052" s="19"/>
      <c r="AF1052" s="20"/>
      <c r="AG1052" s="21"/>
      <c r="AH1052" s="21"/>
      <c r="AI1052" s="19"/>
      <c r="AJ1052" s="29"/>
      <c r="AK1052" s="29"/>
      <c r="AL1052" s="29"/>
    </row>
    <row r="1053" spans="2:38" s="28" customFormat="1" x14ac:dyDescent="0.3">
      <c r="B1053" s="24"/>
      <c r="C1053" s="37"/>
      <c r="D1053" s="37"/>
      <c r="E1053" s="37"/>
      <c r="F1053" s="35"/>
      <c r="G1053" s="35"/>
      <c r="H1053" s="35"/>
      <c r="I1053" s="35"/>
      <c r="J1053" s="35"/>
      <c r="K1053" s="35"/>
      <c r="L1053" s="35"/>
      <c r="M1053" s="31"/>
      <c r="N1053" s="32"/>
      <c r="O1053" s="32"/>
      <c r="P1053" s="32"/>
      <c r="Q1053" s="32"/>
      <c r="R1053" s="32"/>
      <c r="S1053" s="32"/>
      <c r="T1053" s="32"/>
      <c r="U1053" s="29"/>
      <c r="V1053" s="29"/>
      <c r="W1053" s="24"/>
      <c r="X1053" s="18"/>
      <c r="Y1053" s="18"/>
      <c r="Z1053" s="18"/>
      <c r="AA1053" s="18"/>
      <c r="AB1053" s="18"/>
      <c r="AC1053" s="18"/>
      <c r="AD1053" s="18"/>
      <c r="AE1053" s="19"/>
      <c r="AF1053" s="20"/>
      <c r="AG1053" s="21"/>
      <c r="AH1053" s="21"/>
      <c r="AI1053" s="19"/>
      <c r="AJ1053" s="29"/>
      <c r="AK1053" s="29"/>
      <c r="AL1053" s="29"/>
    </row>
    <row r="1054" spans="2:38" s="28" customFormat="1" x14ac:dyDescent="0.3">
      <c r="B1054" s="24"/>
      <c r="C1054" s="37"/>
      <c r="D1054" s="37"/>
      <c r="E1054" s="37"/>
      <c r="F1054" s="35"/>
      <c r="G1054" s="35"/>
      <c r="H1054" s="35"/>
      <c r="I1054" s="35"/>
      <c r="J1054" s="35"/>
      <c r="K1054" s="35"/>
      <c r="L1054" s="35"/>
      <c r="M1054" s="31"/>
      <c r="N1054" s="32"/>
      <c r="O1054" s="32"/>
      <c r="P1054" s="32"/>
      <c r="Q1054" s="32"/>
      <c r="R1054" s="32"/>
      <c r="S1054" s="32"/>
      <c r="T1054" s="32"/>
      <c r="U1054" s="29"/>
      <c r="V1054" s="29"/>
      <c r="W1054" s="24"/>
      <c r="X1054" s="18"/>
      <c r="Y1054" s="18"/>
      <c r="Z1054" s="18"/>
      <c r="AA1054" s="18"/>
      <c r="AB1054" s="18"/>
      <c r="AC1054" s="18"/>
      <c r="AD1054" s="18"/>
      <c r="AE1054" s="19"/>
      <c r="AF1054" s="20"/>
      <c r="AG1054" s="21"/>
      <c r="AH1054" s="21"/>
      <c r="AI1054" s="19"/>
      <c r="AJ1054" s="29"/>
      <c r="AK1054" s="29"/>
      <c r="AL1054" s="29"/>
    </row>
    <row r="1055" spans="2:38" s="28" customFormat="1" x14ac:dyDescent="0.3">
      <c r="B1055" s="24"/>
      <c r="C1055" s="37"/>
      <c r="D1055" s="37"/>
      <c r="E1055" s="37"/>
      <c r="F1055" s="35"/>
      <c r="G1055" s="35"/>
      <c r="H1055" s="35"/>
      <c r="I1055" s="35"/>
      <c r="J1055" s="35"/>
      <c r="K1055" s="35"/>
      <c r="L1055" s="35"/>
      <c r="M1055" s="31"/>
      <c r="N1055" s="32"/>
      <c r="O1055" s="32"/>
      <c r="P1055" s="32"/>
      <c r="Q1055" s="32"/>
      <c r="R1055" s="32"/>
      <c r="S1055" s="32"/>
      <c r="T1055" s="32"/>
      <c r="U1055" s="29"/>
      <c r="V1055" s="29"/>
      <c r="W1055" s="24"/>
      <c r="X1055" s="18"/>
      <c r="Y1055" s="18"/>
      <c r="Z1055" s="18"/>
      <c r="AA1055" s="18"/>
      <c r="AB1055" s="18"/>
      <c r="AC1055" s="18"/>
      <c r="AD1055" s="18"/>
      <c r="AE1055" s="19"/>
      <c r="AF1055" s="20"/>
      <c r="AG1055" s="21"/>
      <c r="AH1055" s="21"/>
      <c r="AI1055" s="19"/>
      <c r="AJ1055" s="29"/>
      <c r="AK1055" s="29"/>
      <c r="AL1055" s="29"/>
    </row>
    <row r="1056" spans="2:38" s="28" customFormat="1" x14ac:dyDescent="0.3">
      <c r="B1056" s="24"/>
      <c r="C1056" s="37"/>
      <c r="D1056" s="37"/>
      <c r="E1056" s="37"/>
      <c r="F1056" s="35"/>
      <c r="G1056" s="35"/>
      <c r="H1056" s="35"/>
      <c r="I1056" s="35"/>
      <c r="J1056" s="35"/>
      <c r="K1056" s="35"/>
      <c r="L1056" s="35"/>
      <c r="M1056" s="31"/>
      <c r="N1056" s="32"/>
      <c r="O1056" s="32"/>
      <c r="P1056" s="32"/>
      <c r="Q1056" s="32"/>
      <c r="R1056" s="32"/>
      <c r="S1056" s="32"/>
      <c r="T1056" s="32"/>
      <c r="U1056" s="29"/>
      <c r="V1056" s="29"/>
      <c r="W1056" s="24"/>
      <c r="X1056" s="18"/>
      <c r="Y1056" s="18"/>
      <c r="Z1056" s="18"/>
      <c r="AA1056" s="18"/>
      <c r="AB1056" s="18"/>
      <c r="AC1056" s="18"/>
      <c r="AD1056" s="18"/>
      <c r="AE1056" s="19"/>
      <c r="AF1056" s="20"/>
      <c r="AG1056" s="21"/>
      <c r="AH1056" s="21"/>
      <c r="AI1056" s="19"/>
      <c r="AJ1056" s="29"/>
      <c r="AK1056" s="29"/>
      <c r="AL1056" s="29"/>
    </row>
    <row r="1057" spans="2:38" s="28" customFormat="1" x14ac:dyDescent="0.3">
      <c r="B1057" s="24"/>
      <c r="C1057" s="37"/>
      <c r="D1057" s="37"/>
      <c r="E1057" s="37"/>
      <c r="F1057" s="35"/>
      <c r="G1057" s="35"/>
      <c r="H1057" s="35"/>
      <c r="I1057" s="35"/>
      <c r="J1057" s="35"/>
      <c r="K1057" s="35"/>
      <c r="L1057" s="35"/>
      <c r="M1057" s="31"/>
      <c r="N1057" s="32"/>
      <c r="O1057" s="32"/>
      <c r="P1057" s="32"/>
      <c r="Q1057" s="32"/>
      <c r="R1057" s="32"/>
      <c r="S1057" s="32"/>
      <c r="T1057" s="32"/>
      <c r="U1057" s="29"/>
      <c r="V1057" s="29"/>
      <c r="W1057" s="24"/>
      <c r="X1057" s="18"/>
      <c r="Y1057" s="18"/>
      <c r="Z1057" s="18"/>
      <c r="AA1057" s="18"/>
      <c r="AB1057" s="18"/>
      <c r="AC1057" s="18"/>
      <c r="AD1057" s="18"/>
      <c r="AE1057" s="19"/>
      <c r="AF1057" s="20"/>
      <c r="AG1057" s="21"/>
      <c r="AH1057" s="21"/>
      <c r="AI1057" s="19"/>
      <c r="AJ1057" s="29"/>
      <c r="AK1057" s="29"/>
      <c r="AL1057" s="29"/>
    </row>
    <row r="1058" spans="2:38" s="28" customFormat="1" x14ac:dyDescent="0.3">
      <c r="B1058" s="24"/>
      <c r="C1058" s="37"/>
      <c r="D1058" s="37"/>
      <c r="E1058" s="37"/>
      <c r="F1058" s="35"/>
      <c r="G1058" s="35"/>
      <c r="H1058" s="35"/>
      <c r="I1058" s="35"/>
      <c r="J1058" s="35"/>
      <c r="K1058" s="35"/>
      <c r="L1058" s="35"/>
      <c r="M1058" s="31"/>
      <c r="N1058" s="32"/>
      <c r="O1058" s="32"/>
      <c r="P1058" s="32"/>
      <c r="Q1058" s="32"/>
      <c r="R1058" s="32"/>
      <c r="S1058" s="32"/>
      <c r="T1058" s="32"/>
      <c r="U1058" s="29"/>
      <c r="V1058" s="29"/>
      <c r="W1058" s="24"/>
      <c r="X1058" s="18"/>
      <c r="Y1058" s="18"/>
      <c r="Z1058" s="18"/>
      <c r="AA1058" s="18"/>
      <c r="AB1058" s="18"/>
      <c r="AC1058" s="18"/>
      <c r="AD1058" s="18"/>
      <c r="AE1058" s="19"/>
      <c r="AF1058" s="20"/>
      <c r="AG1058" s="21"/>
      <c r="AH1058" s="21"/>
      <c r="AI1058" s="19"/>
      <c r="AJ1058" s="29"/>
      <c r="AK1058" s="29"/>
      <c r="AL1058" s="29"/>
    </row>
    <row r="1059" spans="2:38" s="28" customFormat="1" x14ac:dyDescent="0.3">
      <c r="B1059" s="24"/>
      <c r="C1059" s="37"/>
      <c r="D1059" s="37"/>
      <c r="E1059" s="37"/>
      <c r="F1059" s="35"/>
      <c r="G1059" s="35"/>
      <c r="H1059" s="35"/>
      <c r="I1059" s="35"/>
      <c r="J1059" s="35"/>
      <c r="K1059" s="35"/>
      <c r="L1059" s="35"/>
      <c r="M1059" s="31"/>
      <c r="N1059" s="32"/>
      <c r="O1059" s="32"/>
      <c r="P1059" s="32"/>
      <c r="Q1059" s="32"/>
      <c r="R1059" s="32"/>
      <c r="S1059" s="32"/>
      <c r="T1059" s="32"/>
      <c r="U1059" s="29"/>
      <c r="V1059" s="29"/>
      <c r="W1059" s="24"/>
      <c r="X1059" s="18"/>
      <c r="Y1059" s="18"/>
      <c r="Z1059" s="18"/>
      <c r="AA1059" s="18"/>
      <c r="AB1059" s="18"/>
      <c r="AC1059" s="18"/>
      <c r="AD1059" s="18"/>
      <c r="AE1059" s="19"/>
      <c r="AF1059" s="20"/>
      <c r="AG1059" s="21"/>
      <c r="AH1059" s="21"/>
      <c r="AI1059" s="19"/>
      <c r="AJ1059" s="29"/>
      <c r="AK1059" s="29"/>
      <c r="AL1059" s="29"/>
    </row>
    <row r="1060" spans="2:38" s="28" customFormat="1" x14ac:dyDescent="0.3">
      <c r="B1060" s="24"/>
      <c r="C1060" s="37"/>
      <c r="D1060" s="37"/>
      <c r="E1060" s="37"/>
      <c r="F1060" s="35"/>
      <c r="G1060" s="35"/>
      <c r="H1060" s="35"/>
      <c r="I1060" s="35"/>
      <c r="J1060" s="35"/>
      <c r="K1060" s="35"/>
      <c r="L1060" s="35"/>
      <c r="M1060" s="31"/>
      <c r="N1060" s="32"/>
      <c r="O1060" s="32"/>
      <c r="P1060" s="32"/>
      <c r="Q1060" s="32"/>
      <c r="R1060" s="32"/>
      <c r="S1060" s="32"/>
      <c r="T1060" s="32"/>
      <c r="U1060" s="29"/>
      <c r="V1060" s="29"/>
      <c r="W1060" s="24"/>
      <c r="X1060" s="18"/>
      <c r="Y1060" s="18"/>
      <c r="Z1060" s="18"/>
      <c r="AA1060" s="18"/>
      <c r="AB1060" s="18"/>
      <c r="AC1060" s="18"/>
      <c r="AD1060" s="18"/>
      <c r="AE1060" s="19"/>
      <c r="AF1060" s="20"/>
      <c r="AG1060" s="21"/>
      <c r="AH1060" s="21"/>
      <c r="AI1060" s="19"/>
      <c r="AJ1060" s="29"/>
      <c r="AK1060" s="29"/>
      <c r="AL1060" s="29"/>
    </row>
    <row r="1061" spans="2:38" s="28" customFormat="1" x14ac:dyDescent="0.3">
      <c r="B1061" s="24"/>
      <c r="C1061" s="37"/>
      <c r="D1061" s="37"/>
      <c r="E1061" s="37"/>
      <c r="F1061" s="35"/>
      <c r="G1061" s="35"/>
      <c r="H1061" s="35"/>
      <c r="I1061" s="35"/>
      <c r="J1061" s="35"/>
      <c r="K1061" s="35"/>
      <c r="L1061" s="35"/>
      <c r="M1061" s="31"/>
      <c r="N1061" s="32"/>
      <c r="O1061" s="32"/>
      <c r="P1061" s="32"/>
      <c r="Q1061" s="32"/>
      <c r="R1061" s="32"/>
      <c r="S1061" s="32"/>
      <c r="T1061" s="32"/>
      <c r="U1061" s="29"/>
      <c r="V1061" s="29"/>
      <c r="W1061" s="24"/>
      <c r="X1061" s="18"/>
      <c r="Y1061" s="18"/>
      <c r="Z1061" s="18"/>
      <c r="AA1061" s="18"/>
      <c r="AB1061" s="18"/>
      <c r="AC1061" s="18"/>
      <c r="AD1061" s="18"/>
      <c r="AE1061" s="19"/>
      <c r="AF1061" s="20"/>
      <c r="AG1061" s="21"/>
      <c r="AH1061" s="21"/>
      <c r="AI1061" s="19"/>
      <c r="AJ1061" s="29"/>
      <c r="AK1061" s="29"/>
      <c r="AL1061" s="29"/>
    </row>
    <row r="1062" spans="2:38" s="28" customFormat="1" x14ac:dyDescent="0.3">
      <c r="B1062" s="24"/>
      <c r="C1062" s="37"/>
      <c r="D1062" s="37"/>
      <c r="E1062" s="37"/>
      <c r="F1062" s="35"/>
      <c r="G1062" s="35"/>
      <c r="H1062" s="35"/>
      <c r="I1062" s="35"/>
      <c r="J1062" s="35"/>
      <c r="K1062" s="35"/>
      <c r="L1062" s="35"/>
      <c r="M1062" s="31"/>
      <c r="N1062" s="32"/>
      <c r="O1062" s="32"/>
      <c r="P1062" s="32"/>
      <c r="Q1062" s="32"/>
      <c r="R1062" s="32"/>
      <c r="S1062" s="32"/>
      <c r="T1062" s="32"/>
      <c r="U1062" s="29"/>
      <c r="V1062" s="29"/>
      <c r="W1062" s="24"/>
      <c r="X1062" s="18"/>
      <c r="Y1062" s="18"/>
      <c r="Z1062" s="18"/>
      <c r="AA1062" s="18"/>
      <c r="AB1062" s="18"/>
      <c r="AC1062" s="18"/>
      <c r="AD1062" s="18"/>
      <c r="AE1062" s="19"/>
      <c r="AF1062" s="20"/>
      <c r="AG1062" s="21"/>
      <c r="AH1062" s="21"/>
      <c r="AI1062" s="19"/>
      <c r="AJ1062" s="29"/>
      <c r="AK1062" s="29"/>
      <c r="AL1062" s="29"/>
    </row>
    <row r="1063" spans="2:38" s="28" customFormat="1" x14ac:dyDescent="0.3">
      <c r="B1063" s="24"/>
      <c r="C1063" s="37"/>
      <c r="D1063" s="37"/>
      <c r="E1063" s="37"/>
      <c r="F1063" s="35"/>
      <c r="G1063" s="35"/>
      <c r="H1063" s="35"/>
      <c r="I1063" s="35"/>
      <c r="J1063" s="35"/>
      <c r="K1063" s="35"/>
      <c r="L1063" s="35"/>
      <c r="M1063" s="31"/>
      <c r="N1063" s="32"/>
      <c r="O1063" s="32"/>
      <c r="P1063" s="32"/>
      <c r="Q1063" s="32"/>
      <c r="R1063" s="32"/>
      <c r="S1063" s="32"/>
      <c r="T1063" s="32"/>
      <c r="U1063" s="29"/>
      <c r="V1063" s="29"/>
      <c r="W1063" s="24"/>
      <c r="X1063" s="18"/>
      <c r="Y1063" s="18"/>
      <c r="Z1063" s="18"/>
      <c r="AA1063" s="18"/>
      <c r="AB1063" s="18"/>
      <c r="AC1063" s="18"/>
      <c r="AD1063" s="18"/>
      <c r="AE1063" s="19"/>
      <c r="AF1063" s="20"/>
      <c r="AG1063" s="21"/>
      <c r="AH1063" s="21"/>
      <c r="AI1063" s="19"/>
      <c r="AJ1063" s="29"/>
      <c r="AK1063" s="29"/>
      <c r="AL1063" s="29"/>
    </row>
    <row r="1064" spans="2:38" s="28" customFormat="1" x14ac:dyDescent="0.3">
      <c r="B1064" s="24"/>
      <c r="C1064" s="37"/>
      <c r="D1064" s="37"/>
      <c r="E1064" s="37"/>
      <c r="F1064" s="35"/>
      <c r="G1064" s="35"/>
      <c r="H1064" s="35"/>
      <c r="I1064" s="35"/>
      <c r="J1064" s="35"/>
      <c r="K1064" s="35"/>
      <c r="L1064" s="35"/>
      <c r="M1064" s="31"/>
      <c r="N1064" s="32"/>
      <c r="O1064" s="32"/>
      <c r="P1064" s="32"/>
      <c r="Q1064" s="32"/>
      <c r="R1064" s="32"/>
      <c r="S1064" s="32"/>
      <c r="T1064" s="32"/>
      <c r="U1064" s="29"/>
      <c r="V1064" s="29"/>
      <c r="W1064" s="24"/>
      <c r="X1064" s="18"/>
      <c r="Y1064" s="18"/>
      <c r="Z1064" s="18"/>
      <c r="AA1064" s="18"/>
      <c r="AB1064" s="18"/>
      <c r="AC1064" s="18"/>
      <c r="AD1064" s="18"/>
      <c r="AE1064" s="19"/>
      <c r="AF1064" s="20"/>
      <c r="AG1064" s="21"/>
      <c r="AH1064" s="21"/>
      <c r="AI1064" s="19"/>
      <c r="AJ1064" s="29"/>
      <c r="AK1064" s="29"/>
      <c r="AL1064" s="29"/>
    </row>
    <row r="1065" spans="2:38" s="28" customFormat="1" x14ac:dyDescent="0.3">
      <c r="B1065" s="24"/>
      <c r="C1065" s="37"/>
      <c r="D1065" s="37"/>
      <c r="E1065" s="37"/>
      <c r="F1065" s="35"/>
      <c r="G1065" s="35"/>
      <c r="H1065" s="35"/>
      <c r="I1065" s="35"/>
      <c r="J1065" s="35"/>
      <c r="K1065" s="35"/>
      <c r="L1065" s="35"/>
      <c r="M1065" s="31"/>
      <c r="N1065" s="32"/>
      <c r="O1065" s="32"/>
      <c r="P1065" s="32"/>
      <c r="Q1065" s="32"/>
      <c r="R1065" s="32"/>
      <c r="S1065" s="32"/>
      <c r="T1065" s="32"/>
      <c r="U1065" s="29"/>
      <c r="V1065" s="29"/>
      <c r="W1065" s="24"/>
      <c r="X1065" s="18"/>
      <c r="Y1065" s="18"/>
      <c r="Z1065" s="18"/>
      <c r="AA1065" s="18"/>
      <c r="AB1065" s="18"/>
      <c r="AC1065" s="18"/>
      <c r="AD1065" s="18"/>
      <c r="AE1065" s="19"/>
      <c r="AF1065" s="20"/>
      <c r="AG1065" s="21"/>
      <c r="AH1065" s="21"/>
      <c r="AI1065" s="19"/>
      <c r="AJ1065" s="29"/>
      <c r="AK1065" s="29"/>
      <c r="AL1065" s="29"/>
    </row>
    <row r="1066" spans="2:38" s="28" customFormat="1" x14ac:dyDescent="0.3">
      <c r="B1066" s="24"/>
      <c r="C1066" s="37"/>
      <c r="D1066" s="37"/>
      <c r="E1066" s="37"/>
      <c r="F1066" s="35"/>
      <c r="G1066" s="35"/>
      <c r="H1066" s="35"/>
      <c r="I1066" s="35"/>
      <c r="J1066" s="35"/>
      <c r="K1066" s="35"/>
      <c r="L1066" s="35"/>
      <c r="M1066" s="31"/>
      <c r="N1066" s="32"/>
      <c r="O1066" s="32"/>
      <c r="P1066" s="32"/>
      <c r="Q1066" s="32"/>
      <c r="R1066" s="32"/>
      <c r="S1066" s="32"/>
      <c r="T1066" s="32"/>
      <c r="U1066" s="29"/>
      <c r="V1066" s="29"/>
      <c r="W1066" s="24"/>
      <c r="X1066" s="18"/>
      <c r="Y1066" s="18"/>
      <c r="Z1066" s="18"/>
      <c r="AA1066" s="18"/>
      <c r="AB1066" s="18"/>
      <c r="AC1066" s="18"/>
      <c r="AD1066" s="18"/>
      <c r="AE1066" s="19"/>
      <c r="AF1066" s="20"/>
      <c r="AG1066" s="21"/>
      <c r="AH1066" s="21"/>
      <c r="AI1066" s="19"/>
      <c r="AJ1066" s="29"/>
      <c r="AK1066" s="29"/>
      <c r="AL1066" s="29"/>
    </row>
    <row r="1067" spans="2:38" s="28" customFormat="1" x14ac:dyDescent="0.3">
      <c r="B1067" s="24"/>
      <c r="C1067" s="37"/>
      <c r="D1067" s="37"/>
      <c r="E1067" s="37"/>
      <c r="F1067" s="35"/>
      <c r="G1067" s="35"/>
      <c r="H1067" s="35"/>
      <c r="I1067" s="35"/>
      <c r="J1067" s="35"/>
      <c r="K1067" s="35"/>
      <c r="L1067" s="35"/>
      <c r="M1067" s="31"/>
      <c r="N1067" s="32"/>
      <c r="O1067" s="32"/>
      <c r="P1067" s="32"/>
      <c r="Q1067" s="32"/>
      <c r="R1067" s="32"/>
      <c r="S1067" s="32"/>
      <c r="T1067" s="32"/>
      <c r="U1067" s="29"/>
      <c r="V1067" s="29"/>
      <c r="W1067" s="24"/>
      <c r="X1067" s="18"/>
      <c r="Y1067" s="18"/>
      <c r="Z1067" s="18"/>
      <c r="AA1067" s="18"/>
      <c r="AB1067" s="18"/>
      <c r="AC1067" s="18"/>
      <c r="AD1067" s="18"/>
      <c r="AE1067" s="19"/>
      <c r="AF1067" s="20"/>
      <c r="AG1067" s="21"/>
      <c r="AH1067" s="21"/>
      <c r="AI1067" s="19"/>
      <c r="AJ1067" s="29"/>
      <c r="AK1067" s="29"/>
      <c r="AL1067" s="29"/>
    </row>
    <row r="1068" spans="2:38" s="28" customFormat="1" x14ac:dyDescent="0.3">
      <c r="B1068" s="24"/>
      <c r="C1068" s="37"/>
      <c r="D1068" s="37"/>
      <c r="E1068" s="37"/>
      <c r="F1068" s="35"/>
      <c r="G1068" s="35"/>
      <c r="H1068" s="35"/>
      <c r="I1068" s="35"/>
      <c r="J1068" s="35"/>
      <c r="K1068" s="35"/>
      <c r="L1068" s="35"/>
      <c r="M1068" s="31"/>
      <c r="N1068" s="32"/>
      <c r="O1068" s="32"/>
      <c r="P1068" s="32"/>
      <c r="Q1068" s="32"/>
      <c r="R1068" s="32"/>
      <c r="S1068" s="32"/>
      <c r="T1068" s="32"/>
      <c r="U1068" s="29"/>
      <c r="V1068" s="29"/>
      <c r="W1068" s="24"/>
      <c r="X1068" s="18"/>
      <c r="Y1068" s="18"/>
      <c r="Z1068" s="18"/>
      <c r="AA1068" s="18"/>
      <c r="AB1068" s="18"/>
      <c r="AC1068" s="18"/>
      <c r="AD1068" s="18"/>
      <c r="AE1068" s="19"/>
      <c r="AF1068" s="20"/>
      <c r="AG1068" s="21"/>
      <c r="AH1068" s="21"/>
      <c r="AI1068" s="19"/>
      <c r="AJ1068" s="29"/>
      <c r="AK1068" s="29"/>
      <c r="AL1068" s="29"/>
    </row>
    <row r="1069" spans="2:38" s="28" customFormat="1" x14ac:dyDescent="0.3">
      <c r="B1069" s="24"/>
      <c r="C1069" s="37"/>
      <c r="D1069" s="37"/>
      <c r="E1069" s="37"/>
      <c r="F1069" s="35"/>
      <c r="G1069" s="35"/>
      <c r="H1069" s="35"/>
      <c r="I1069" s="35"/>
      <c r="J1069" s="35"/>
      <c r="K1069" s="35"/>
      <c r="L1069" s="35"/>
      <c r="M1069" s="31"/>
      <c r="N1069" s="32"/>
      <c r="O1069" s="32"/>
      <c r="P1069" s="32"/>
      <c r="Q1069" s="32"/>
      <c r="R1069" s="32"/>
      <c r="S1069" s="32"/>
      <c r="T1069" s="32"/>
      <c r="U1069" s="29"/>
      <c r="V1069" s="29"/>
      <c r="W1069" s="24"/>
      <c r="X1069" s="18"/>
      <c r="Y1069" s="18"/>
      <c r="Z1069" s="18"/>
      <c r="AA1069" s="18"/>
      <c r="AB1069" s="18"/>
      <c r="AC1069" s="18"/>
      <c r="AD1069" s="18"/>
      <c r="AE1069" s="19"/>
      <c r="AF1069" s="20"/>
      <c r="AG1069" s="21"/>
      <c r="AH1069" s="21"/>
      <c r="AI1069" s="19"/>
      <c r="AJ1069" s="29"/>
      <c r="AK1069" s="29"/>
      <c r="AL1069" s="29"/>
    </row>
    <row r="1070" spans="2:38" s="28" customFormat="1" x14ac:dyDescent="0.3">
      <c r="B1070" s="24"/>
      <c r="C1070" s="37"/>
      <c r="D1070" s="37"/>
      <c r="E1070" s="37"/>
      <c r="F1070" s="35"/>
      <c r="G1070" s="35"/>
      <c r="H1070" s="35"/>
      <c r="I1070" s="35"/>
      <c r="J1070" s="35"/>
      <c r="K1070" s="35"/>
      <c r="L1070" s="35"/>
      <c r="M1070" s="31"/>
      <c r="N1070" s="32"/>
      <c r="O1070" s="32"/>
      <c r="P1070" s="32"/>
      <c r="Q1070" s="32"/>
      <c r="R1070" s="32"/>
      <c r="S1070" s="32"/>
      <c r="T1070" s="32"/>
      <c r="U1070" s="29"/>
      <c r="V1070" s="29"/>
      <c r="W1070" s="24"/>
      <c r="X1070" s="18"/>
      <c r="Y1070" s="18"/>
      <c r="Z1070" s="18"/>
      <c r="AA1070" s="18"/>
      <c r="AB1070" s="18"/>
      <c r="AC1070" s="18"/>
      <c r="AD1070" s="18"/>
      <c r="AE1070" s="19"/>
      <c r="AF1070" s="20"/>
      <c r="AG1070" s="21"/>
      <c r="AH1070" s="21"/>
      <c r="AI1070" s="19"/>
      <c r="AJ1070" s="29"/>
      <c r="AK1070" s="29"/>
      <c r="AL1070" s="29"/>
    </row>
    <row r="1071" spans="2:38" s="28" customFormat="1" x14ac:dyDescent="0.3">
      <c r="B1071" s="24"/>
      <c r="C1071" s="37"/>
      <c r="D1071" s="37"/>
      <c r="E1071" s="37"/>
      <c r="F1071" s="35"/>
      <c r="G1071" s="35"/>
      <c r="H1071" s="35"/>
      <c r="I1071" s="35"/>
      <c r="J1071" s="35"/>
      <c r="K1071" s="35"/>
      <c r="L1071" s="35"/>
      <c r="M1071" s="31"/>
      <c r="N1071" s="32"/>
      <c r="O1071" s="32"/>
      <c r="P1071" s="32"/>
      <c r="Q1071" s="32"/>
      <c r="R1071" s="32"/>
      <c r="S1071" s="32"/>
      <c r="T1071" s="32"/>
      <c r="U1071" s="29"/>
      <c r="V1071" s="29"/>
      <c r="W1071" s="24"/>
      <c r="X1071" s="18"/>
      <c r="Y1071" s="18"/>
      <c r="Z1071" s="18"/>
      <c r="AA1071" s="18"/>
      <c r="AB1071" s="18"/>
      <c r="AC1071" s="18"/>
      <c r="AD1071" s="18"/>
      <c r="AE1071" s="19"/>
      <c r="AF1071" s="20"/>
      <c r="AG1071" s="21"/>
      <c r="AH1071" s="21"/>
      <c r="AI1071" s="19"/>
      <c r="AJ1071" s="29"/>
      <c r="AK1071" s="29"/>
      <c r="AL1071" s="29"/>
    </row>
    <row r="1072" spans="2:38" s="28" customFormat="1" x14ac:dyDescent="0.3">
      <c r="B1072" s="24"/>
      <c r="C1072" s="37"/>
      <c r="D1072" s="37"/>
      <c r="E1072" s="37"/>
      <c r="F1072" s="35"/>
      <c r="G1072" s="35"/>
      <c r="H1072" s="35"/>
      <c r="I1072" s="35"/>
      <c r="J1072" s="35"/>
      <c r="K1072" s="35"/>
      <c r="L1072" s="35"/>
      <c r="M1072" s="31"/>
      <c r="N1072" s="32"/>
      <c r="O1072" s="32"/>
      <c r="P1072" s="32"/>
      <c r="Q1072" s="32"/>
      <c r="R1072" s="32"/>
      <c r="S1072" s="32"/>
      <c r="T1072" s="32"/>
      <c r="U1072" s="29"/>
      <c r="V1072" s="29"/>
      <c r="W1072" s="24"/>
      <c r="X1072" s="18"/>
      <c r="Y1072" s="18"/>
      <c r="Z1072" s="18"/>
      <c r="AA1072" s="18"/>
      <c r="AB1072" s="18"/>
      <c r="AC1072" s="18"/>
      <c r="AD1072" s="18"/>
      <c r="AE1072" s="19"/>
      <c r="AF1072" s="20"/>
      <c r="AG1072" s="21"/>
      <c r="AH1072" s="21"/>
      <c r="AI1072" s="19"/>
      <c r="AJ1072" s="29"/>
      <c r="AK1072" s="29"/>
      <c r="AL1072" s="29"/>
    </row>
    <row r="1073" spans="2:38" s="28" customFormat="1" x14ac:dyDescent="0.3">
      <c r="B1073" s="24"/>
      <c r="C1073" s="37"/>
      <c r="D1073" s="37"/>
      <c r="E1073" s="37"/>
      <c r="F1073" s="35"/>
      <c r="G1073" s="35"/>
      <c r="H1073" s="35"/>
      <c r="I1073" s="35"/>
      <c r="J1073" s="35"/>
      <c r="K1073" s="35"/>
      <c r="L1073" s="35"/>
      <c r="M1073" s="31"/>
      <c r="N1073" s="32"/>
      <c r="O1073" s="32"/>
      <c r="P1073" s="32"/>
      <c r="Q1073" s="32"/>
      <c r="R1073" s="32"/>
      <c r="S1073" s="32"/>
      <c r="T1073" s="32"/>
      <c r="U1073" s="29"/>
      <c r="V1073" s="29"/>
      <c r="W1073" s="24"/>
      <c r="X1073" s="18"/>
      <c r="Y1073" s="18"/>
      <c r="Z1073" s="18"/>
      <c r="AA1073" s="18"/>
      <c r="AB1073" s="18"/>
      <c r="AC1073" s="18"/>
      <c r="AD1073" s="18"/>
      <c r="AE1073" s="19"/>
      <c r="AF1073" s="20"/>
      <c r="AG1073" s="21"/>
      <c r="AH1073" s="21"/>
      <c r="AI1073" s="19"/>
      <c r="AJ1073" s="29"/>
      <c r="AK1073" s="29"/>
      <c r="AL1073" s="29"/>
    </row>
    <row r="1074" spans="2:38" s="28" customFormat="1" x14ac:dyDescent="0.3">
      <c r="B1074" s="24"/>
      <c r="C1074" s="37"/>
      <c r="D1074" s="37"/>
      <c r="E1074" s="37"/>
      <c r="F1074" s="35"/>
      <c r="G1074" s="35"/>
      <c r="H1074" s="35"/>
      <c r="I1074" s="35"/>
      <c r="J1074" s="35"/>
      <c r="K1074" s="35"/>
      <c r="L1074" s="35"/>
      <c r="M1074" s="31"/>
      <c r="N1074" s="32"/>
      <c r="O1074" s="32"/>
      <c r="P1074" s="32"/>
      <c r="Q1074" s="32"/>
      <c r="R1074" s="32"/>
      <c r="S1074" s="32"/>
      <c r="T1074" s="32"/>
      <c r="U1074" s="29"/>
      <c r="V1074" s="29"/>
      <c r="W1074" s="24"/>
      <c r="X1074" s="18"/>
      <c r="Y1074" s="18"/>
      <c r="Z1074" s="18"/>
      <c r="AA1074" s="18"/>
      <c r="AB1074" s="18"/>
      <c r="AC1074" s="18"/>
      <c r="AD1074" s="18"/>
      <c r="AE1074" s="19"/>
      <c r="AF1074" s="20"/>
      <c r="AG1074" s="21"/>
      <c r="AH1074" s="21"/>
      <c r="AI1074" s="19"/>
      <c r="AJ1074" s="29"/>
      <c r="AK1074" s="29"/>
      <c r="AL1074" s="29"/>
    </row>
    <row r="1075" spans="2:38" s="28" customFormat="1" x14ac:dyDescent="0.3">
      <c r="B1075" s="24"/>
      <c r="C1075" s="37"/>
      <c r="D1075" s="37"/>
      <c r="E1075" s="37"/>
      <c r="F1075" s="35"/>
      <c r="G1075" s="35"/>
      <c r="H1075" s="35"/>
      <c r="I1075" s="35"/>
      <c r="J1075" s="35"/>
      <c r="K1075" s="35"/>
      <c r="L1075" s="35"/>
      <c r="M1075" s="31"/>
      <c r="N1075" s="32"/>
      <c r="O1075" s="32"/>
      <c r="P1075" s="32"/>
      <c r="Q1075" s="32"/>
      <c r="R1075" s="32"/>
      <c r="S1075" s="32"/>
      <c r="T1075" s="32"/>
      <c r="U1075" s="29"/>
      <c r="V1075" s="29"/>
      <c r="W1075" s="24"/>
      <c r="X1075" s="18"/>
      <c r="Y1075" s="18"/>
      <c r="Z1075" s="18"/>
      <c r="AA1075" s="18"/>
      <c r="AB1075" s="18"/>
      <c r="AC1075" s="18"/>
      <c r="AD1075" s="18"/>
      <c r="AE1075" s="19"/>
      <c r="AF1075" s="20"/>
      <c r="AG1075" s="21"/>
      <c r="AH1075" s="21"/>
      <c r="AI1075" s="19"/>
      <c r="AJ1075" s="29"/>
      <c r="AK1075" s="29"/>
      <c r="AL1075" s="29"/>
    </row>
    <row r="1076" spans="2:38" s="28" customFormat="1" x14ac:dyDescent="0.3">
      <c r="B1076" s="24"/>
      <c r="C1076" s="37"/>
      <c r="D1076" s="37"/>
      <c r="E1076" s="37"/>
      <c r="F1076" s="35"/>
      <c r="G1076" s="35"/>
      <c r="H1076" s="35"/>
      <c r="I1076" s="35"/>
      <c r="J1076" s="35"/>
      <c r="K1076" s="35"/>
      <c r="L1076" s="35"/>
      <c r="M1076" s="31"/>
      <c r="N1076" s="32"/>
      <c r="O1076" s="32"/>
      <c r="P1076" s="32"/>
      <c r="Q1076" s="32"/>
      <c r="R1076" s="32"/>
      <c r="S1076" s="32"/>
      <c r="T1076" s="32"/>
      <c r="U1076" s="29"/>
      <c r="V1076" s="29"/>
      <c r="W1076" s="24"/>
      <c r="X1076" s="18"/>
      <c r="Y1076" s="18"/>
      <c r="Z1076" s="18"/>
      <c r="AA1076" s="18"/>
      <c r="AB1076" s="18"/>
      <c r="AC1076" s="18"/>
      <c r="AD1076" s="18"/>
      <c r="AE1076" s="19"/>
      <c r="AF1076" s="20"/>
      <c r="AG1076" s="21"/>
      <c r="AH1076" s="21"/>
      <c r="AI1076" s="19"/>
      <c r="AJ1076" s="29"/>
      <c r="AK1076" s="29"/>
      <c r="AL1076" s="29"/>
    </row>
    <row r="1077" spans="2:38" s="28" customFormat="1" x14ac:dyDescent="0.3">
      <c r="B1077" s="24"/>
      <c r="C1077" s="37"/>
      <c r="D1077" s="37"/>
      <c r="E1077" s="37"/>
      <c r="F1077" s="35"/>
      <c r="G1077" s="35"/>
      <c r="H1077" s="35"/>
      <c r="I1077" s="35"/>
      <c r="J1077" s="35"/>
      <c r="K1077" s="35"/>
      <c r="L1077" s="35"/>
      <c r="M1077" s="31"/>
      <c r="N1077" s="32"/>
      <c r="O1077" s="32"/>
      <c r="P1077" s="32"/>
      <c r="Q1077" s="32"/>
      <c r="R1077" s="32"/>
      <c r="S1077" s="32"/>
      <c r="T1077" s="32"/>
      <c r="U1077" s="29"/>
      <c r="V1077" s="29"/>
      <c r="W1077" s="24"/>
      <c r="X1077" s="18"/>
      <c r="Y1077" s="18"/>
      <c r="Z1077" s="18"/>
      <c r="AA1077" s="18"/>
      <c r="AB1077" s="18"/>
      <c r="AC1077" s="18"/>
      <c r="AD1077" s="18"/>
      <c r="AE1077" s="19"/>
      <c r="AF1077" s="20"/>
      <c r="AG1077" s="21"/>
      <c r="AH1077" s="21"/>
      <c r="AI1077" s="19"/>
      <c r="AJ1077" s="29"/>
      <c r="AK1077" s="29"/>
      <c r="AL1077" s="29"/>
    </row>
    <row r="1078" spans="2:38" s="28" customFormat="1" x14ac:dyDescent="0.3">
      <c r="B1078" s="24"/>
      <c r="C1078" s="37"/>
      <c r="D1078" s="37"/>
      <c r="E1078" s="37"/>
      <c r="F1078" s="35"/>
      <c r="G1078" s="35"/>
      <c r="H1078" s="35"/>
      <c r="I1078" s="35"/>
      <c r="J1078" s="35"/>
      <c r="K1078" s="35"/>
      <c r="L1078" s="35"/>
      <c r="M1078" s="31"/>
      <c r="N1078" s="32"/>
      <c r="O1078" s="32"/>
      <c r="P1078" s="32"/>
      <c r="Q1078" s="32"/>
      <c r="R1078" s="32"/>
      <c r="S1078" s="32"/>
      <c r="T1078" s="32"/>
      <c r="U1078" s="29"/>
      <c r="V1078" s="29"/>
      <c r="W1078" s="24"/>
      <c r="X1078" s="18"/>
      <c r="Y1078" s="18"/>
      <c r="Z1078" s="18"/>
      <c r="AA1078" s="18"/>
      <c r="AB1078" s="18"/>
      <c r="AC1078" s="18"/>
      <c r="AD1078" s="18"/>
      <c r="AE1078" s="19"/>
      <c r="AF1078" s="20"/>
      <c r="AG1078" s="21"/>
      <c r="AH1078" s="21"/>
      <c r="AI1078" s="19"/>
      <c r="AJ1078" s="29"/>
      <c r="AK1078" s="29"/>
      <c r="AL1078" s="29"/>
    </row>
    <row r="1079" spans="2:38" s="28" customFormat="1" x14ac:dyDescent="0.3">
      <c r="B1079" s="24"/>
      <c r="C1079" s="37"/>
      <c r="D1079" s="37"/>
      <c r="E1079" s="37"/>
      <c r="F1079" s="35"/>
      <c r="G1079" s="35"/>
      <c r="H1079" s="35"/>
      <c r="I1079" s="35"/>
      <c r="J1079" s="35"/>
      <c r="K1079" s="35"/>
      <c r="L1079" s="35"/>
      <c r="M1079" s="31"/>
      <c r="N1079" s="32"/>
      <c r="O1079" s="32"/>
      <c r="P1079" s="32"/>
      <c r="Q1079" s="32"/>
      <c r="R1079" s="32"/>
      <c r="S1079" s="32"/>
      <c r="T1079" s="32"/>
      <c r="U1079" s="29"/>
      <c r="V1079" s="29"/>
      <c r="W1079" s="24"/>
      <c r="X1079" s="18"/>
      <c r="Y1079" s="18"/>
      <c r="Z1079" s="18"/>
      <c r="AA1079" s="18"/>
      <c r="AB1079" s="18"/>
      <c r="AC1079" s="18"/>
      <c r="AD1079" s="18"/>
      <c r="AE1079" s="19"/>
      <c r="AF1079" s="20"/>
      <c r="AG1079" s="21"/>
      <c r="AH1079" s="21"/>
      <c r="AI1079" s="19"/>
      <c r="AJ1079" s="29"/>
      <c r="AK1079" s="29"/>
      <c r="AL1079" s="29"/>
    </row>
    <row r="1080" spans="2:38" s="28" customFormat="1" x14ac:dyDescent="0.3">
      <c r="B1080" s="24"/>
      <c r="C1080" s="37"/>
      <c r="D1080" s="37"/>
      <c r="E1080" s="37"/>
      <c r="F1080" s="35"/>
      <c r="G1080" s="35"/>
      <c r="H1080" s="35"/>
      <c r="I1080" s="35"/>
      <c r="J1080" s="35"/>
      <c r="K1080" s="35"/>
      <c r="L1080" s="35"/>
      <c r="M1080" s="31"/>
      <c r="N1080" s="32"/>
      <c r="O1080" s="32"/>
      <c r="P1080" s="32"/>
      <c r="Q1080" s="32"/>
      <c r="R1080" s="32"/>
      <c r="S1080" s="32"/>
      <c r="T1080" s="32"/>
      <c r="U1080" s="29"/>
      <c r="V1080" s="29"/>
      <c r="W1080" s="24"/>
      <c r="X1080" s="18"/>
      <c r="Y1080" s="18"/>
      <c r="Z1080" s="18"/>
      <c r="AA1080" s="18"/>
      <c r="AB1080" s="18"/>
      <c r="AC1080" s="18"/>
      <c r="AD1080" s="18"/>
      <c r="AE1080" s="19"/>
      <c r="AF1080" s="20"/>
      <c r="AG1080" s="21"/>
      <c r="AH1080" s="21"/>
      <c r="AI1080" s="19"/>
      <c r="AJ1080" s="29"/>
      <c r="AK1080" s="29"/>
      <c r="AL1080" s="29"/>
    </row>
    <row r="1081" spans="2:38" s="28" customFormat="1" x14ac:dyDescent="0.3">
      <c r="B1081" s="24"/>
      <c r="C1081" s="37"/>
      <c r="D1081" s="37"/>
      <c r="E1081" s="37"/>
      <c r="F1081" s="35"/>
      <c r="G1081" s="35"/>
      <c r="H1081" s="35"/>
      <c r="I1081" s="35"/>
      <c r="J1081" s="35"/>
      <c r="K1081" s="35"/>
      <c r="L1081" s="35"/>
      <c r="M1081" s="31"/>
      <c r="N1081" s="32"/>
      <c r="O1081" s="32"/>
      <c r="P1081" s="32"/>
      <c r="Q1081" s="32"/>
      <c r="R1081" s="32"/>
      <c r="S1081" s="32"/>
      <c r="T1081" s="32"/>
      <c r="U1081" s="29"/>
      <c r="V1081" s="29"/>
      <c r="W1081" s="24"/>
      <c r="X1081" s="18"/>
      <c r="Y1081" s="18"/>
      <c r="Z1081" s="18"/>
      <c r="AA1081" s="18"/>
      <c r="AB1081" s="18"/>
      <c r="AC1081" s="18"/>
      <c r="AD1081" s="18"/>
      <c r="AE1081" s="19"/>
      <c r="AF1081" s="20"/>
      <c r="AG1081" s="21"/>
      <c r="AH1081" s="21"/>
      <c r="AI1081" s="19"/>
      <c r="AJ1081" s="29"/>
      <c r="AK1081" s="29"/>
      <c r="AL1081" s="29"/>
    </row>
    <row r="1082" spans="2:38" s="28" customFormat="1" x14ac:dyDescent="0.3">
      <c r="B1082" s="24"/>
      <c r="C1082" s="37"/>
      <c r="D1082" s="37"/>
      <c r="E1082" s="37"/>
      <c r="F1082" s="35"/>
      <c r="G1082" s="35"/>
      <c r="H1082" s="35"/>
      <c r="I1082" s="35"/>
      <c r="J1082" s="35"/>
      <c r="K1082" s="35"/>
      <c r="L1082" s="35"/>
      <c r="M1082" s="31"/>
      <c r="N1082" s="32"/>
      <c r="O1082" s="32"/>
      <c r="P1082" s="32"/>
      <c r="Q1082" s="32"/>
      <c r="R1082" s="32"/>
      <c r="S1082" s="32"/>
      <c r="T1082" s="32"/>
      <c r="U1082" s="29"/>
      <c r="V1082" s="29"/>
      <c r="W1082" s="24"/>
      <c r="X1082" s="18"/>
      <c r="Y1082" s="18"/>
      <c r="Z1082" s="18"/>
      <c r="AA1082" s="18"/>
      <c r="AB1082" s="18"/>
      <c r="AC1082" s="18"/>
      <c r="AD1082" s="18"/>
      <c r="AE1082" s="19"/>
      <c r="AF1082" s="20"/>
      <c r="AG1082" s="21"/>
      <c r="AH1082" s="21"/>
      <c r="AI1082" s="19"/>
      <c r="AJ1082" s="29"/>
      <c r="AK1082" s="29"/>
      <c r="AL1082" s="29"/>
    </row>
    <row r="1083" spans="2:38" s="28" customFormat="1" x14ac:dyDescent="0.3">
      <c r="B1083" s="24"/>
      <c r="C1083" s="37"/>
      <c r="D1083" s="37"/>
      <c r="E1083" s="37"/>
      <c r="F1083" s="35"/>
      <c r="G1083" s="35"/>
      <c r="H1083" s="35"/>
      <c r="I1083" s="35"/>
      <c r="J1083" s="35"/>
      <c r="K1083" s="35"/>
      <c r="L1083" s="35"/>
      <c r="M1083" s="31"/>
      <c r="N1083" s="32"/>
      <c r="O1083" s="32"/>
      <c r="P1083" s="32"/>
      <c r="Q1083" s="32"/>
      <c r="R1083" s="32"/>
      <c r="S1083" s="32"/>
      <c r="T1083" s="32"/>
      <c r="U1083" s="29"/>
      <c r="V1083" s="29"/>
      <c r="W1083" s="24"/>
      <c r="X1083" s="18"/>
      <c r="Y1083" s="18"/>
      <c r="Z1083" s="18"/>
      <c r="AA1083" s="18"/>
      <c r="AB1083" s="18"/>
      <c r="AC1083" s="18"/>
      <c r="AD1083" s="18"/>
      <c r="AE1083" s="19"/>
      <c r="AF1083" s="20"/>
      <c r="AG1083" s="21"/>
      <c r="AH1083" s="21"/>
      <c r="AI1083" s="19"/>
      <c r="AJ1083" s="29"/>
      <c r="AK1083" s="29"/>
      <c r="AL1083" s="29"/>
    </row>
    <row r="1084" spans="2:38" s="28" customFormat="1" x14ac:dyDescent="0.3">
      <c r="B1084" s="24"/>
      <c r="C1084" s="37"/>
      <c r="D1084" s="37"/>
      <c r="E1084" s="37"/>
      <c r="F1084" s="35"/>
      <c r="G1084" s="35"/>
      <c r="H1084" s="35"/>
      <c r="I1084" s="35"/>
      <c r="J1084" s="35"/>
      <c r="K1084" s="35"/>
      <c r="L1084" s="35"/>
      <c r="M1084" s="31"/>
      <c r="N1084" s="32"/>
      <c r="O1084" s="32"/>
      <c r="P1084" s="32"/>
      <c r="Q1084" s="32"/>
      <c r="R1084" s="32"/>
      <c r="S1084" s="32"/>
      <c r="T1084" s="32"/>
      <c r="U1084" s="29"/>
      <c r="V1084" s="29"/>
      <c r="W1084" s="24"/>
      <c r="X1084" s="18"/>
      <c r="Y1084" s="18"/>
      <c r="Z1084" s="18"/>
      <c r="AA1084" s="18"/>
      <c r="AB1084" s="18"/>
      <c r="AC1084" s="18"/>
      <c r="AD1084" s="18"/>
      <c r="AE1084" s="19"/>
      <c r="AF1084" s="20"/>
      <c r="AG1084" s="21"/>
      <c r="AH1084" s="21"/>
      <c r="AI1084" s="19"/>
      <c r="AJ1084" s="29"/>
      <c r="AK1084" s="29"/>
      <c r="AL1084" s="29"/>
    </row>
    <row r="1085" spans="2:38" s="28" customFormat="1" x14ac:dyDescent="0.3">
      <c r="B1085" s="24"/>
      <c r="C1085" s="37"/>
      <c r="D1085" s="37"/>
      <c r="E1085" s="37"/>
      <c r="F1085" s="35"/>
      <c r="G1085" s="35"/>
      <c r="H1085" s="35"/>
      <c r="I1085" s="35"/>
      <c r="J1085" s="35"/>
      <c r="K1085" s="35"/>
      <c r="L1085" s="35"/>
      <c r="M1085" s="31"/>
      <c r="N1085" s="32"/>
      <c r="O1085" s="32"/>
      <c r="P1085" s="32"/>
      <c r="Q1085" s="32"/>
      <c r="R1085" s="32"/>
      <c r="S1085" s="32"/>
      <c r="T1085" s="32"/>
      <c r="U1085" s="29"/>
      <c r="V1085" s="29"/>
      <c r="W1085" s="24"/>
      <c r="X1085" s="18"/>
      <c r="Y1085" s="18"/>
      <c r="Z1085" s="18"/>
      <c r="AA1085" s="18"/>
      <c r="AB1085" s="18"/>
      <c r="AC1085" s="18"/>
      <c r="AD1085" s="18"/>
      <c r="AE1085" s="19"/>
      <c r="AF1085" s="20"/>
      <c r="AG1085" s="21"/>
      <c r="AH1085" s="21"/>
      <c r="AI1085" s="19"/>
      <c r="AJ1085" s="29"/>
      <c r="AK1085" s="29"/>
      <c r="AL1085" s="29"/>
    </row>
    <row r="1086" spans="2:38" s="28" customFormat="1" x14ac:dyDescent="0.3">
      <c r="B1086" s="24"/>
      <c r="C1086" s="37"/>
      <c r="D1086" s="37"/>
      <c r="E1086" s="37"/>
      <c r="F1086" s="35"/>
      <c r="G1086" s="35"/>
      <c r="H1086" s="35"/>
      <c r="I1086" s="35"/>
      <c r="J1086" s="35"/>
      <c r="K1086" s="35"/>
      <c r="L1086" s="35"/>
      <c r="M1086" s="31"/>
      <c r="N1086" s="32"/>
      <c r="O1086" s="32"/>
      <c r="P1086" s="32"/>
      <c r="Q1086" s="32"/>
      <c r="R1086" s="32"/>
      <c r="S1086" s="32"/>
      <c r="T1086" s="32"/>
      <c r="U1086" s="29"/>
      <c r="V1086" s="29"/>
      <c r="W1086" s="24"/>
      <c r="X1086" s="18"/>
      <c r="Y1086" s="18"/>
      <c r="Z1086" s="18"/>
      <c r="AA1086" s="18"/>
      <c r="AB1086" s="18"/>
      <c r="AC1086" s="18"/>
      <c r="AD1086" s="18"/>
      <c r="AE1086" s="19"/>
      <c r="AF1086" s="20"/>
      <c r="AG1086" s="21"/>
      <c r="AH1086" s="21"/>
      <c r="AI1086" s="19"/>
      <c r="AJ1086" s="29"/>
      <c r="AK1086" s="29"/>
      <c r="AL1086" s="29"/>
    </row>
    <row r="1087" spans="2:38" s="28" customFormat="1" x14ac:dyDescent="0.3">
      <c r="B1087" s="24"/>
      <c r="C1087" s="37"/>
      <c r="D1087" s="37"/>
      <c r="E1087" s="37"/>
      <c r="F1087" s="35"/>
      <c r="G1087" s="35"/>
      <c r="H1087" s="35"/>
      <c r="I1087" s="35"/>
      <c r="J1087" s="35"/>
      <c r="K1087" s="35"/>
      <c r="L1087" s="35"/>
      <c r="M1087" s="31"/>
      <c r="N1087" s="32"/>
      <c r="O1087" s="32"/>
      <c r="P1087" s="32"/>
      <c r="Q1087" s="32"/>
      <c r="R1087" s="32"/>
      <c r="S1087" s="32"/>
      <c r="T1087" s="32"/>
      <c r="U1087" s="29"/>
      <c r="V1087" s="29"/>
      <c r="W1087" s="24"/>
      <c r="X1087" s="18"/>
      <c r="Y1087" s="18"/>
      <c r="Z1087" s="18"/>
      <c r="AA1087" s="18"/>
      <c r="AB1087" s="18"/>
      <c r="AC1087" s="18"/>
      <c r="AD1087" s="18"/>
      <c r="AE1087" s="19"/>
      <c r="AF1087" s="20"/>
      <c r="AG1087" s="21"/>
      <c r="AH1087" s="21"/>
      <c r="AI1087" s="19"/>
      <c r="AJ1087" s="29"/>
      <c r="AK1087" s="29"/>
      <c r="AL1087" s="29"/>
    </row>
    <row r="1088" spans="2:38" s="28" customFormat="1" x14ac:dyDescent="0.3">
      <c r="B1088" s="24"/>
      <c r="C1088" s="37"/>
      <c r="D1088" s="37"/>
      <c r="E1088" s="37"/>
      <c r="F1088" s="35"/>
      <c r="G1088" s="35"/>
      <c r="H1088" s="35"/>
      <c r="I1088" s="35"/>
      <c r="J1088" s="35"/>
      <c r="K1088" s="35"/>
      <c r="L1088" s="35"/>
      <c r="M1088" s="31"/>
      <c r="N1088" s="32"/>
      <c r="O1088" s="32"/>
      <c r="P1088" s="32"/>
      <c r="Q1088" s="32"/>
      <c r="R1088" s="32"/>
      <c r="S1088" s="32"/>
      <c r="T1088" s="32"/>
      <c r="U1088" s="29"/>
      <c r="V1088" s="29"/>
      <c r="W1088" s="24"/>
      <c r="X1088" s="18"/>
      <c r="Y1088" s="18"/>
      <c r="Z1088" s="18"/>
      <c r="AA1088" s="18"/>
      <c r="AB1088" s="18"/>
      <c r="AC1088" s="18"/>
      <c r="AD1088" s="18"/>
      <c r="AE1088" s="19"/>
      <c r="AF1088" s="20"/>
      <c r="AG1088" s="21"/>
      <c r="AH1088" s="21"/>
      <c r="AI1088" s="19"/>
      <c r="AJ1088" s="29"/>
      <c r="AK1088" s="29"/>
      <c r="AL1088" s="29"/>
    </row>
    <row r="1089" spans="2:38" s="28" customFormat="1" x14ac:dyDescent="0.3">
      <c r="B1089" s="24"/>
      <c r="C1089" s="37"/>
      <c r="D1089" s="37"/>
      <c r="E1089" s="37"/>
      <c r="F1089" s="35"/>
      <c r="G1089" s="35"/>
      <c r="H1089" s="35"/>
      <c r="I1089" s="35"/>
      <c r="J1089" s="35"/>
      <c r="K1089" s="35"/>
      <c r="L1089" s="35"/>
      <c r="M1089" s="31"/>
      <c r="N1089" s="32"/>
      <c r="O1089" s="32"/>
      <c r="P1089" s="32"/>
      <c r="Q1089" s="32"/>
      <c r="R1089" s="32"/>
      <c r="S1089" s="32"/>
      <c r="T1089" s="32"/>
      <c r="U1089" s="29"/>
      <c r="V1089" s="29"/>
      <c r="W1089" s="24"/>
      <c r="X1089" s="18"/>
      <c r="Y1089" s="18"/>
      <c r="Z1089" s="18"/>
      <c r="AA1089" s="18"/>
      <c r="AB1089" s="18"/>
      <c r="AC1089" s="18"/>
      <c r="AD1089" s="18"/>
      <c r="AE1089" s="19"/>
      <c r="AF1089" s="20"/>
      <c r="AG1089" s="21"/>
      <c r="AH1089" s="21"/>
      <c r="AI1089" s="19"/>
      <c r="AJ1089" s="29"/>
      <c r="AK1089" s="29"/>
      <c r="AL1089" s="29"/>
    </row>
    <row r="1090" spans="2:38" s="28" customFormat="1" x14ac:dyDescent="0.3">
      <c r="B1090" s="24"/>
      <c r="C1090" s="37"/>
      <c r="D1090" s="37"/>
      <c r="E1090" s="37"/>
      <c r="F1090" s="35"/>
      <c r="G1090" s="35"/>
      <c r="H1090" s="35"/>
      <c r="I1090" s="35"/>
      <c r="J1090" s="35"/>
      <c r="K1090" s="35"/>
      <c r="L1090" s="35"/>
      <c r="M1090" s="31"/>
      <c r="N1090" s="32"/>
      <c r="O1090" s="32"/>
      <c r="P1090" s="32"/>
      <c r="Q1090" s="32"/>
      <c r="R1090" s="32"/>
      <c r="S1090" s="32"/>
      <c r="T1090" s="32"/>
      <c r="U1090" s="29"/>
      <c r="V1090" s="29"/>
      <c r="W1090" s="24"/>
      <c r="X1090" s="18"/>
      <c r="Y1090" s="18"/>
      <c r="Z1090" s="18"/>
      <c r="AA1090" s="18"/>
      <c r="AB1090" s="18"/>
      <c r="AC1090" s="18"/>
      <c r="AD1090" s="18"/>
      <c r="AE1090" s="19"/>
      <c r="AF1090" s="20"/>
      <c r="AG1090" s="21"/>
      <c r="AH1090" s="21"/>
      <c r="AI1090" s="19"/>
      <c r="AJ1090" s="29"/>
      <c r="AK1090" s="29"/>
      <c r="AL1090" s="29"/>
    </row>
    <row r="1091" spans="2:38" s="28" customFormat="1" x14ac:dyDescent="0.3">
      <c r="B1091" s="24"/>
      <c r="C1091" s="37"/>
      <c r="D1091" s="37"/>
      <c r="E1091" s="37"/>
      <c r="F1091" s="35"/>
      <c r="G1091" s="35"/>
      <c r="H1091" s="35"/>
      <c r="I1091" s="35"/>
      <c r="J1091" s="35"/>
      <c r="K1091" s="35"/>
      <c r="L1091" s="35"/>
      <c r="M1091" s="31"/>
      <c r="N1091" s="32"/>
      <c r="O1091" s="32"/>
      <c r="P1091" s="32"/>
      <c r="Q1091" s="32"/>
      <c r="R1091" s="32"/>
      <c r="S1091" s="32"/>
      <c r="T1091" s="32"/>
      <c r="U1091" s="29"/>
      <c r="V1091" s="29"/>
      <c r="W1091" s="24"/>
      <c r="X1091" s="18"/>
      <c r="Y1091" s="18"/>
      <c r="Z1091" s="18"/>
      <c r="AA1091" s="18"/>
      <c r="AB1091" s="18"/>
      <c r="AC1091" s="18"/>
      <c r="AD1091" s="18"/>
      <c r="AE1091" s="19"/>
      <c r="AF1091" s="20"/>
      <c r="AG1091" s="21"/>
      <c r="AH1091" s="21"/>
      <c r="AI1091" s="19"/>
      <c r="AJ1091" s="29"/>
      <c r="AK1091" s="29"/>
      <c r="AL1091" s="29"/>
    </row>
    <row r="1092" spans="2:38" s="28" customFormat="1" x14ac:dyDescent="0.3">
      <c r="B1092" s="24"/>
      <c r="C1092" s="37"/>
      <c r="D1092" s="37"/>
      <c r="E1092" s="37"/>
      <c r="F1092" s="35"/>
      <c r="G1092" s="35"/>
      <c r="H1092" s="35"/>
      <c r="I1092" s="35"/>
      <c r="J1092" s="35"/>
      <c r="K1092" s="35"/>
      <c r="L1092" s="35"/>
      <c r="M1092" s="31"/>
      <c r="N1092" s="32"/>
      <c r="O1092" s="32"/>
      <c r="P1092" s="32"/>
      <c r="Q1092" s="32"/>
      <c r="R1092" s="32"/>
      <c r="S1092" s="32"/>
      <c r="T1092" s="32"/>
      <c r="U1092" s="29"/>
      <c r="V1092" s="29"/>
      <c r="W1092" s="24"/>
      <c r="X1092" s="18"/>
      <c r="Y1092" s="18"/>
      <c r="Z1092" s="18"/>
      <c r="AA1092" s="18"/>
      <c r="AB1092" s="18"/>
      <c r="AC1092" s="18"/>
      <c r="AD1092" s="18"/>
      <c r="AE1092" s="19"/>
      <c r="AF1092" s="20"/>
      <c r="AG1092" s="21"/>
      <c r="AH1092" s="21"/>
      <c r="AI1092" s="19"/>
      <c r="AJ1092" s="29"/>
      <c r="AK1092" s="29"/>
      <c r="AL1092" s="29"/>
    </row>
    <row r="1093" spans="2:38" s="28" customFormat="1" x14ac:dyDescent="0.3">
      <c r="B1093" s="24"/>
      <c r="C1093" s="37"/>
      <c r="D1093" s="37"/>
      <c r="E1093" s="37"/>
      <c r="F1093" s="35"/>
      <c r="G1093" s="35"/>
      <c r="H1093" s="35"/>
      <c r="I1093" s="35"/>
      <c r="J1093" s="35"/>
      <c r="K1093" s="35"/>
      <c r="L1093" s="35"/>
      <c r="M1093" s="31"/>
      <c r="N1093" s="32"/>
      <c r="O1093" s="32"/>
      <c r="P1093" s="32"/>
      <c r="Q1093" s="32"/>
      <c r="R1093" s="32"/>
      <c r="S1093" s="32"/>
      <c r="T1093" s="32"/>
      <c r="U1093" s="29"/>
      <c r="V1093" s="29"/>
      <c r="W1093" s="24"/>
      <c r="X1093" s="18"/>
      <c r="Y1093" s="18"/>
      <c r="Z1093" s="18"/>
      <c r="AA1093" s="18"/>
      <c r="AB1093" s="18"/>
      <c r="AC1093" s="18"/>
      <c r="AD1093" s="18"/>
      <c r="AE1093" s="19"/>
      <c r="AF1093" s="20"/>
      <c r="AG1093" s="21"/>
      <c r="AH1093" s="21"/>
      <c r="AI1093" s="19"/>
      <c r="AJ1093" s="29"/>
      <c r="AK1093" s="29"/>
      <c r="AL1093" s="29"/>
    </row>
    <row r="1094" spans="2:38" s="28" customFormat="1" x14ac:dyDescent="0.3">
      <c r="B1094" s="24"/>
      <c r="C1094" s="37"/>
      <c r="D1094" s="37"/>
      <c r="E1094" s="37"/>
      <c r="F1094" s="35"/>
      <c r="G1094" s="35"/>
      <c r="H1094" s="35"/>
      <c r="I1094" s="35"/>
      <c r="J1094" s="35"/>
      <c r="K1094" s="35"/>
      <c r="L1094" s="35"/>
      <c r="M1094" s="31"/>
      <c r="N1094" s="32"/>
      <c r="O1094" s="32"/>
      <c r="P1094" s="32"/>
      <c r="Q1094" s="32"/>
      <c r="R1094" s="32"/>
      <c r="S1094" s="32"/>
      <c r="T1094" s="32"/>
      <c r="U1094" s="29"/>
      <c r="V1094" s="29"/>
      <c r="W1094" s="24"/>
      <c r="X1094" s="18"/>
      <c r="Y1094" s="18"/>
      <c r="Z1094" s="18"/>
      <c r="AA1094" s="18"/>
      <c r="AB1094" s="18"/>
      <c r="AC1094" s="18"/>
      <c r="AD1094" s="18"/>
      <c r="AE1094" s="19"/>
      <c r="AF1094" s="20"/>
      <c r="AG1094" s="21"/>
      <c r="AH1094" s="21"/>
      <c r="AI1094" s="19"/>
      <c r="AJ1094" s="29"/>
      <c r="AK1094" s="29"/>
      <c r="AL1094" s="29"/>
    </row>
    <row r="1095" spans="2:38" s="28" customFormat="1" x14ac:dyDescent="0.3">
      <c r="B1095" s="24"/>
      <c r="C1095" s="37"/>
      <c r="D1095" s="37"/>
      <c r="E1095" s="37"/>
      <c r="F1095" s="35"/>
      <c r="G1095" s="35"/>
      <c r="H1095" s="35"/>
      <c r="I1095" s="35"/>
      <c r="J1095" s="35"/>
      <c r="K1095" s="35"/>
      <c r="L1095" s="35"/>
      <c r="M1095" s="31"/>
      <c r="N1095" s="32"/>
      <c r="O1095" s="32"/>
      <c r="P1095" s="32"/>
      <c r="Q1095" s="32"/>
      <c r="R1095" s="32"/>
      <c r="S1095" s="32"/>
      <c r="T1095" s="32"/>
      <c r="U1095" s="29"/>
      <c r="V1095" s="29"/>
      <c r="W1095" s="24"/>
      <c r="X1095" s="18"/>
      <c r="Y1095" s="18"/>
      <c r="Z1095" s="18"/>
      <c r="AA1095" s="18"/>
      <c r="AB1095" s="18"/>
      <c r="AC1095" s="18"/>
      <c r="AD1095" s="18"/>
      <c r="AE1095" s="19"/>
      <c r="AF1095" s="20"/>
      <c r="AG1095" s="21"/>
      <c r="AH1095" s="21"/>
      <c r="AI1095" s="19"/>
      <c r="AJ1095" s="29"/>
      <c r="AK1095" s="29"/>
      <c r="AL1095" s="29"/>
    </row>
    <row r="1096" spans="2:38" s="28" customFormat="1" x14ac:dyDescent="0.3">
      <c r="B1096" s="24"/>
      <c r="C1096" s="37"/>
      <c r="D1096" s="37"/>
      <c r="E1096" s="37"/>
      <c r="F1096" s="35"/>
      <c r="G1096" s="35"/>
      <c r="H1096" s="35"/>
      <c r="I1096" s="35"/>
      <c r="J1096" s="35"/>
      <c r="K1096" s="35"/>
      <c r="L1096" s="35"/>
      <c r="M1096" s="31"/>
      <c r="N1096" s="32"/>
      <c r="O1096" s="32"/>
      <c r="P1096" s="32"/>
      <c r="Q1096" s="32"/>
      <c r="R1096" s="32"/>
      <c r="S1096" s="32"/>
      <c r="T1096" s="32"/>
      <c r="U1096" s="29"/>
      <c r="V1096" s="29"/>
      <c r="W1096" s="24"/>
      <c r="X1096" s="18"/>
      <c r="Y1096" s="18"/>
      <c r="Z1096" s="18"/>
      <c r="AA1096" s="18"/>
      <c r="AB1096" s="18"/>
      <c r="AC1096" s="18"/>
      <c r="AD1096" s="18"/>
      <c r="AE1096" s="19"/>
      <c r="AF1096" s="20"/>
      <c r="AG1096" s="21"/>
      <c r="AH1096" s="21"/>
      <c r="AI1096" s="19"/>
      <c r="AJ1096" s="29"/>
      <c r="AK1096" s="29"/>
      <c r="AL1096" s="29"/>
    </row>
    <row r="1097" spans="2:38" s="28" customFormat="1" x14ac:dyDescent="0.3">
      <c r="B1097" s="24"/>
      <c r="C1097" s="37"/>
      <c r="D1097" s="37"/>
      <c r="E1097" s="37"/>
      <c r="F1097" s="35"/>
      <c r="G1097" s="35"/>
      <c r="H1097" s="35"/>
      <c r="I1097" s="35"/>
      <c r="J1097" s="35"/>
      <c r="K1097" s="35"/>
      <c r="L1097" s="35"/>
      <c r="M1097" s="31"/>
      <c r="N1097" s="32"/>
      <c r="O1097" s="32"/>
      <c r="P1097" s="32"/>
      <c r="Q1097" s="32"/>
      <c r="R1097" s="32"/>
      <c r="S1097" s="32"/>
      <c r="T1097" s="32"/>
      <c r="U1097" s="29"/>
      <c r="V1097" s="29"/>
      <c r="W1097" s="24"/>
      <c r="X1097" s="18"/>
      <c r="Y1097" s="18"/>
      <c r="Z1097" s="18"/>
      <c r="AA1097" s="18"/>
      <c r="AB1097" s="18"/>
      <c r="AC1097" s="18"/>
      <c r="AD1097" s="18"/>
      <c r="AE1097" s="19"/>
      <c r="AF1097" s="20"/>
      <c r="AG1097" s="21"/>
      <c r="AH1097" s="21"/>
      <c r="AI1097" s="19"/>
      <c r="AJ1097" s="29"/>
      <c r="AK1097" s="29"/>
      <c r="AL1097" s="29"/>
    </row>
    <row r="1098" spans="2:38" s="28" customFormat="1" x14ac:dyDescent="0.3">
      <c r="B1098" s="24"/>
      <c r="C1098" s="37"/>
      <c r="D1098" s="37"/>
      <c r="E1098" s="37"/>
      <c r="F1098" s="35"/>
      <c r="G1098" s="35"/>
      <c r="H1098" s="35"/>
      <c r="I1098" s="35"/>
      <c r="J1098" s="35"/>
      <c r="K1098" s="35"/>
      <c r="L1098" s="35"/>
      <c r="M1098" s="31"/>
      <c r="N1098" s="32"/>
      <c r="O1098" s="32"/>
      <c r="P1098" s="32"/>
      <c r="Q1098" s="32"/>
      <c r="R1098" s="32"/>
      <c r="S1098" s="32"/>
      <c r="T1098" s="32"/>
      <c r="U1098" s="29"/>
      <c r="V1098" s="29"/>
      <c r="W1098" s="24"/>
      <c r="X1098" s="18"/>
      <c r="Y1098" s="18"/>
      <c r="Z1098" s="18"/>
      <c r="AA1098" s="18"/>
      <c r="AB1098" s="18"/>
      <c r="AC1098" s="18"/>
      <c r="AD1098" s="18"/>
      <c r="AE1098" s="19"/>
      <c r="AF1098" s="20"/>
      <c r="AG1098" s="21"/>
      <c r="AH1098" s="21"/>
      <c r="AI1098" s="19"/>
      <c r="AJ1098" s="29"/>
      <c r="AK1098" s="29"/>
      <c r="AL1098" s="29"/>
    </row>
    <row r="1099" spans="2:38" s="28" customFormat="1" x14ac:dyDescent="0.3">
      <c r="B1099" s="24"/>
      <c r="C1099" s="37"/>
      <c r="D1099" s="37"/>
      <c r="E1099" s="37"/>
      <c r="F1099" s="35"/>
      <c r="G1099" s="35"/>
      <c r="H1099" s="35"/>
      <c r="I1099" s="35"/>
      <c r="J1099" s="35"/>
      <c r="K1099" s="35"/>
      <c r="L1099" s="35"/>
      <c r="M1099" s="31"/>
      <c r="N1099" s="32"/>
      <c r="O1099" s="32"/>
      <c r="P1099" s="32"/>
      <c r="Q1099" s="32"/>
      <c r="R1099" s="32"/>
      <c r="S1099" s="32"/>
      <c r="T1099" s="32"/>
      <c r="U1099" s="29"/>
      <c r="V1099" s="29"/>
      <c r="W1099" s="24"/>
      <c r="X1099" s="18"/>
      <c r="Y1099" s="18"/>
      <c r="Z1099" s="18"/>
      <c r="AA1099" s="18"/>
      <c r="AB1099" s="18"/>
      <c r="AC1099" s="18"/>
      <c r="AD1099" s="18"/>
      <c r="AE1099" s="19"/>
      <c r="AF1099" s="20"/>
      <c r="AG1099" s="21"/>
      <c r="AH1099" s="21"/>
      <c r="AI1099" s="19"/>
      <c r="AJ1099" s="29"/>
      <c r="AK1099" s="29"/>
      <c r="AL1099" s="29"/>
    </row>
    <row r="1100" spans="2:38" s="28" customFormat="1" x14ac:dyDescent="0.3">
      <c r="B1100" s="24"/>
      <c r="C1100" s="37"/>
      <c r="D1100" s="37"/>
      <c r="E1100" s="37"/>
      <c r="F1100" s="35"/>
      <c r="G1100" s="35"/>
      <c r="H1100" s="35"/>
      <c r="I1100" s="35"/>
      <c r="J1100" s="35"/>
      <c r="K1100" s="35"/>
      <c r="L1100" s="35"/>
      <c r="M1100" s="31"/>
      <c r="N1100" s="32"/>
      <c r="O1100" s="32"/>
      <c r="P1100" s="32"/>
      <c r="Q1100" s="32"/>
      <c r="R1100" s="32"/>
      <c r="S1100" s="32"/>
      <c r="T1100" s="32"/>
      <c r="U1100" s="29"/>
      <c r="V1100" s="29"/>
      <c r="W1100" s="24"/>
      <c r="X1100" s="18"/>
      <c r="Y1100" s="18"/>
      <c r="Z1100" s="18"/>
      <c r="AA1100" s="18"/>
      <c r="AB1100" s="18"/>
      <c r="AC1100" s="18"/>
      <c r="AD1100" s="18"/>
      <c r="AE1100" s="19"/>
      <c r="AF1100" s="20"/>
      <c r="AG1100" s="21"/>
      <c r="AH1100" s="21"/>
      <c r="AI1100" s="19"/>
      <c r="AJ1100" s="29"/>
      <c r="AK1100" s="29"/>
      <c r="AL1100" s="29"/>
    </row>
    <row r="1101" spans="2:38" s="28" customFormat="1" x14ac:dyDescent="0.3">
      <c r="B1101" s="24"/>
      <c r="C1101" s="37"/>
      <c r="D1101" s="37"/>
      <c r="E1101" s="37"/>
      <c r="F1101" s="35"/>
      <c r="G1101" s="35"/>
      <c r="H1101" s="35"/>
      <c r="I1101" s="35"/>
      <c r="J1101" s="35"/>
      <c r="K1101" s="35"/>
      <c r="L1101" s="35"/>
      <c r="M1101" s="31"/>
      <c r="N1101" s="32"/>
      <c r="O1101" s="32"/>
      <c r="P1101" s="32"/>
      <c r="Q1101" s="32"/>
      <c r="R1101" s="32"/>
      <c r="S1101" s="32"/>
      <c r="T1101" s="32"/>
      <c r="U1101" s="29"/>
      <c r="V1101" s="29"/>
      <c r="W1101" s="24"/>
      <c r="X1101" s="18"/>
      <c r="Y1101" s="18"/>
      <c r="Z1101" s="18"/>
      <c r="AA1101" s="18"/>
      <c r="AB1101" s="18"/>
      <c r="AC1101" s="18"/>
      <c r="AD1101" s="18"/>
      <c r="AE1101" s="19"/>
      <c r="AF1101" s="20"/>
      <c r="AG1101" s="21"/>
      <c r="AH1101" s="21"/>
      <c r="AI1101" s="19"/>
      <c r="AJ1101" s="29"/>
      <c r="AK1101" s="29"/>
      <c r="AL1101" s="29"/>
    </row>
    <row r="1102" spans="2:38" s="28" customFormat="1" x14ac:dyDescent="0.3">
      <c r="B1102" s="24"/>
      <c r="C1102" s="37"/>
      <c r="D1102" s="37"/>
      <c r="E1102" s="37"/>
      <c r="F1102" s="35"/>
      <c r="G1102" s="35"/>
      <c r="H1102" s="35"/>
      <c r="I1102" s="35"/>
      <c r="J1102" s="35"/>
      <c r="K1102" s="35"/>
      <c r="L1102" s="35"/>
      <c r="M1102" s="31"/>
      <c r="N1102" s="32"/>
      <c r="O1102" s="32"/>
      <c r="P1102" s="32"/>
      <c r="Q1102" s="32"/>
      <c r="R1102" s="32"/>
      <c r="S1102" s="32"/>
      <c r="T1102" s="32"/>
      <c r="U1102" s="29"/>
      <c r="V1102" s="29"/>
      <c r="W1102" s="24"/>
      <c r="X1102" s="18"/>
      <c r="Y1102" s="18"/>
      <c r="Z1102" s="18"/>
      <c r="AA1102" s="18"/>
      <c r="AB1102" s="18"/>
      <c r="AC1102" s="18"/>
      <c r="AD1102" s="18"/>
      <c r="AE1102" s="19"/>
      <c r="AF1102" s="20"/>
      <c r="AG1102" s="21"/>
      <c r="AH1102" s="21"/>
      <c r="AI1102" s="19"/>
      <c r="AJ1102" s="29"/>
      <c r="AK1102" s="29"/>
      <c r="AL1102" s="29"/>
    </row>
    <row r="1103" spans="2:38" s="28" customFormat="1" x14ac:dyDescent="0.3">
      <c r="B1103" s="24"/>
      <c r="C1103" s="37"/>
      <c r="D1103" s="37"/>
      <c r="E1103" s="37"/>
      <c r="F1103" s="35"/>
      <c r="G1103" s="35"/>
      <c r="H1103" s="35"/>
      <c r="I1103" s="35"/>
      <c r="J1103" s="35"/>
      <c r="K1103" s="35"/>
      <c r="L1103" s="35"/>
      <c r="M1103" s="31"/>
      <c r="N1103" s="32"/>
      <c r="O1103" s="32"/>
      <c r="P1103" s="32"/>
      <c r="Q1103" s="32"/>
      <c r="R1103" s="32"/>
      <c r="S1103" s="32"/>
      <c r="T1103" s="32"/>
      <c r="U1103" s="29"/>
      <c r="V1103" s="29"/>
      <c r="W1103" s="24"/>
      <c r="X1103" s="18"/>
      <c r="Y1103" s="18"/>
      <c r="Z1103" s="18"/>
      <c r="AA1103" s="18"/>
      <c r="AB1103" s="18"/>
      <c r="AC1103" s="18"/>
      <c r="AD1103" s="18"/>
      <c r="AE1103" s="19"/>
      <c r="AF1103" s="20"/>
      <c r="AG1103" s="21"/>
      <c r="AH1103" s="21"/>
      <c r="AI1103" s="19"/>
      <c r="AJ1103" s="29"/>
      <c r="AK1103" s="29"/>
      <c r="AL1103" s="29"/>
    </row>
    <row r="1104" spans="2:38" s="28" customFormat="1" x14ac:dyDescent="0.3">
      <c r="B1104" s="24"/>
      <c r="C1104" s="37"/>
      <c r="D1104" s="37"/>
      <c r="E1104" s="37"/>
      <c r="F1104" s="35"/>
      <c r="G1104" s="35"/>
      <c r="H1104" s="35"/>
      <c r="I1104" s="35"/>
      <c r="J1104" s="35"/>
      <c r="K1104" s="35"/>
      <c r="L1104" s="35"/>
      <c r="M1104" s="31"/>
      <c r="N1104" s="32"/>
      <c r="O1104" s="32"/>
      <c r="P1104" s="32"/>
      <c r="Q1104" s="32"/>
      <c r="R1104" s="32"/>
      <c r="S1104" s="32"/>
      <c r="T1104" s="32"/>
      <c r="U1104" s="29"/>
      <c r="V1104" s="29"/>
      <c r="W1104" s="24"/>
      <c r="X1104" s="18"/>
      <c r="Y1104" s="18"/>
      <c r="Z1104" s="18"/>
      <c r="AA1104" s="18"/>
      <c r="AB1104" s="18"/>
      <c r="AC1104" s="18"/>
      <c r="AD1104" s="18"/>
      <c r="AE1104" s="19"/>
      <c r="AF1104" s="20"/>
      <c r="AG1104" s="21"/>
      <c r="AH1104" s="21"/>
      <c r="AI1104" s="19"/>
      <c r="AJ1104" s="29"/>
      <c r="AK1104" s="29"/>
      <c r="AL1104" s="29"/>
    </row>
    <row r="1105" spans="2:38" s="28" customFormat="1" x14ac:dyDescent="0.3">
      <c r="B1105" s="24"/>
      <c r="C1105" s="37"/>
      <c r="D1105" s="37"/>
      <c r="E1105" s="37"/>
      <c r="F1105" s="35"/>
      <c r="G1105" s="35"/>
      <c r="H1105" s="35"/>
      <c r="I1105" s="35"/>
      <c r="J1105" s="35"/>
      <c r="K1105" s="35"/>
      <c r="L1105" s="35"/>
      <c r="M1105" s="31"/>
      <c r="N1105" s="32"/>
      <c r="O1105" s="32"/>
      <c r="P1105" s="32"/>
      <c r="Q1105" s="32"/>
      <c r="R1105" s="32"/>
      <c r="S1105" s="32"/>
      <c r="T1105" s="32"/>
      <c r="U1105" s="29"/>
      <c r="V1105" s="29"/>
      <c r="W1105" s="24"/>
      <c r="X1105" s="18"/>
      <c r="Y1105" s="18"/>
      <c r="Z1105" s="18"/>
      <c r="AA1105" s="18"/>
      <c r="AB1105" s="18"/>
      <c r="AC1105" s="18"/>
      <c r="AD1105" s="18"/>
      <c r="AE1105" s="19"/>
      <c r="AF1105" s="20"/>
      <c r="AG1105" s="21"/>
      <c r="AH1105" s="21"/>
      <c r="AI1105" s="19"/>
      <c r="AJ1105" s="29"/>
      <c r="AK1105" s="29"/>
      <c r="AL1105" s="29"/>
    </row>
    <row r="1106" spans="2:38" s="28" customFormat="1" x14ac:dyDescent="0.3">
      <c r="B1106" s="24"/>
      <c r="C1106" s="37"/>
      <c r="D1106" s="37"/>
      <c r="E1106" s="37"/>
      <c r="F1106" s="35"/>
      <c r="G1106" s="35"/>
      <c r="H1106" s="35"/>
      <c r="I1106" s="35"/>
      <c r="J1106" s="35"/>
      <c r="K1106" s="35"/>
      <c r="L1106" s="35"/>
      <c r="M1106" s="31"/>
      <c r="N1106" s="32"/>
      <c r="O1106" s="32"/>
      <c r="P1106" s="32"/>
      <c r="Q1106" s="32"/>
      <c r="R1106" s="32"/>
      <c r="S1106" s="32"/>
      <c r="T1106" s="32"/>
      <c r="U1106" s="29"/>
      <c r="V1106" s="29"/>
      <c r="W1106" s="24"/>
      <c r="X1106" s="18"/>
      <c r="Y1106" s="18"/>
      <c r="Z1106" s="18"/>
      <c r="AA1106" s="18"/>
      <c r="AB1106" s="18"/>
      <c r="AC1106" s="18"/>
      <c r="AD1106" s="18"/>
      <c r="AE1106" s="19"/>
      <c r="AF1106" s="20"/>
      <c r="AG1106" s="21"/>
      <c r="AH1106" s="21"/>
      <c r="AI1106" s="19"/>
      <c r="AJ1106" s="29"/>
      <c r="AK1106" s="29"/>
      <c r="AL1106" s="29"/>
    </row>
    <row r="1107" spans="2:38" s="28" customFormat="1" x14ac:dyDescent="0.3">
      <c r="B1107" s="24"/>
      <c r="C1107" s="37"/>
      <c r="D1107" s="37"/>
      <c r="E1107" s="37"/>
      <c r="F1107" s="35"/>
      <c r="G1107" s="35"/>
      <c r="H1107" s="35"/>
      <c r="I1107" s="35"/>
      <c r="J1107" s="35"/>
      <c r="K1107" s="35"/>
      <c r="L1107" s="35"/>
      <c r="M1107" s="31"/>
      <c r="N1107" s="32"/>
      <c r="O1107" s="32"/>
      <c r="P1107" s="32"/>
      <c r="Q1107" s="32"/>
      <c r="R1107" s="32"/>
      <c r="S1107" s="32"/>
      <c r="T1107" s="32"/>
      <c r="U1107" s="29"/>
      <c r="V1107" s="29"/>
      <c r="W1107" s="24"/>
      <c r="X1107" s="18"/>
      <c r="Y1107" s="18"/>
      <c r="Z1107" s="18"/>
      <c r="AA1107" s="18"/>
      <c r="AB1107" s="18"/>
      <c r="AC1107" s="18"/>
      <c r="AD1107" s="18"/>
      <c r="AE1107" s="19"/>
      <c r="AF1107" s="20"/>
      <c r="AG1107" s="21"/>
      <c r="AH1107" s="21"/>
      <c r="AI1107" s="19"/>
      <c r="AJ1107" s="29"/>
      <c r="AK1107" s="29"/>
      <c r="AL1107" s="29"/>
    </row>
    <row r="1108" spans="2:38" s="28" customFormat="1" x14ac:dyDescent="0.3">
      <c r="B1108" s="24"/>
      <c r="C1108" s="37"/>
      <c r="D1108" s="37"/>
      <c r="E1108" s="37"/>
      <c r="F1108" s="35"/>
      <c r="G1108" s="35"/>
      <c r="H1108" s="35"/>
      <c r="I1108" s="35"/>
      <c r="J1108" s="35"/>
      <c r="K1108" s="35"/>
      <c r="L1108" s="35"/>
      <c r="M1108" s="31"/>
      <c r="N1108" s="32"/>
      <c r="O1108" s="32"/>
      <c r="P1108" s="32"/>
      <c r="Q1108" s="32"/>
      <c r="R1108" s="32"/>
      <c r="S1108" s="32"/>
      <c r="T1108" s="32"/>
      <c r="U1108" s="29"/>
      <c r="V1108" s="29"/>
      <c r="W1108" s="24"/>
      <c r="X1108" s="18"/>
      <c r="Y1108" s="18"/>
      <c r="Z1108" s="18"/>
      <c r="AA1108" s="18"/>
      <c r="AB1108" s="18"/>
      <c r="AC1108" s="18"/>
      <c r="AD1108" s="18"/>
      <c r="AE1108" s="19"/>
      <c r="AF1108" s="20"/>
      <c r="AG1108" s="21"/>
      <c r="AH1108" s="21"/>
      <c r="AI1108" s="19"/>
      <c r="AJ1108" s="29"/>
      <c r="AK1108" s="29"/>
      <c r="AL1108" s="29"/>
    </row>
    <row r="1109" spans="2:38" s="28" customFormat="1" x14ac:dyDescent="0.3">
      <c r="B1109" s="24"/>
      <c r="C1109" s="37"/>
      <c r="D1109" s="37"/>
      <c r="E1109" s="37"/>
      <c r="F1109" s="35"/>
      <c r="G1109" s="35"/>
      <c r="H1109" s="35"/>
      <c r="I1109" s="35"/>
      <c r="J1109" s="35"/>
      <c r="K1109" s="35"/>
      <c r="L1109" s="35"/>
      <c r="M1109" s="31"/>
      <c r="N1109" s="32"/>
      <c r="O1109" s="32"/>
      <c r="P1109" s="32"/>
      <c r="Q1109" s="32"/>
      <c r="R1109" s="32"/>
      <c r="S1109" s="32"/>
      <c r="T1109" s="32"/>
      <c r="U1109" s="29"/>
      <c r="V1109" s="29"/>
      <c r="W1109" s="24"/>
      <c r="X1109" s="18"/>
      <c r="Y1109" s="18"/>
      <c r="Z1109" s="18"/>
      <c r="AA1109" s="18"/>
      <c r="AB1109" s="18"/>
      <c r="AC1109" s="18"/>
      <c r="AD1109" s="18"/>
      <c r="AE1109" s="19"/>
      <c r="AF1109" s="20"/>
      <c r="AG1109" s="21"/>
      <c r="AH1109" s="21"/>
      <c r="AI1109" s="19"/>
      <c r="AJ1109" s="29"/>
      <c r="AK1109" s="29"/>
      <c r="AL1109" s="29"/>
    </row>
    <row r="1110" spans="2:38" s="28" customFormat="1" x14ac:dyDescent="0.3">
      <c r="B1110" s="24"/>
      <c r="C1110" s="37"/>
      <c r="D1110" s="37"/>
      <c r="E1110" s="37"/>
      <c r="F1110" s="35"/>
      <c r="G1110" s="35"/>
      <c r="H1110" s="35"/>
      <c r="I1110" s="35"/>
      <c r="J1110" s="35"/>
      <c r="K1110" s="35"/>
      <c r="L1110" s="35"/>
      <c r="M1110" s="31"/>
      <c r="N1110" s="32"/>
      <c r="O1110" s="32"/>
      <c r="P1110" s="32"/>
      <c r="Q1110" s="32"/>
      <c r="R1110" s="32"/>
      <c r="S1110" s="32"/>
      <c r="T1110" s="32"/>
      <c r="U1110" s="29"/>
      <c r="V1110" s="29"/>
      <c r="W1110" s="24"/>
      <c r="X1110" s="18"/>
      <c r="Y1110" s="18"/>
      <c r="Z1110" s="18"/>
      <c r="AA1110" s="18"/>
      <c r="AB1110" s="18"/>
      <c r="AC1110" s="18"/>
      <c r="AD1110" s="18"/>
      <c r="AE1110" s="19"/>
      <c r="AF1110" s="20"/>
      <c r="AG1110" s="21"/>
      <c r="AH1110" s="21"/>
      <c r="AI1110" s="19"/>
      <c r="AJ1110" s="29"/>
      <c r="AK1110" s="29"/>
      <c r="AL1110" s="29"/>
    </row>
    <row r="1111" spans="2:38" s="28" customFormat="1" x14ac:dyDescent="0.3">
      <c r="B1111" s="24"/>
      <c r="C1111" s="37"/>
      <c r="D1111" s="37"/>
      <c r="E1111" s="37"/>
      <c r="F1111" s="35"/>
      <c r="G1111" s="35"/>
      <c r="H1111" s="35"/>
      <c r="I1111" s="35"/>
      <c r="J1111" s="35"/>
      <c r="K1111" s="35"/>
      <c r="L1111" s="35"/>
      <c r="M1111" s="31"/>
      <c r="N1111" s="32"/>
      <c r="O1111" s="32"/>
      <c r="P1111" s="32"/>
      <c r="Q1111" s="32"/>
      <c r="R1111" s="32"/>
      <c r="S1111" s="32"/>
      <c r="T1111" s="32"/>
      <c r="U1111" s="29"/>
      <c r="V1111" s="29"/>
      <c r="W1111" s="24"/>
      <c r="X1111" s="18"/>
      <c r="Y1111" s="18"/>
      <c r="Z1111" s="18"/>
      <c r="AA1111" s="18"/>
      <c r="AB1111" s="18"/>
      <c r="AC1111" s="18"/>
      <c r="AD1111" s="18"/>
      <c r="AE1111" s="19"/>
      <c r="AF1111" s="20"/>
      <c r="AG1111" s="21"/>
      <c r="AH1111" s="21"/>
      <c r="AI1111" s="19"/>
      <c r="AJ1111" s="29"/>
      <c r="AK1111" s="29"/>
      <c r="AL1111" s="29"/>
    </row>
    <row r="1112" spans="2:38" s="28" customFormat="1" x14ac:dyDescent="0.3">
      <c r="B1112" s="24"/>
      <c r="C1112" s="37"/>
      <c r="D1112" s="37"/>
      <c r="E1112" s="37"/>
      <c r="F1112" s="35"/>
      <c r="G1112" s="35"/>
      <c r="H1112" s="35"/>
      <c r="I1112" s="35"/>
      <c r="J1112" s="35"/>
      <c r="K1112" s="35"/>
      <c r="L1112" s="35"/>
      <c r="M1112" s="31"/>
      <c r="N1112" s="32"/>
      <c r="O1112" s="32"/>
      <c r="P1112" s="32"/>
      <c r="Q1112" s="32"/>
      <c r="R1112" s="32"/>
      <c r="S1112" s="32"/>
      <c r="T1112" s="32"/>
      <c r="U1112" s="29"/>
      <c r="V1112" s="29"/>
      <c r="W1112" s="24"/>
      <c r="X1112" s="18"/>
      <c r="Y1112" s="18"/>
      <c r="Z1112" s="18"/>
      <c r="AA1112" s="18"/>
      <c r="AB1112" s="18"/>
      <c r="AC1112" s="18"/>
      <c r="AD1112" s="18"/>
      <c r="AE1112" s="19"/>
      <c r="AF1112" s="20"/>
      <c r="AG1112" s="21"/>
      <c r="AH1112" s="21"/>
      <c r="AI1112" s="19"/>
      <c r="AJ1112" s="29"/>
      <c r="AK1112" s="29"/>
      <c r="AL1112" s="29"/>
    </row>
    <row r="1113" spans="2:38" s="28" customFormat="1" x14ac:dyDescent="0.3">
      <c r="B1113" s="24"/>
      <c r="C1113" s="37"/>
      <c r="D1113" s="37"/>
      <c r="E1113" s="37"/>
      <c r="F1113" s="35"/>
      <c r="G1113" s="35"/>
      <c r="H1113" s="35"/>
      <c r="I1113" s="35"/>
      <c r="J1113" s="35"/>
      <c r="K1113" s="35"/>
      <c r="L1113" s="35"/>
      <c r="M1113" s="31"/>
      <c r="N1113" s="32"/>
      <c r="O1113" s="32"/>
      <c r="P1113" s="32"/>
      <c r="Q1113" s="32"/>
      <c r="R1113" s="32"/>
      <c r="S1113" s="32"/>
      <c r="T1113" s="32"/>
      <c r="U1113" s="29"/>
      <c r="V1113" s="29"/>
      <c r="W1113" s="24"/>
      <c r="X1113" s="18"/>
      <c r="Y1113" s="18"/>
      <c r="Z1113" s="18"/>
      <c r="AA1113" s="18"/>
      <c r="AB1113" s="18"/>
      <c r="AC1113" s="18"/>
      <c r="AD1113" s="18"/>
      <c r="AE1113" s="19"/>
      <c r="AF1113" s="20"/>
      <c r="AG1113" s="21"/>
      <c r="AH1113" s="21"/>
      <c r="AI1113" s="19"/>
      <c r="AJ1113" s="29"/>
      <c r="AK1113" s="29"/>
      <c r="AL1113" s="29"/>
    </row>
    <row r="1114" spans="2:38" s="28" customFormat="1" x14ac:dyDescent="0.3">
      <c r="B1114" s="24"/>
      <c r="C1114" s="37"/>
      <c r="D1114" s="37"/>
      <c r="E1114" s="37"/>
      <c r="F1114" s="35"/>
      <c r="G1114" s="35"/>
      <c r="H1114" s="35"/>
      <c r="I1114" s="35"/>
      <c r="J1114" s="35"/>
      <c r="K1114" s="35"/>
      <c r="L1114" s="35"/>
      <c r="M1114" s="31"/>
      <c r="N1114" s="32"/>
      <c r="O1114" s="32"/>
      <c r="P1114" s="32"/>
      <c r="Q1114" s="32"/>
      <c r="R1114" s="32"/>
      <c r="S1114" s="32"/>
      <c r="T1114" s="32"/>
      <c r="U1114" s="29"/>
      <c r="V1114" s="29"/>
      <c r="W1114" s="24"/>
      <c r="X1114" s="18"/>
      <c r="Y1114" s="18"/>
      <c r="Z1114" s="18"/>
      <c r="AA1114" s="18"/>
      <c r="AB1114" s="18"/>
      <c r="AC1114" s="18"/>
      <c r="AD1114" s="18"/>
      <c r="AE1114" s="19"/>
      <c r="AF1114" s="20"/>
      <c r="AG1114" s="21"/>
      <c r="AH1114" s="21"/>
      <c r="AI1114" s="19"/>
      <c r="AJ1114" s="29"/>
      <c r="AK1114" s="29"/>
      <c r="AL1114" s="29"/>
    </row>
    <row r="1115" spans="2:38" s="28" customFormat="1" x14ac:dyDescent="0.3">
      <c r="B1115" s="24"/>
      <c r="C1115" s="37"/>
      <c r="D1115" s="37"/>
      <c r="E1115" s="37"/>
      <c r="F1115" s="35"/>
      <c r="G1115" s="35"/>
      <c r="H1115" s="35"/>
      <c r="I1115" s="35"/>
      <c r="J1115" s="35"/>
      <c r="K1115" s="35"/>
      <c r="L1115" s="35"/>
      <c r="M1115" s="31"/>
      <c r="N1115" s="32"/>
      <c r="O1115" s="32"/>
      <c r="P1115" s="32"/>
      <c r="Q1115" s="32"/>
      <c r="R1115" s="32"/>
      <c r="S1115" s="32"/>
      <c r="T1115" s="32"/>
      <c r="U1115" s="29"/>
      <c r="V1115" s="29"/>
      <c r="W1115" s="24"/>
      <c r="X1115" s="18"/>
      <c r="Y1115" s="18"/>
      <c r="Z1115" s="18"/>
      <c r="AA1115" s="18"/>
      <c r="AB1115" s="18"/>
      <c r="AC1115" s="18"/>
      <c r="AD1115" s="18"/>
      <c r="AE1115" s="19"/>
      <c r="AF1115" s="20"/>
      <c r="AG1115" s="21"/>
      <c r="AH1115" s="21"/>
      <c r="AI1115" s="19"/>
      <c r="AJ1115" s="29"/>
      <c r="AK1115" s="29"/>
      <c r="AL1115" s="29"/>
    </row>
    <row r="1116" spans="2:38" s="28" customFormat="1" x14ac:dyDescent="0.3">
      <c r="B1116" s="24"/>
      <c r="C1116" s="37"/>
      <c r="D1116" s="37"/>
      <c r="E1116" s="37"/>
      <c r="F1116" s="35"/>
      <c r="G1116" s="35"/>
      <c r="H1116" s="35"/>
      <c r="I1116" s="35"/>
      <c r="J1116" s="35"/>
      <c r="K1116" s="35"/>
      <c r="L1116" s="35"/>
      <c r="M1116" s="31"/>
      <c r="N1116" s="32"/>
      <c r="O1116" s="32"/>
      <c r="P1116" s="32"/>
      <c r="Q1116" s="32"/>
      <c r="R1116" s="32"/>
      <c r="S1116" s="32"/>
      <c r="T1116" s="32"/>
      <c r="U1116" s="29"/>
      <c r="V1116" s="29"/>
      <c r="W1116" s="24"/>
      <c r="X1116" s="18"/>
      <c r="Y1116" s="18"/>
      <c r="Z1116" s="18"/>
      <c r="AA1116" s="18"/>
      <c r="AB1116" s="18"/>
      <c r="AC1116" s="18"/>
      <c r="AD1116" s="18"/>
      <c r="AE1116" s="19"/>
      <c r="AF1116" s="20"/>
      <c r="AG1116" s="21"/>
      <c r="AH1116" s="21"/>
      <c r="AI1116" s="19"/>
      <c r="AJ1116" s="29"/>
      <c r="AK1116" s="29"/>
      <c r="AL1116" s="29"/>
    </row>
    <row r="1117" spans="2:38" s="28" customFormat="1" x14ac:dyDescent="0.3">
      <c r="B1117" s="24"/>
      <c r="C1117" s="37"/>
      <c r="D1117" s="37"/>
      <c r="E1117" s="37"/>
      <c r="F1117" s="35"/>
      <c r="G1117" s="35"/>
      <c r="H1117" s="35"/>
      <c r="I1117" s="35"/>
      <c r="J1117" s="35"/>
      <c r="K1117" s="35"/>
      <c r="L1117" s="35"/>
      <c r="M1117" s="31"/>
      <c r="N1117" s="32"/>
      <c r="O1117" s="32"/>
      <c r="P1117" s="32"/>
      <c r="Q1117" s="32"/>
      <c r="R1117" s="32"/>
      <c r="S1117" s="32"/>
      <c r="T1117" s="32"/>
      <c r="U1117" s="29"/>
      <c r="V1117" s="29"/>
      <c r="W1117" s="24"/>
      <c r="X1117" s="18"/>
      <c r="Y1117" s="18"/>
      <c r="Z1117" s="18"/>
      <c r="AA1117" s="18"/>
      <c r="AB1117" s="18"/>
      <c r="AC1117" s="18"/>
      <c r="AD1117" s="18"/>
      <c r="AE1117" s="19"/>
      <c r="AF1117" s="20"/>
      <c r="AG1117" s="21"/>
      <c r="AH1117" s="21"/>
      <c r="AI1117" s="19"/>
      <c r="AJ1117" s="29"/>
      <c r="AK1117" s="29"/>
      <c r="AL1117" s="29"/>
    </row>
    <row r="1118" spans="2:38" s="28" customFormat="1" x14ac:dyDescent="0.3">
      <c r="B1118" s="24"/>
      <c r="C1118" s="37"/>
      <c r="D1118" s="37"/>
      <c r="E1118" s="37"/>
      <c r="F1118" s="35"/>
      <c r="G1118" s="35"/>
      <c r="H1118" s="35"/>
      <c r="I1118" s="35"/>
      <c r="J1118" s="35"/>
      <c r="K1118" s="35"/>
      <c r="L1118" s="35"/>
      <c r="M1118" s="31"/>
      <c r="N1118" s="32"/>
      <c r="O1118" s="32"/>
      <c r="P1118" s="32"/>
      <c r="Q1118" s="32"/>
      <c r="R1118" s="32"/>
      <c r="S1118" s="32"/>
      <c r="T1118" s="32"/>
      <c r="U1118" s="29"/>
      <c r="V1118" s="29"/>
      <c r="W1118" s="24"/>
      <c r="X1118" s="18"/>
      <c r="Y1118" s="18"/>
      <c r="Z1118" s="18"/>
      <c r="AA1118" s="18"/>
      <c r="AB1118" s="18"/>
      <c r="AC1118" s="18"/>
      <c r="AD1118" s="18"/>
      <c r="AE1118" s="19"/>
      <c r="AF1118" s="20"/>
      <c r="AG1118" s="21"/>
      <c r="AH1118" s="21"/>
      <c r="AI1118" s="19"/>
      <c r="AJ1118" s="29"/>
      <c r="AK1118" s="29"/>
      <c r="AL1118" s="29"/>
    </row>
    <row r="1119" spans="2:38" s="28" customFormat="1" x14ac:dyDescent="0.3">
      <c r="B1119" s="24"/>
      <c r="C1119" s="37"/>
      <c r="D1119" s="37"/>
      <c r="E1119" s="37"/>
      <c r="F1119" s="35"/>
      <c r="G1119" s="35"/>
      <c r="H1119" s="35"/>
      <c r="I1119" s="35"/>
      <c r="J1119" s="35"/>
      <c r="K1119" s="35"/>
      <c r="L1119" s="35"/>
      <c r="M1119" s="31"/>
      <c r="N1119" s="32"/>
      <c r="O1119" s="32"/>
      <c r="P1119" s="32"/>
      <c r="Q1119" s="32"/>
      <c r="R1119" s="32"/>
      <c r="S1119" s="32"/>
      <c r="T1119" s="32"/>
      <c r="U1119" s="29"/>
      <c r="V1119" s="29"/>
      <c r="W1119" s="24"/>
      <c r="X1119" s="18"/>
      <c r="Y1119" s="18"/>
      <c r="Z1119" s="18"/>
      <c r="AA1119" s="18"/>
      <c r="AB1119" s="18"/>
      <c r="AC1119" s="18"/>
      <c r="AD1119" s="18"/>
      <c r="AE1119" s="19"/>
      <c r="AF1119" s="20"/>
      <c r="AG1119" s="21"/>
      <c r="AH1119" s="21"/>
      <c r="AI1119" s="19"/>
      <c r="AJ1119" s="29"/>
      <c r="AK1119" s="29"/>
      <c r="AL1119" s="29"/>
    </row>
    <row r="1120" spans="2:38" s="28" customFormat="1" x14ac:dyDescent="0.3">
      <c r="B1120" s="24"/>
      <c r="C1120" s="37"/>
      <c r="D1120" s="37"/>
      <c r="E1120" s="37"/>
      <c r="F1120" s="35"/>
      <c r="G1120" s="35"/>
      <c r="H1120" s="35"/>
      <c r="I1120" s="35"/>
      <c r="J1120" s="35"/>
      <c r="K1120" s="35"/>
      <c r="L1120" s="35"/>
      <c r="M1120" s="31"/>
      <c r="N1120" s="32"/>
      <c r="O1120" s="32"/>
      <c r="P1120" s="32"/>
      <c r="Q1120" s="32"/>
      <c r="R1120" s="32"/>
      <c r="S1120" s="32"/>
      <c r="T1120" s="32"/>
      <c r="U1120" s="29"/>
      <c r="V1120" s="29"/>
      <c r="W1120" s="24"/>
      <c r="X1120" s="18"/>
      <c r="Y1120" s="18"/>
      <c r="Z1120" s="18"/>
      <c r="AA1120" s="18"/>
      <c r="AB1120" s="18"/>
      <c r="AC1120" s="18"/>
      <c r="AD1120" s="18"/>
      <c r="AE1120" s="19"/>
      <c r="AF1120" s="20"/>
      <c r="AG1120" s="21"/>
      <c r="AH1120" s="21"/>
      <c r="AI1120" s="19"/>
      <c r="AJ1120" s="29"/>
      <c r="AK1120" s="29"/>
      <c r="AL1120" s="29"/>
    </row>
    <row r="1121" spans="2:38" s="28" customFormat="1" x14ac:dyDescent="0.3">
      <c r="B1121" s="24"/>
      <c r="C1121" s="37"/>
      <c r="D1121" s="37"/>
      <c r="E1121" s="37"/>
      <c r="F1121" s="35"/>
      <c r="G1121" s="35"/>
      <c r="H1121" s="35"/>
      <c r="I1121" s="35"/>
      <c r="J1121" s="35"/>
      <c r="K1121" s="35"/>
      <c r="L1121" s="35"/>
      <c r="M1121" s="31"/>
      <c r="N1121" s="32"/>
      <c r="O1121" s="32"/>
      <c r="P1121" s="32"/>
      <c r="Q1121" s="32"/>
      <c r="R1121" s="32"/>
      <c r="S1121" s="32"/>
      <c r="T1121" s="32"/>
      <c r="U1121" s="29"/>
      <c r="V1121" s="29"/>
      <c r="W1121" s="24"/>
      <c r="X1121" s="18"/>
      <c r="Y1121" s="18"/>
      <c r="Z1121" s="18"/>
      <c r="AA1121" s="18"/>
      <c r="AB1121" s="18"/>
      <c r="AC1121" s="18"/>
      <c r="AD1121" s="18"/>
      <c r="AE1121" s="19"/>
      <c r="AF1121" s="20"/>
      <c r="AG1121" s="21"/>
      <c r="AH1121" s="21"/>
      <c r="AI1121" s="19"/>
      <c r="AJ1121" s="29"/>
      <c r="AK1121" s="29"/>
      <c r="AL1121" s="29"/>
    </row>
    <row r="1122" spans="2:38" s="28" customFormat="1" x14ac:dyDescent="0.3">
      <c r="B1122" s="24"/>
      <c r="C1122" s="37"/>
      <c r="D1122" s="37"/>
      <c r="E1122" s="37"/>
      <c r="F1122" s="35"/>
      <c r="G1122" s="35"/>
      <c r="H1122" s="35"/>
      <c r="I1122" s="35"/>
      <c r="J1122" s="35"/>
      <c r="K1122" s="35"/>
      <c r="L1122" s="35"/>
      <c r="M1122" s="31"/>
      <c r="N1122" s="32"/>
      <c r="O1122" s="32"/>
      <c r="P1122" s="32"/>
      <c r="Q1122" s="32"/>
      <c r="R1122" s="32"/>
      <c r="S1122" s="32"/>
      <c r="T1122" s="32"/>
      <c r="U1122" s="29"/>
      <c r="V1122" s="29"/>
      <c r="W1122" s="24"/>
      <c r="X1122" s="18"/>
      <c r="Y1122" s="18"/>
      <c r="Z1122" s="18"/>
      <c r="AA1122" s="18"/>
      <c r="AB1122" s="18"/>
      <c r="AC1122" s="18"/>
      <c r="AD1122" s="18"/>
      <c r="AE1122" s="19"/>
      <c r="AF1122" s="20"/>
      <c r="AG1122" s="21"/>
      <c r="AH1122" s="21"/>
      <c r="AI1122" s="19"/>
      <c r="AJ1122" s="29"/>
      <c r="AK1122" s="29"/>
      <c r="AL1122" s="29"/>
    </row>
    <row r="1123" spans="2:38" s="28" customFormat="1" x14ac:dyDescent="0.3">
      <c r="B1123" s="24"/>
      <c r="C1123" s="37"/>
      <c r="D1123" s="37"/>
      <c r="E1123" s="37"/>
      <c r="F1123" s="35"/>
      <c r="G1123" s="35"/>
      <c r="H1123" s="35"/>
      <c r="I1123" s="35"/>
      <c r="J1123" s="35"/>
      <c r="K1123" s="35"/>
      <c r="L1123" s="35"/>
      <c r="M1123" s="31"/>
      <c r="N1123" s="32"/>
      <c r="O1123" s="32"/>
      <c r="P1123" s="32"/>
      <c r="Q1123" s="32"/>
      <c r="R1123" s="32"/>
      <c r="S1123" s="32"/>
      <c r="T1123" s="32"/>
      <c r="U1123" s="29"/>
      <c r="V1123" s="29"/>
      <c r="W1123" s="24"/>
      <c r="X1123" s="18"/>
      <c r="Y1123" s="18"/>
      <c r="Z1123" s="18"/>
      <c r="AA1123" s="18"/>
      <c r="AB1123" s="18"/>
      <c r="AC1123" s="18"/>
      <c r="AD1123" s="18"/>
      <c r="AE1123" s="19"/>
      <c r="AF1123" s="20"/>
      <c r="AG1123" s="21"/>
      <c r="AH1123" s="21"/>
      <c r="AI1123" s="19"/>
      <c r="AJ1123" s="29"/>
      <c r="AK1123" s="29"/>
      <c r="AL1123" s="29"/>
    </row>
    <row r="1124" spans="2:38" s="28" customFormat="1" x14ac:dyDescent="0.3">
      <c r="B1124" s="24"/>
      <c r="C1124" s="37"/>
      <c r="D1124" s="37"/>
      <c r="E1124" s="37"/>
      <c r="F1124" s="35"/>
      <c r="G1124" s="35"/>
      <c r="H1124" s="35"/>
      <c r="I1124" s="35"/>
      <c r="J1124" s="35"/>
      <c r="K1124" s="35"/>
      <c r="L1124" s="35"/>
      <c r="M1124" s="31"/>
      <c r="N1124" s="32"/>
      <c r="O1124" s="32"/>
      <c r="P1124" s="32"/>
      <c r="Q1124" s="32"/>
      <c r="R1124" s="32"/>
      <c r="S1124" s="32"/>
      <c r="T1124" s="32"/>
      <c r="U1124" s="29"/>
      <c r="V1124" s="29"/>
      <c r="W1124" s="24"/>
      <c r="X1124" s="18"/>
      <c r="Y1124" s="18"/>
      <c r="Z1124" s="18"/>
      <c r="AA1124" s="18"/>
      <c r="AB1124" s="18"/>
      <c r="AC1124" s="18"/>
      <c r="AD1124" s="18"/>
      <c r="AE1124" s="19"/>
      <c r="AF1124" s="20"/>
      <c r="AG1124" s="21"/>
      <c r="AH1124" s="21"/>
      <c r="AI1124" s="19"/>
      <c r="AJ1124" s="29"/>
      <c r="AK1124" s="29"/>
      <c r="AL1124" s="29"/>
    </row>
    <row r="1125" spans="2:38" s="28" customFormat="1" x14ac:dyDescent="0.3">
      <c r="B1125" s="24"/>
      <c r="C1125" s="37"/>
      <c r="D1125" s="37"/>
      <c r="E1125" s="37"/>
      <c r="F1125" s="35"/>
      <c r="G1125" s="35"/>
      <c r="H1125" s="35"/>
      <c r="I1125" s="35"/>
      <c r="J1125" s="35"/>
      <c r="K1125" s="35"/>
      <c r="L1125" s="35"/>
      <c r="M1125" s="31"/>
      <c r="N1125" s="32"/>
      <c r="O1125" s="32"/>
      <c r="P1125" s="32"/>
      <c r="Q1125" s="32"/>
      <c r="R1125" s="32"/>
      <c r="S1125" s="32"/>
      <c r="T1125" s="32"/>
      <c r="U1125" s="29"/>
      <c r="V1125" s="29"/>
      <c r="W1125" s="24"/>
      <c r="X1125" s="18"/>
      <c r="Y1125" s="18"/>
      <c r="Z1125" s="18"/>
      <c r="AA1125" s="18"/>
      <c r="AB1125" s="18"/>
      <c r="AC1125" s="18"/>
      <c r="AD1125" s="18"/>
      <c r="AE1125" s="19"/>
      <c r="AF1125" s="20"/>
      <c r="AG1125" s="21"/>
      <c r="AH1125" s="21"/>
      <c r="AI1125" s="19"/>
      <c r="AJ1125" s="29"/>
      <c r="AK1125" s="29"/>
      <c r="AL1125" s="29"/>
    </row>
    <row r="1126" spans="2:38" s="28" customFormat="1" x14ac:dyDescent="0.3">
      <c r="B1126" s="24"/>
      <c r="C1126" s="37"/>
      <c r="D1126" s="37"/>
      <c r="E1126" s="37"/>
      <c r="F1126" s="35"/>
      <c r="G1126" s="35"/>
      <c r="H1126" s="35"/>
      <c r="I1126" s="35"/>
      <c r="J1126" s="35"/>
      <c r="K1126" s="35"/>
      <c r="L1126" s="35"/>
      <c r="M1126" s="31"/>
      <c r="N1126" s="32"/>
      <c r="O1126" s="32"/>
      <c r="P1126" s="32"/>
      <c r="Q1126" s="32"/>
      <c r="R1126" s="32"/>
      <c r="S1126" s="32"/>
      <c r="T1126" s="32"/>
      <c r="U1126" s="29"/>
      <c r="V1126" s="29"/>
      <c r="W1126" s="24"/>
      <c r="X1126" s="18"/>
      <c r="Y1126" s="18"/>
      <c r="Z1126" s="18"/>
      <c r="AA1126" s="18"/>
      <c r="AB1126" s="18"/>
      <c r="AC1126" s="18"/>
      <c r="AD1126" s="18"/>
      <c r="AE1126" s="19"/>
      <c r="AF1126" s="20"/>
      <c r="AG1126" s="21"/>
      <c r="AH1126" s="21"/>
      <c r="AI1126" s="19"/>
      <c r="AJ1126" s="29"/>
      <c r="AK1126" s="29"/>
      <c r="AL1126" s="29"/>
    </row>
    <row r="1127" spans="2:38" s="28" customFormat="1" x14ac:dyDescent="0.3">
      <c r="B1127" s="24"/>
      <c r="C1127" s="37"/>
      <c r="D1127" s="37"/>
      <c r="E1127" s="37"/>
      <c r="F1127" s="35"/>
      <c r="G1127" s="35"/>
      <c r="H1127" s="35"/>
      <c r="I1127" s="35"/>
      <c r="J1127" s="35"/>
      <c r="K1127" s="35"/>
      <c r="L1127" s="35"/>
      <c r="M1127" s="31"/>
      <c r="N1127" s="32"/>
      <c r="O1127" s="32"/>
      <c r="P1127" s="32"/>
      <c r="Q1127" s="32"/>
      <c r="R1127" s="32"/>
      <c r="S1127" s="32"/>
      <c r="T1127" s="32"/>
      <c r="U1127" s="29"/>
      <c r="V1127" s="29"/>
      <c r="W1127" s="24"/>
      <c r="X1127" s="18"/>
      <c r="Y1127" s="18"/>
      <c r="Z1127" s="18"/>
      <c r="AA1127" s="18"/>
      <c r="AB1127" s="18"/>
      <c r="AC1127" s="18"/>
      <c r="AD1127" s="18"/>
      <c r="AE1127" s="19"/>
      <c r="AF1127" s="20"/>
      <c r="AG1127" s="21"/>
      <c r="AH1127" s="21"/>
      <c r="AI1127" s="19"/>
      <c r="AJ1127" s="29"/>
      <c r="AK1127" s="29"/>
      <c r="AL1127" s="29"/>
    </row>
    <row r="1128" spans="2:38" s="28" customFormat="1" x14ac:dyDescent="0.3">
      <c r="B1128" s="24"/>
      <c r="C1128" s="37"/>
      <c r="D1128" s="37"/>
      <c r="E1128" s="37"/>
      <c r="F1128" s="35"/>
      <c r="G1128" s="35"/>
      <c r="H1128" s="35"/>
      <c r="I1128" s="35"/>
      <c r="J1128" s="35"/>
      <c r="K1128" s="35"/>
      <c r="L1128" s="35"/>
      <c r="M1128" s="31"/>
      <c r="N1128" s="32"/>
      <c r="O1128" s="32"/>
      <c r="P1128" s="32"/>
      <c r="Q1128" s="32"/>
      <c r="R1128" s="32"/>
      <c r="S1128" s="32"/>
      <c r="T1128" s="32"/>
      <c r="U1128" s="29"/>
      <c r="V1128" s="29"/>
      <c r="W1128" s="24"/>
      <c r="X1128" s="18"/>
      <c r="Y1128" s="18"/>
      <c r="Z1128" s="18"/>
      <c r="AA1128" s="18"/>
      <c r="AB1128" s="18"/>
      <c r="AC1128" s="18"/>
      <c r="AD1128" s="18"/>
      <c r="AE1128" s="19"/>
      <c r="AF1128" s="20"/>
      <c r="AG1128" s="21"/>
      <c r="AH1128" s="21"/>
      <c r="AI1128" s="19"/>
      <c r="AJ1128" s="29"/>
      <c r="AK1128" s="29"/>
      <c r="AL1128" s="29"/>
    </row>
    <row r="1129" spans="2:38" s="28" customFormat="1" x14ac:dyDescent="0.3">
      <c r="B1129" s="24"/>
      <c r="C1129" s="37"/>
      <c r="D1129" s="37"/>
      <c r="E1129" s="37"/>
      <c r="F1129" s="35"/>
      <c r="G1129" s="35"/>
      <c r="H1129" s="35"/>
      <c r="I1129" s="35"/>
      <c r="J1129" s="35"/>
      <c r="K1129" s="35"/>
      <c r="L1129" s="35"/>
      <c r="M1129" s="31"/>
      <c r="N1129" s="32"/>
      <c r="O1129" s="32"/>
      <c r="P1129" s="32"/>
      <c r="Q1129" s="32"/>
      <c r="R1129" s="32"/>
      <c r="S1129" s="32"/>
      <c r="T1129" s="32"/>
      <c r="U1129" s="29"/>
      <c r="V1129" s="29"/>
      <c r="W1129" s="24"/>
      <c r="X1129" s="18"/>
      <c r="Y1129" s="18"/>
      <c r="Z1129" s="18"/>
      <c r="AA1129" s="18"/>
      <c r="AB1129" s="18"/>
      <c r="AC1129" s="18"/>
      <c r="AD1129" s="18"/>
      <c r="AE1129" s="19"/>
      <c r="AF1129" s="20"/>
      <c r="AG1129" s="21"/>
      <c r="AH1129" s="21"/>
      <c r="AI1129" s="19"/>
      <c r="AJ1129" s="29"/>
      <c r="AK1129" s="29"/>
      <c r="AL1129" s="29"/>
    </row>
    <row r="1130" spans="2:38" s="28" customFormat="1" x14ac:dyDescent="0.3">
      <c r="B1130" s="24"/>
      <c r="C1130" s="37"/>
      <c r="D1130" s="37"/>
      <c r="E1130" s="37"/>
      <c r="F1130" s="35"/>
      <c r="G1130" s="35"/>
      <c r="H1130" s="35"/>
      <c r="I1130" s="35"/>
      <c r="J1130" s="35"/>
      <c r="K1130" s="35"/>
      <c r="L1130" s="35"/>
      <c r="M1130" s="31"/>
      <c r="N1130" s="32"/>
      <c r="O1130" s="32"/>
      <c r="P1130" s="32"/>
      <c r="Q1130" s="32"/>
      <c r="R1130" s="32"/>
      <c r="S1130" s="32"/>
      <c r="T1130" s="32"/>
      <c r="U1130" s="29"/>
      <c r="V1130" s="29"/>
      <c r="W1130" s="24"/>
      <c r="X1130" s="18"/>
      <c r="Y1130" s="18"/>
      <c r="Z1130" s="18"/>
      <c r="AA1130" s="18"/>
      <c r="AB1130" s="18"/>
      <c r="AC1130" s="18"/>
      <c r="AD1130" s="18"/>
      <c r="AE1130" s="19"/>
      <c r="AF1130" s="20"/>
      <c r="AG1130" s="21"/>
      <c r="AH1130" s="21"/>
      <c r="AI1130" s="19"/>
      <c r="AJ1130" s="29"/>
      <c r="AK1130" s="29"/>
      <c r="AL1130" s="29"/>
    </row>
    <row r="1131" spans="2:38" s="28" customFormat="1" x14ac:dyDescent="0.3">
      <c r="B1131" s="24"/>
      <c r="C1131" s="37"/>
      <c r="D1131" s="37"/>
      <c r="E1131" s="37"/>
      <c r="F1131" s="35"/>
      <c r="G1131" s="35"/>
      <c r="H1131" s="35"/>
      <c r="I1131" s="35"/>
      <c r="J1131" s="35"/>
      <c r="K1131" s="35"/>
      <c r="L1131" s="35"/>
      <c r="M1131" s="31"/>
      <c r="N1131" s="32"/>
      <c r="O1131" s="32"/>
      <c r="P1131" s="32"/>
      <c r="Q1131" s="32"/>
      <c r="R1131" s="32"/>
      <c r="S1131" s="32"/>
      <c r="T1131" s="32"/>
      <c r="U1131" s="29"/>
      <c r="V1131" s="29"/>
      <c r="W1131" s="24"/>
      <c r="X1131" s="18"/>
      <c r="Y1131" s="18"/>
      <c r="Z1131" s="18"/>
      <c r="AA1131" s="18"/>
      <c r="AB1131" s="18"/>
      <c r="AC1131" s="18"/>
      <c r="AD1131" s="18"/>
      <c r="AE1131" s="19"/>
      <c r="AF1131" s="20"/>
      <c r="AG1131" s="21"/>
      <c r="AH1131" s="21"/>
      <c r="AI1131" s="19"/>
      <c r="AJ1131" s="29"/>
      <c r="AK1131" s="29"/>
      <c r="AL1131" s="29"/>
    </row>
    <row r="1132" spans="2:38" s="28" customFormat="1" x14ac:dyDescent="0.3">
      <c r="B1132" s="24"/>
      <c r="C1132" s="37"/>
      <c r="D1132" s="37"/>
      <c r="E1132" s="37"/>
      <c r="F1132" s="35"/>
      <c r="G1132" s="35"/>
      <c r="H1132" s="35"/>
      <c r="I1132" s="35"/>
      <c r="J1132" s="35"/>
      <c r="K1132" s="35"/>
      <c r="L1132" s="35"/>
      <c r="M1132" s="31"/>
      <c r="N1132" s="32"/>
      <c r="O1132" s="32"/>
      <c r="P1132" s="32"/>
      <c r="Q1132" s="32"/>
      <c r="R1132" s="32"/>
      <c r="S1132" s="32"/>
      <c r="T1132" s="32"/>
      <c r="U1132" s="29"/>
      <c r="V1132" s="29"/>
      <c r="W1132" s="24"/>
      <c r="X1132" s="18"/>
      <c r="Y1132" s="18"/>
      <c r="Z1132" s="18"/>
      <c r="AA1132" s="18"/>
      <c r="AB1132" s="18"/>
      <c r="AC1132" s="18"/>
      <c r="AD1132" s="18"/>
      <c r="AE1132" s="19"/>
      <c r="AF1132" s="20"/>
      <c r="AG1132" s="21"/>
      <c r="AH1132" s="21"/>
      <c r="AI1132" s="19"/>
      <c r="AJ1132" s="29"/>
      <c r="AK1132" s="29"/>
      <c r="AL1132" s="29"/>
    </row>
    <row r="1133" spans="2:38" s="28" customFormat="1" x14ac:dyDescent="0.3">
      <c r="B1133" s="24"/>
      <c r="C1133" s="37"/>
      <c r="D1133" s="37"/>
      <c r="E1133" s="37"/>
      <c r="F1133" s="35"/>
      <c r="G1133" s="35"/>
      <c r="H1133" s="35"/>
      <c r="I1133" s="35"/>
      <c r="J1133" s="35"/>
      <c r="K1133" s="35"/>
      <c r="L1133" s="35"/>
      <c r="M1133" s="31"/>
      <c r="N1133" s="32"/>
      <c r="O1133" s="32"/>
      <c r="P1133" s="32"/>
      <c r="Q1133" s="32"/>
      <c r="R1133" s="32"/>
      <c r="S1133" s="32"/>
      <c r="T1133" s="32"/>
      <c r="U1133" s="29"/>
      <c r="V1133" s="29"/>
      <c r="W1133" s="24"/>
      <c r="X1133" s="18"/>
      <c r="Y1133" s="18"/>
      <c r="Z1133" s="18"/>
      <c r="AA1133" s="18"/>
      <c r="AB1133" s="18"/>
      <c r="AC1133" s="18"/>
      <c r="AD1133" s="18"/>
      <c r="AE1133" s="19"/>
      <c r="AF1133" s="20"/>
      <c r="AG1133" s="21"/>
      <c r="AH1133" s="21"/>
      <c r="AI1133" s="19"/>
      <c r="AJ1133" s="29"/>
      <c r="AK1133" s="29"/>
      <c r="AL1133" s="29"/>
    </row>
    <row r="1134" spans="2:38" s="28" customFormat="1" x14ac:dyDescent="0.3">
      <c r="B1134" s="24"/>
      <c r="C1134" s="37"/>
      <c r="D1134" s="37"/>
      <c r="E1134" s="37"/>
      <c r="F1134" s="35"/>
      <c r="G1134" s="35"/>
      <c r="H1134" s="35"/>
      <c r="I1134" s="35"/>
      <c r="J1134" s="35"/>
      <c r="K1134" s="35"/>
      <c r="L1134" s="35"/>
      <c r="M1134" s="31"/>
      <c r="N1134" s="32"/>
      <c r="O1134" s="32"/>
      <c r="P1134" s="32"/>
      <c r="Q1134" s="32"/>
      <c r="R1134" s="32"/>
      <c r="S1134" s="32"/>
      <c r="T1134" s="32"/>
      <c r="U1134" s="29"/>
      <c r="V1134" s="29"/>
      <c r="W1134" s="24"/>
      <c r="X1134" s="18"/>
      <c r="Y1134" s="18"/>
      <c r="Z1134" s="18"/>
      <c r="AA1134" s="18"/>
      <c r="AB1134" s="18"/>
      <c r="AC1134" s="18"/>
      <c r="AD1134" s="18"/>
      <c r="AE1134" s="19"/>
      <c r="AF1134" s="20"/>
      <c r="AG1134" s="21"/>
      <c r="AH1134" s="21"/>
      <c r="AI1134" s="19"/>
      <c r="AJ1134" s="29"/>
      <c r="AK1134" s="29"/>
      <c r="AL1134" s="29"/>
    </row>
    <row r="1135" spans="2:38" s="28" customFormat="1" x14ac:dyDescent="0.3">
      <c r="B1135" s="24"/>
      <c r="C1135" s="37"/>
      <c r="D1135" s="37"/>
      <c r="E1135" s="37"/>
      <c r="F1135" s="35"/>
      <c r="G1135" s="35"/>
      <c r="H1135" s="35"/>
      <c r="I1135" s="35"/>
      <c r="J1135" s="35"/>
      <c r="K1135" s="35"/>
      <c r="L1135" s="35"/>
      <c r="M1135" s="31"/>
      <c r="N1135" s="32"/>
      <c r="O1135" s="32"/>
      <c r="P1135" s="32"/>
      <c r="Q1135" s="32"/>
      <c r="R1135" s="32"/>
      <c r="S1135" s="32"/>
      <c r="T1135" s="32"/>
      <c r="U1135" s="29"/>
      <c r="V1135" s="29"/>
      <c r="W1135" s="24"/>
      <c r="X1135" s="18"/>
      <c r="Y1135" s="18"/>
      <c r="Z1135" s="18"/>
      <c r="AA1135" s="18"/>
      <c r="AB1135" s="18"/>
      <c r="AC1135" s="18"/>
      <c r="AD1135" s="18"/>
      <c r="AE1135" s="19"/>
      <c r="AF1135" s="20"/>
      <c r="AG1135" s="21"/>
      <c r="AH1135" s="21"/>
      <c r="AI1135" s="19"/>
      <c r="AJ1135" s="29"/>
      <c r="AK1135" s="29"/>
      <c r="AL1135" s="29"/>
    </row>
    <row r="1136" spans="2:38" s="28" customFormat="1" x14ac:dyDescent="0.3">
      <c r="B1136" s="24"/>
      <c r="C1136" s="37"/>
      <c r="D1136" s="37"/>
      <c r="E1136" s="37"/>
      <c r="F1136" s="35"/>
      <c r="G1136" s="35"/>
      <c r="H1136" s="35"/>
      <c r="I1136" s="35"/>
      <c r="J1136" s="35"/>
      <c r="K1136" s="35"/>
      <c r="L1136" s="35"/>
      <c r="M1136" s="31"/>
      <c r="N1136" s="32"/>
      <c r="O1136" s="32"/>
      <c r="P1136" s="32"/>
      <c r="Q1136" s="32"/>
      <c r="R1136" s="32"/>
      <c r="S1136" s="32"/>
      <c r="T1136" s="32"/>
      <c r="U1136" s="29"/>
      <c r="V1136" s="29"/>
      <c r="W1136" s="24"/>
      <c r="X1136" s="18"/>
      <c r="Y1136" s="18"/>
      <c r="Z1136" s="18"/>
      <c r="AA1136" s="18"/>
      <c r="AB1136" s="18"/>
      <c r="AC1136" s="18"/>
      <c r="AD1136" s="18"/>
      <c r="AE1136" s="19"/>
      <c r="AF1136" s="20"/>
      <c r="AG1136" s="21"/>
      <c r="AH1136" s="21"/>
      <c r="AI1136" s="19"/>
      <c r="AJ1136" s="29"/>
      <c r="AK1136" s="29"/>
      <c r="AL1136" s="29"/>
    </row>
    <row r="1137" spans="2:38" s="28" customFormat="1" x14ac:dyDescent="0.3">
      <c r="B1137" s="24"/>
      <c r="C1137" s="37"/>
      <c r="D1137" s="37"/>
      <c r="E1137" s="37"/>
      <c r="F1137" s="35"/>
      <c r="G1137" s="35"/>
      <c r="H1137" s="35"/>
      <c r="I1137" s="35"/>
      <c r="J1137" s="35"/>
      <c r="K1137" s="35"/>
      <c r="L1137" s="35"/>
      <c r="M1137" s="31"/>
      <c r="N1137" s="32"/>
      <c r="O1137" s="32"/>
      <c r="P1137" s="32"/>
      <c r="Q1137" s="32"/>
      <c r="R1137" s="32"/>
      <c r="S1137" s="32"/>
      <c r="T1137" s="32"/>
      <c r="U1137" s="29"/>
      <c r="V1137" s="29"/>
      <c r="W1137" s="24"/>
      <c r="X1137" s="18"/>
      <c r="Y1137" s="18"/>
      <c r="Z1137" s="18"/>
      <c r="AA1137" s="18"/>
      <c r="AB1137" s="18"/>
      <c r="AC1137" s="18"/>
      <c r="AD1137" s="18"/>
      <c r="AE1137" s="19"/>
      <c r="AF1137" s="20"/>
      <c r="AG1137" s="21"/>
      <c r="AH1137" s="21"/>
      <c r="AI1137" s="19"/>
      <c r="AJ1137" s="29"/>
      <c r="AK1137" s="29"/>
      <c r="AL1137" s="29"/>
    </row>
    <row r="1138" spans="2:38" s="28" customFormat="1" x14ac:dyDescent="0.3">
      <c r="B1138" s="24"/>
      <c r="C1138" s="37"/>
      <c r="D1138" s="37"/>
      <c r="E1138" s="37"/>
      <c r="F1138" s="35"/>
      <c r="G1138" s="35"/>
      <c r="H1138" s="35"/>
      <c r="I1138" s="35"/>
      <c r="J1138" s="35"/>
      <c r="K1138" s="35"/>
      <c r="L1138" s="35"/>
      <c r="M1138" s="31"/>
      <c r="N1138" s="32"/>
      <c r="O1138" s="32"/>
      <c r="P1138" s="32"/>
      <c r="Q1138" s="32"/>
      <c r="R1138" s="32"/>
      <c r="S1138" s="32"/>
      <c r="T1138" s="32"/>
      <c r="U1138" s="29"/>
      <c r="V1138" s="29"/>
      <c r="W1138" s="24"/>
      <c r="X1138" s="18"/>
      <c r="Y1138" s="18"/>
      <c r="Z1138" s="18"/>
      <c r="AA1138" s="18"/>
      <c r="AB1138" s="18"/>
      <c r="AC1138" s="18"/>
      <c r="AD1138" s="18"/>
      <c r="AE1138" s="19"/>
      <c r="AF1138" s="20"/>
      <c r="AG1138" s="21"/>
      <c r="AH1138" s="21"/>
      <c r="AI1138" s="19"/>
      <c r="AJ1138" s="29"/>
      <c r="AK1138" s="29"/>
      <c r="AL1138" s="29"/>
    </row>
    <row r="1139" spans="2:38" s="28" customFormat="1" x14ac:dyDescent="0.3">
      <c r="B1139" s="24"/>
      <c r="C1139" s="37"/>
      <c r="D1139" s="37"/>
      <c r="E1139" s="37"/>
      <c r="F1139" s="35"/>
      <c r="G1139" s="35"/>
      <c r="H1139" s="35"/>
      <c r="I1139" s="35"/>
      <c r="J1139" s="35"/>
      <c r="K1139" s="35"/>
      <c r="L1139" s="35"/>
      <c r="M1139" s="31"/>
      <c r="N1139" s="32"/>
      <c r="O1139" s="32"/>
      <c r="P1139" s="32"/>
      <c r="Q1139" s="32"/>
      <c r="R1139" s="32"/>
      <c r="S1139" s="32"/>
      <c r="T1139" s="32"/>
      <c r="U1139" s="29"/>
      <c r="V1139" s="29"/>
      <c r="W1139" s="24"/>
      <c r="X1139" s="18"/>
      <c r="Y1139" s="18"/>
      <c r="Z1139" s="18"/>
      <c r="AA1139" s="18"/>
      <c r="AB1139" s="18"/>
      <c r="AC1139" s="18"/>
      <c r="AD1139" s="18"/>
      <c r="AE1139" s="19"/>
      <c r="AF1139" s="20"/>
      <c r="AG1139" s="21"/>
      <c r="AH1139" s="21"/>
      <c r="AI1139" s="19"/>
      <c r="AJ1139" s="29"/>
      <c r="AK1139" s="29"/>
      <c r="AL1139" s="29"/>
    </row>
    <row r="1140" spans="2:38" s="28" customFormat="1" x14ac:dyDescent="0.3">
      <c r="B1140" s="24"/>
      <c r="C1140" s="37"/>
      <c r="D1140" s="37"/>
      <c r="E1140" s="37"/>
      <c r="F1140" s="35"/>
      <c r="G1140" s="35"/>
      <c r="H1140" s="35"/>
      <c r="I1140" s="35"/>
      <c r="J1140" s="35"/>
      <c r="K1140" s="35"/>
      <c r="L1140" s="35"/>
      <c r="M1140" s="31"/>
      <c r="N1140" s="32"/>
      <c r="O1140" s="32"/>
      <c r="P1140" s="32"/>
      <c r="Q1140" s="32"/>
      <c r="R1140" s="32"/>
      <c r="S1140" s="32"/>
      <c r="T1140" s="32"/>
      <c r="U1140" s="29"/>
      <c r="V1140" s="29"/>
      <c r="W1140" s="24"/>
      <c r="X1140" s="18"/>
      <c r="Y1140" s="18"/>
      <c r="Z1140" s="18"/>
      <c r="AA1140" s="18"/>
      <c r="AB1140" s="18"/>
      <c r="AC1140" s="18"/>
      <c r="AD1140" s="18"/>
      <c r="AE1140" s="19"/>
      <c r="AF1140" s="20"/>
      <c r="AG1140" s="21"/>
      <c r="AH1140" s="21"/>
      <c r="AI1140" s="19"/>
      <c r="AJ1140" s="29"/>
      <c r="AK1140" s="29"/>
      <c r="AL1140" s="29"/>
    </row>
    <row r="1141" spans="2:38" s="28" customFormat="1" x14ac:dyDescent="0.3">
      <c r="B1141" s="24"/>
      <c r="C1141" s="37"/>
      <c r="D1141" s="37"/>
      <c r="E1141" s="37"/>
      <c r="F1141" s="35"/>
      <c r="G1141" s="35"/>
      <c r="H1141" s="35"/>
      <c r="I1141" s="35"/>
      <c r="J1141" s="35"/>
      <c r="K1141" s="35"/>
      <c r="L1141" s="35"/>
      <c r="M1141" s="31"/>
      <c r="N1141" s="32"/>
      <c r="O1141" s="32"/>
      <c r="P1141" s="32"/>
      <c r="Q1141" s="32"/>
      <c r="R1141" s="32"/>
      <c r="S1141" s="32"/>
      <c r="T1141" s="32"/>
      <c r="U1141" s="29"/>
      <c r="V1141" s="29"/>
      <c r="W1141" s="24"/>
      <c r="X1141" s="18"/>
      <c r="Y1141" s="18"/>
      <c r="Z1141" s="18"/>
      <c r="AA1141" s="18"/>
      <c r="AB1141" s="18"/>
      <c r="AC1141" s="18"/>
      <c r="AD1141" s="18"/>
      <c r="AE1141" s="19"/>
      <c r="AF1141" s="20"/>
      <c r="AG1141" s="21"/>
      <c r="AH1141" s="21"/>
      <c r="AI1141" s="19"/>
      <c r="AJ1141" s="29"/>
      <c r="AK1141" s="29"/>
      <c r="AL1141" s="29"/>
    </row>
    <row r="1142" spans="2:38" s="28" customFormat="1" x14ac:dyDescent="0.3">
      <c r="B1142" s="24"/>
      <c r="C1142" s="37"/>
      <c r="D1142" s="37"/>
      <c r="E1142" s="37"/>
      <c r="F1142" s="35"/>
      <c r="G1142" s="35"/>
      <c r="H1142" s="35"/>
      <c r="I1142" s="35"/>
      <c r="J1142" s="35"/>
      <c r="K1142" s="35"/>
      <c r="L1142" s="35"/>
      <c r="M1142" s="31"/>
      <c r="N1142" s="32"/>
      <c r="O1142" s="32"/>
      <c r="P1142" s="32"/>
      <c r="Q1142" s="32"/>
      <c r="R1142" s="32"/>
      <c r="S1142" s="32"/>
      <c r="T1142" s="32"/>
      <c r="U1142" s="29"/>
      <c r="V1142" s="29"/>
      <c r="W1142" s="24"/>
      <c r="X1142" s="18"/>
      <c r="Y1142" s="18"/>
      <c r="Z1142" s="18"/>
      <c r="AA1142" s="18"/>
      <c r="AB1142" s="18"/>
      <c r="AC1142" s="18"/>
      <c r="AD1142" s="18"/>
      <c r="AE1142" s="19"/>
      <c r="AF1142" s="20"/>
      <c r="AG1142" s="21"/>
      <c r="AH1142" s="21"/>
      <c r="AI1142" s="19"/>
      <c r="AJ1142" s="29"/>
      <c r="AK1142" s="29"/>
      <c r="AL1142" s="29"/>
    </row>
    <row r="1143" spans="2:38" s="28" customFormat="1" x14ac:dyDescent="0.3">
      <c r="B1143" s="24"/>
      <c r="C1143" s="37"/>
      <c r="D1143" s="37"/>
      <c r="E1143" s="37"/>
      <c r="F1143" s="35"/>
      <c r="G1143" s="35"/>
      <c r="H1143" s="35"/>
      <c r="I1143" s="35"/>
      <c r="J1143" s="35"/>
      <c r="K1143" s="35"/>
      <c r="L1143" s="35"/>
      <c r="M1143" s="31"/>
      <c r="N1143" s="32"/>
      <c r="O1143" s="32"/>
      <c r="P1143" s="32"/>
      <c r="Q1143" s="32"/>
      <c r="R1143" s="32"/>
      <c r="S1143" s="32"/>
      <c r="T1143" s="32"/>
      <c r="U1143" s="29"/>
      <c r="V1143" s="29"/>
      <c r="W1143" s="24"/>
      <c r="X1143" s="18"/>
      <c r="Y1143" s="18"/>
      <c r="Z1143" s="18"/>
      <c r="AA1143" s="18"/>
      <c r="AB1143" s="18"/>
      <c r="AC1143" s="18"/>
      <c r="AD1143" s="18"/>
      <c r="AE1143" s="19"/>
      <c r="AF1143" s="20"/>
      <c r="AG1143" s="21"/>
      <c r="AH1143" s="21"/>
      <c r="AI1143" s="19"/>
      <c r="AJ1143" s="29"/>
      <c r="AK1143" s="29"/>
      <c r="AL1143" s="29"/>
    </row>
    <row r="1144" spans="2:38" s="28" customFormat="1" x14ac:dyDescent="0.3">
      <c r="B1144" s="24"/>
      <c r="C1144" s="37"/>
      <c r="D1144" s="37"/>
      <c r="E1144" s="37"/>
      <c r="F1144" s="35"/>
      <c r="G1144" s="35"/>
      <c r="H1144" s="35"/>
      <c r="I1144" s="35"/>
      <c r="J1144" s="35"/>
      <c r="K1144" s="35"/>
      <c r="L1144" s="35"/>
      <c r="M1144" s="31"/>
      <c r="N1144" s="32"/>
      <c r="O1144" s="32"/>
      <c r="P1144" s="32"/>
      <c r="Q1144" s="32"/>
      <c r="R1144" s="32"/>
      <c r="S1144" s="32"/>
      <c r="T1144" s="32"/>
      <c r="U1144" s="29"/>
      <c r="V1144" s="29"/>
      <c r="W1144" s="24"/>
      <c r="X1144" s="18"/>
      <c r="Y1144" s="18"/>
      <c r="Z1144" s="18"/>
      <c r="AA1144" s="18"/>
      <c r="AB1144" s="18"/>
      <c r="AC1144" s="18"/>
      <c r="AD1144" s="18"/>
      <c r="AE1144" s="19"/>
      <c r="AF1144" s="20"/>
      <c r="AG1144" s="21"/>
      <c r="AH1144" s="21"/>
      <c r="AI1144" s="19"/>
      <c r="AJ1144" s="29"/>
      <c r="AK1144" s="29"/>
      <c r="AL1144" s="29"/>
    </row>
    <row r="1145" spans="2:38" s="28" customFormat="1" x14ac:dyDescent="0.3">
      <c r="B1145" s="24"/>
      <c r="C1145" s="37"/>
      <c r="D1145" s="37"/>
      <c r="E1145" s="37"/>
      <c r="F1145" s="35"/>
      <c r="G1145" s="35"/>
      <c r="H1145" s="35"/>
      <c r="I1145" s="35"/>
      <c r="J1145" s="35"/>
      <c r="K1145" s="35"/>
      <c r="L1145" s="35"/>
      <c r="M1145" s="31"/>
      <c r="N1145" s="32"/>
      <c r="O1145" s="32"/>
      <c r="P1145" s="32"/>
      <c r="Q1145" s="32"/>
      <c r="R1145" s="32"/>
      <c r="S1145" s="32"/>
      <c r="T1145" s="32"/>
      <c r="U1145" s="29"/>
      <c r="V1145" s="29"/>
      <c r="W1145" s="24"/>
      <c r="X1145" s="18"/>
      <c r="Y1145" s="18"/>
      <c r="Z1145" s="18"/>
      <c r="AA1145" s="18"/>
      <c r="AB1145" s="18"/>
      <c r="AC1145" s="18"/>
      <c r="AD1145" s="18"/>
      <c r="AE1145" s="19"/>
      <c r="AF1145" s="20"/>
      <c r="AG1145" s="21"/>
      <c r="AH1145" s="21"/>
      <c r="AI1145" s="19"/>
      <c r="AJ1145" s="29"/>
      <c r="AK1145" s="29"/>
      <c r="AL1145" s="29"/>
    </row>
    <row r="1146" spans="2:38" s="28" customFormat="1" x14ac:dyDescent="0.3">
      <c r="B1146" s="24"/>
      <c r="C1146" s="37"/>
      <c r="D1146" s="37"/>
      <c r="E1146" s="37"/>
      <c r="F1146" s="35"/>
      <c r="G1146" s="35"/>
      <c r="H1146" s="35"/>
      <c r="I1146" s="35"/>
      <c r="J1146" s="35"/>
      <c r="K1146" s="35"/>
      <c r="L1146" s="35"/>
      <c r="M1146" s="31"/>
      <c r="N1146" s="32"/>
      <c r="O1146" s="32"/>
      <c r="P1146" s="32"/>
      <c r="Q1146" s="32"/>
      <c r="R1146" s="32"/>
      <c r="S1146" s="32"/>
      <c r="T1146" s="32"/>
      <c r="U1146" s="29"/>
      <c r="V1146" s="29"/>
      <c r="W1146" s="24"/>
      <c r="X1146" s="18"/>
      <c r="Y1146" s="18"/>
      <c r="Z1146" s="18"/>
      <c r="AA1146" s="18"/>
      <c r="AB1146" s="18"/>
      <c r="AC1146" s="18"/>
      <c r="AD1146" s="18"/>
      <c r="AE1146" s="19"/>
      <c r="AF1146" s="20"/>
      <c r="AG1146" s="21"/>
      <c r="AH1146" s="21"/>
      <c r="AI1146" s="19"/>
      <c r="AJ1146" s="29"/>
      <c r="AK1146" s="29"/>
      <c r="AL1146" s="29"/>
    </row>
    <row r="1147" spans="2:38" s="28" customFormat="1" x14ac:dyDescent="0.3">
      <c r="B1147" s="24"/>
      <c r="C1147" s="37"/>
      <c r="D1147" s="37"/>
      <c r="E1147" s="37"/>
      <c r="F1147" s="35"/>
      <c r="G1147" s="35"/>
      <c r="H1147" s="35"/>
      <c r="I1147" s="35"/>
      <c r="J1147" s="35"/>
      <c r="K1147" s="35"/>
      <c r="L1147" s="35"/>
      <c r="M1147" s="31"/>
      <c r="N1147" s="32"/>
      <c r="O1147" s="32"/>
      <c r="P1147" s="32"/>
      <c r="Q1147" s="32"/>
      <c r="R1147" s="32"/>
      <c r="S1147" s="32"/>
      <c r="T1147" s="32"/>
      <c r="U1147" s="29"/>
      <c r="V1147" s="29"/>
      <c r="W1147" s="24"/>
      <c r="X1147" s="18"/>
      <c r="Y1147" s="18"/>
      <c r="Z1147" s="18"/>
      <c r="AA1147" s="18"/>
      <c r="AB1147" s="18"/>
      <c r="AC1147" s="18"/>
      <c r="AD1147" s="18"/>
      <c r="AE1147" s="19"/>
      <c r="AF1147" s="20"/>
      <c r="AG1147" s="21"/>
      <c r="AH1147" s="21"/>
      <c r="AI1147" s="19"/>
      <c r="AJ1147" s="29"/>
      <c r="AK1147" s="29"/>
      <c r="AL1147" s="29"/>
    </row>
    <row r="1148" spans="2:38" s="28" customFormat="1" x14ac:dyDescent="0.3">
      <c r="B1148" s="24"/>
      <c r="C1148" s="37"/>
      <c r="D1148" s="37"/>
      <c r="E1148" s="37"/>
      <c r="F1148" s="35"/>
      <c r="G1148" s="35"/>
      <c r="H1148" s="35"/>
      <c r="I1148" s="35"/>
      <c r="J1148" s="35"/>
      <c r="K1148" s="35"/>
      <c r="L1148" s="35"/>
      <c r="M1148" s="31"/>
      <c r="N1148" s="32"/>
      <c r="O1148" s="32"/>
      <c r="P1148" s="32"/>
      <c r="Q1148" s="32"/>
      <c r="R1148" s="32"/>
      <c r="S1148" s="32"/>
      <c r="T1148" s="32"/>
      <c r="U1148" s="29"/>
      <c r="V1148" s="29"/>
      <c r="W1148" s="24"/>
      <c r="X1148" s="18"/>
      <c r="Y1148" s="18"/>
      <c r="Z1148" s="18"/>
      <c r="AA1148" s="18"/>
      <c r="AB1148" s="18"/>
      <c r="AC1148" s="18"/>
      <c r="AD1148" s="18"/>
      <c r="AE1148" s="19"/>
      <c r="AF1148" s="20"/>
      <c r="AG1148" s="21"/>
      <c r="AH1148" s="21"/>
      <c r="AI1148" s="19"/>
      <c r="AJ1148" s="29"/>
      <c r="AK1148" s="29"/>
      <c r="AL1148" s="29"/>
    </row>
    <row r="1149" spans="2:38" s="28" customFormat="1" x14ac:dyDescent="0.3">
      <c r="B1149" s="24"/>
      <c r="C1149" s="37"/>
      <c r="D1149" s="37"/>
      <c r="E1149" s="37"/>
      <c r="F1149" s="35"/>
      <c r="G1149" s="35"/>
      <c r="H1149" s="35"/>
      <c r="I1149" s="35"/>
      <c r="J1149" s="35"/>
      <c r="K1149" s="35"/>
      <c r="L1149" s="35"/>
      <c r="M1149" s="31"/>
      <c r="N1149" s="32"/>
      <c r="O1149" s="32"/>
      <c r="P1149" s="32"/>
      <c r="Q1149" s="32"/>
      <c r="R1149" s="32"/>
      <c r="S1149" s="32"/>
      <c r="T1149" s="32"/>
      <c r="U1149" s="29"/>
      <c r="V1149" s="29"/>
      <c r="W1149" s="24"/>
      <c r="X1149" s="18"/>
      <c r="Y1149" s="18"/>
      <c r="Z1149" s="18"/>
      <c r="AA1149" s="18"/>
      <c r="AB1149" s="18"/>
      <c r="AC1149" s="18"/>
      <c r="AD1149" s="18"/>
      <c r="AE1149" s="19"/>
      <c r="AF1149" s="20"/>
      <c r="AG1149" s="21"/>
      <c r="AH1149" s="21"/>
      <c r="AI1149" s="19"/>
      <c r="AJ1149" s="29"/>
      <c r="AK1149" s="29"/>
      <c r="AL1149" s="29"/>
    </row>
    <row r="1150" spans="2:38" s="28" customFormat="1" x14ac:dyDescent="0.3">
      <c r="B1150" s="24"/>
      <c r="C1150" s="37"/>
      <c r="D1150" s="37"/>
      <c r="E1150" s="37"/>
      <c r="F1150" s="35"/>
      <c r="G1150" s="35"/>
      <c r="H1150" s="35"/>
      <c r="I1150" s="35"/>
      <c r="J1150" s="35"/>
      <c r="K1150" s="35"/>
      <c r="L1150" s="35"/>
      <c r="M1150" s="31"/>
      <c r="N1150" s="32"/>
      <c r="O1150" s="32"/>
      <c r="P1150" s="32"/>
      <c r="Q1150" s="32"/>
      <c r="R1150" s="32"/>
      <c r="S1150" s="32"/>
      <c r="T1150" s="32"/>
      <c r="U1150" s="29"/>
      <c r="V1150" s="29"/>
      <c r="W1150" s="24"/>
      <c r="X1150" s="18"/>
      <c r="Y1150" s="18"/>
      <c r="Z1150" s="18"/>
      <c r="AA1150" s="18"/>
      <c r="AB1150" s="18"/>
      <c r="AC1150" s="18"/>
      <c r="AD1150" s="18"/>
      <c r="AE1150" s="19"/>
      <c r="AF1150" s="20"/>
      <c r="AG1150" s="21"/>
      <c r="AH1150" s="21"/>
      <c r="AI1150" s="19"/>
      <c r="AJ1150" s="29"/>
      <c r="AK1150" s="29"/>
      <c r="AL1150" s="29"/>
    </row>
    <row r="1151" spans="2:38" s="28" customFormat="1" x14ac:dyDescent="0.3">
      <c r="B1151" s="24"/>
      <c r="C1151" s="37"/>
      <c r="D1151" s="37"/>
      <c r="E1151" s="37"/>
      <c r="F1151" s="35"/>
      <c r="G1151" s="35"/>
      <c r="H1151" s="35"/>
      <c r="I1151" s="35"/>
      <c r="J1151" s="35"/>
      <c r="K1151" s="35"/>
      <c r="L1151" s="35"/>
      <c r="M1151" s="31"/>
      <c r="N1151" s="32"/>
      <c r="O1151" s="32"/>
      <c r="P1151" s="32"/>
      <c r="Q1151" s="32"/>
      <c r="R1151" s="32"/>
      <c r="S1151" s="32"/>
      <c r="T1151" s="32"/>
      <c r="U1151" s="29"/>
      <c r="V1151" s="29"/>
      <c r="W1151" s="24"/>
      <c r="X1151" s="18"/>
      <c r="Y1151" s="18"/>
      <c r="Z1151" s="18"/>
      <c r="AA1151" s="18"/>
      <c r="AB1151" s="18"/>
      <c r="AC1151" s="18"/>
      <c r="AD1151" s="18"/>
      <c r="AE1151" s="19"/>
      <c r="AF1151" s="20"/>
      <c r="AG1151" s="21"/>
      <c r="AH1151" s="21"/>
      <c r="AI1151" s="19"/>
      <c r="AJ1151" s="29"/>
      <c r="AK1151" s="29"/>
      <c r="AL1151" s="29"/>
    </row>
    <row r="1152" spans="2:38" s="28" customFormat="1" x14ac:dyDescent="0.3">
      <c r="B1152" s="24"/>
      <c r="C1152" s="37"/>
      <c r="D1152" s="37"/>
      <c r="E1152" s="37"/>
      <c r="F1152" s="35"/>
      <c r="G1152" s="35"/>
      <c r="H1152" s="35"/>
      <c r="I1152" s="35"/>
      <c r="J1152" s="35"/>
      <c r="K1152" s="35"/>
      <c r="L1152" s="35"/>
      <c r="M1152" s="31"/>
      <c r="N1152" s="32"/>
      <c r="O1152" s="32"/>
      <c r="P1152" s="32"/>
      <c r="Q1152" s="32"/>
      <c r="R1152" s="32"/>
      <c r="S1152" s="32"/>
      <c r="T1152" s="32"/>
      <c r="U1152" s="29"/>
      <c r="V1152" s="29"/>
      <c r="W1152" s="24"/>
      <c r="X1152" s="18"/>
      <c r="Y1152" s="18"/>
      <c r="Z1152" s="18"/>
      <c r="AA1152" s="18"/>
      <c r="AB1152" s="18"/>
      <c r="AC1152" s="18"/>
      <c r="AD1152" s="18"/>
      <c r="AE1152" s="19"/>
      <c r="AF1152" s="20"/>
      <c r="AG1152" s="21"/>
      <c r="AH1152" s="21"/>
      <c r="AI1152" s="19"/>
      <c r="AJ1152" s="29"/>
      <c r="AK1152" s="29"/>
      <c r="AL1152" s="29"/>
    </row>
    <row r="1153" spans="2:38" s="28" customFormat="1" x14ac:dyDescent="0.3">
      <c r="B1153" s="24"/>
      <c r="C1153" s="37"/>
      <c r="D1153" s="37"/>
      <c r="E1153" s="37"/>
      <c r="F1153" s="35"/>
      <c r="G1153" s="35"/>
      <c r="H1153" s="35"/>
      <c r="I1153" s="35"/>
      <c r="J1153" s="35"/>
      <c r="K1153" s="35"/>
      <c r="L1153" s="35"/>
      <c r="M1153" s="31"/>
      <c r="N1153" s="32"/>
      <c r="O1153" s="32"/>
      <c r="P1153" s="32"/>
      <c r="Q1153" s="32"/>
      <c r="R1153" s="32"/>
      <c r="S1153" s="32"/>
      <c r="T1153" s="32"/>
      <c r="U1153" s="29"/>
      <c r="V1153" s="29"/>
      <c r="W1153" s="24"/>
      <c r="X1153" s="18"/>
      <c r="Y1153" s="18"/>
      <c r="Z1153" s="18"/>
      <c r="AA1153" s="18"/>
      <c r="AB1153" s="18"/>
      <c r="AC1153" s="18"/>
      <c r="AD1153" s="18"/>
      <c r="AE1153" s="19"/>
      <c r="AF1153" s="20"/>
      <c r="AG1153" s="21"/>
      <c r="AH1153" s="21"/>
      <c r="AI1153" s="19"/>
      <c r="AJ1153" s="29"/>
      <c r="AK1153" s="29"/>
      <c r="AL1153" s="29"/>
    </row>
    <row r="1154" spans="2:38" s="28" customFormat="1" x14ac:dyDescent="0.3">
      <c r="B1154" s="24"/>
      <c r="C1154" s="37"/>
      <c r="D1154" s="37"/>
      <c r="E1154" s="37"/>
      <c r="F1154" s="35"/>
      <c r="G1154" s="35"/>
      <c r="H1154" s="35"/>
      <c r="I1154" s="35"/>
      <c r="J1154" s="35"/>
      <c r="K1154" s="35"/>
      <c r="L1154" s="35"/>
      <c r="M1154" s="31"/>
      <c r="N1154" s="32"/>
      <c r="O1154" s="32"/>
      <c r="P1154" s="32"/>
      <c r="Q1154" s="32"/>
      <c r="R1154" s="32"/>
      <c r="S1154" s="32"/>
      <c r="T1154" s="32"/>
      <c r="U1154" s="29"/>
      <c r="V1154" s="29"/>
      <c r="W1154" s="24"/>
      <c r="X1154" s="18"/>
      <c r="Y1154" s="18"/>
      <c r="Z1154" s="18"/>
      <c r="AA1154" s="18"/>
      <c r="AB1154" s="18"/>
      <c r="AC1154" s="18"/>
      <c r="AD1154" s="18"/>
      <c r="AE1154" s="19"/>
      <c r="AF1154" s="20"/>
      <c r="AG1154" s="21"/>
      <c r="AH1154" s="21"/>
      <c r="AI1154" s="19"/>
      <c r="AJ1154" s="29"/>
      <c r="AK1154" s="29"/>
      <c r="AL1154" s="29"/>
    </row>
    <row r="1155" spans="2:38" s="28" customFormat="1" x14ac:dyDescent="0.3">
      <c r="B1155" s="24"/>
      <c r="C1155" s="37"/>
      <c r="D1155" s="37"/>
      <c r="E1155" s="37"/>
      <c r="F1155" s="35"/>
      <c r="G1155" s="35"/>
      <c r="H1155" s="35"/>
      <c r="I1155" s="35"/>
      <c r="J1155" s="35"/>
      <c r="K1155" s="35"/>
      <c r="L1155" s="35"/>
      <c r="M1155" s="31"/>
      <c r="N1155" s="32"/>
      <c r="O1155" s="32"/>
      <c r="P1155" s="32"/>
      <c r="Q1155" s="32"/>
      <c r="R1155" s="32"/>
      <c r="S1155" s="32"/>
      <c r="T1155" s="32"/>
      <c r="U1155" s="29"/>
      <c r="V1155" s="29"/>
      <c r="W1155" s="24"/>
      <c r="X1155" s="18"/>
      <c r="Y1155" s="18"/>
      <c r="Z1155" s="18"/>
      <c r="AA1155" s="18"/>
      <c r="AB1155" s="18"/>
      <c r="AC1155" s="18"/>
      <c r="AD1155" s="18"/>
      <c r="AE1155" s="19"/>
      <c r="AF1155" s="20"/>
      <c r="AG1155" s="21"/>
      <c r="AH1155" s="21"/>
      <c r="AI1155" s="19"/>
      <c r="AJ1155" s="29"/>
      <c r="AK1155" s="29"/>
      <c r="AL1155" s="29"/>
    </row>
    <row r="1156" spans="2:38" s="28" customFormat="1" x14ac:dyDescent="0.3">
      <c r="B1156" s="24"/>
      <c r="C1156" s="37"/>
      <c r="D1156" s="37"/>
      <c r="E1156" s="37"/>
      <c r="F1156" s="35"/>
      <c r="G1156" s="35"/>
      <c r="H1156" s="35"/>
      <c r="I1156" s="35"/>
      <c r="J1156" s="35"/>
      <c r="K1156" s="35"/>
      <c r="L1156" s="35"/>
      <c r="M1156" s="31"/>
      <c r="N1156" s="32"/>
      <c r="O1156" s="32"/>
      <c r="P1156" s="32"/>
      <c r="Q1156" s="32"/>
      <c r="R1156" s="32"/>
      <c r="S1156" s="32"/>
      <c r="T1156" s="32"/>
      <c r="U1156" s="29"/>
      <c r="V1156" s="29"/>
      <c r="W1156" s="24"/>
      <c r="X1156" s="18"/>
      <c r="Y1156" s="18"/>
      <c r="Z1156" s="18"/>
      <c r="AA1156" s="18"/>
      <c r="AB1156" s="18"/>
      <c r="AC1156" s="18"/>
      <c r="AD1156" s="18"/>
      <c r="AE1156" s="19"/>
      <c r="AF1156" s="20"/>
      <c r="AG1156" s="21"/>
      <c r="AH1156" s="21"/>
      <c r="AI1156" s="19"/>
      <c r="AJ1156" s="29"/>
      <c r="AK1156" s="29"/>
      <c r="AL1156" s="29"/>
    </row>
    <row r="1157" spans="2:38" s="28" customFormat="1" x14ac:dyDescent="0.3">
      <c r="B1157" s="24"/>
      <c r="C1157" s="37"/>
      <c r="D1157" s="37"/>
      <c r="E1157" s="37"/>
      <c r="F1157" s="35"/>
      <c r="G1157" s="35"/>
      <c r="H1157" s="35"/>
      <c r="I1157" s="35"/>
      <c r="J1157" s="35"/>
      <c r="K1157" s="35"/>
      <c r="L1157" s="35"/>
      <c r="M1157" s="31"/>
      <c r="N1157" s="32"/>
      <c r="O1157" s="32"/>
      <c r="P1157" s="32"/>
      <c r="Q1157" s="32"/>
      <c r="R1157" s="32"/>
      <c r="S1157" s="32"/>
      <c r="T1157" s="32"/>
      <c r="U1157" s="29"/>
      <c r="V1157" s="29"/>
      <c r="W1157" s="24"/>
      <c r="X1157" s="18"/>
      <c r="Y1157" s="18"/>
      <c r="Z1157" s="18"/>
      <c r="AA1157" s="18"/>
      <c r="AB1157" s="18"/>
      <c r="AC1157" s="18"/>
      <c r="AD1157" s="18"/>
      <c r="AE1157" s="19"/>
      <c r="AF1157" s="20"/>
      <c r="AG1157" s="21"/>
      <c r="AH1157" s="21"/>
      <c r="AI1157" s="19"/>
      <c r="AJ1157" s="29"/>
      <c r="AK1157" s="29"/>
      <c r="AL1157" s="29"/>
    </row>
    <row r="1158" spans="2:38" s="28" customFormat="1" x14ac:dyDescent="0.3">
      <c r="B1158" s="24"/>
      <c r="C1158" s="37"/>
      <c r="D1158" s="37"/>
      <c r="E1158" s="37"/>
      <c r="F1158" s="35"/>
      <c r="G1158" s="35"/>
      <c r="H1158" s="35"/>
      <c r="I1158" s="35"/>
      <c r="J1158" s="35"/>
      <c r="K1158" s="35"/>
      <c r="L1158" s="35"/>
      <c r="M1158" s="31"/>
      <c r="N1158" s="32"/>
      <c r="O1158" s="32"/>
      <c r="P1158" s="32"/>
      <c r="Q1158" s="32"/>
      <c r="R1158" s="32"/>
      <c r="S1158" s="32"/>
      <c r="T1158" s="32"/>
      <c r="U1158" s="29"/>
      <c r="V1158" s="29"/>
      <c r="W1158" s="24"/>
      <c r="X1158" s="18"/>
      <c r="Y1158" s="18"/>
      <c r="Z1158" s="18"/>
      <c r="AA1158" s="18"/>
      <c r="AB1158" s="18"/>
      <c r="AC1158" s="18"/>
      <c r="AD1158" s="18"/>
      <c r="AE1158" s="19"/>
      <c r="AF1158" s="20"/>
      <c r="AG1158" s="21"/>
      <c r="AH1158" s="21"/>
      <c r="AI1158" s="19"/>
      <c r="AJ1158" s="29"/>
      <c r="AK1158" s="29"/>
      <c r="AL1158" s="29"/>
    </row>
    <row r="1159" spans="2:38" s="28" customFormat="1" x14ac:dyDescent="0.3">
      <c r="B1159" s="24"/>
      <c r="C1159" s="37"/>
      <c r="D1159" s="37"/>
      <c r="E1159" s="37"/>
      <c r="F1159" s="35"/>
      <c r="G1159" s="35"/>
      <c r="H1159" s="35"/>
      <c r="I1159" s="35"/>
      <c r="J1159" s="35"/>
      <c r="K1159" s="35"/>
      <c r="L1159" s="35"/>
      <c r="M1159" s="31"/>
      <c r="N1159" s="32"/>
      <c r="O1159" s="32"/>
      <c r="P1159" s="32"/>
      <c r="Q1159" s="32"/>
      <c r="R1159" s="32"/>
      <c r="S1159" s="32"/>
      <c r="T1159" s="32"/>
      <c r="U1159" s="29"/>
      <c r="V1159" s="29"/>
      <c r="W1159" s="24"/>
      <c r="X1159" s="18"/>
      <c r="Y1159" s="18"/>
      <c r="Z1159" s="18"/>
      <c r="AA1159" s="18"/>
      <c r="AB1159" s="18"/>
      <c r="AC1159" s="18"/>
      <c r="AD1159" s="18"/>
      <c r="AE1159" s="19"/>
      <c r="AF1159" s="20"/>
      <c r="AG1159" s="21"/>
      <c r="AH1159" s="21"/>
      <c r="AI1159" s="19"/>
      <c r="AJ1159" s="29"/>
      <c r="AK1159" s="29"/>
      <c r="AL1159" s="29"/>
    </row>
    <row r="1160" spans="2:38" s="28" customFormat="1" x14ac:dyDescent="0.3">
      <c r="B1160" s="24"/>
      <c r="C1160" s="37"/>
      <c r="D1160" s="37"/>
      <c r="E1160" s="37"/>
      <c r="F1160" s="35"/>
      <c r="G1160" s="35"/>
      <c r="H1160" s="35"/>
      <c r="I1160" s="35"/>
      <c r="J1160" s="35"/>
      <c r="K1160" s="35"/>
      <c r="L1160" s="35"/>
      <c r="M1160" s="31"/>
      <c r="N1160" s="32"/>
      <c r="O1160" s="32"/>
      <c r="P1160" s="32"/>
      <c r="Q1160" s="32"/>
      <c r="R1160" s="32"/>
      <c r="S1160" s="32"/>
      <c r="T1160" s="32"/>
      <c r="U1160" s="29"/>
      <c r="V1160" s="29"/>
      <c r="W1160" s="24"/>
      <c r="X1160" s="18"/>
      <c r="Y1160" s="18"/>
      <c r="Z1160" s="18"/>
      <c r="AA1160" s="18"/>
      <c r="AB1160" s="18"/>
      <c r="AC1160" s="18"/>
      <c r="AD1160" s="18"/>
      <c r="AE1160" s="19"/>
      <c r="AF1160" s="20"/>
      <c r="AG1160" s="21"/>
      <c r="AH1160" s="21"/>
      <c r="AI1160" s="19"/>
      <c r="AJ1160" s="29"/>
      <c r="AK1160" s="29"/>
      <c r="AL1160" s="29"/>
    </row>
    <row r="1161" spans="2:38" s="28" customFormat="1" x14ac:dyDescent="0.3">
      <c r="B1161" s="24"/>
      <c r="C1161" s="37"/>
      <c r="D1161" s="37"/>
      <c r="E1161" s="37"/>
      <c r="F1161" s="35"/>
      <c r="G1161" s="35"/>
      <c r="H1161" s="35"/>
      <c r="I1161" s="35"/>
      <c r="J1161" s="35"/>
      <c r="K1161" s="35"/>
      <c r="L1161" s="35"/>
      <c r="M1161" s="31"/>
      <c r="N1161" s="32"/>
      <c r="O1161" s="32"/>
      <c r="P1161" s="32"/>
      <c r="Q1161" s="32"/>
      <c r="R1161" s="32"/>
      <c r="S1161" s="32"/>
      <c r="T1161" s="32"/>
      <c r="U1161" s="29"/>
      <c r="V1161" s="29"/>
      <c r="W1161" s="24"/>
      <c r="X1161" s="18"/>
      <c r="Y1161" s="18"/>
      <c r="Z1161" s="18"/>
      <c r="AA1161" s="18"/>
      <c r="AB1161" s="18"/>
      <c r="AC1161" s="18"/>
      <c r="AD1161" s="18"/>
      <c r="AE1161" s="19"/>
      <c r="AF1161" s="20"/>
      <c r="AG1161" s="21"/>
      <c r="AH1161" s="21"/>
      <c r="AI1161" s="19"/>
      <c r="AJ1161" s="29"/>
      <c r="AK1161" s="29"/>
      <c r="AL1161" s="29"/>
    </row>
    <row r="1162" spans="2:38" s="28" customFormat="1" x14ac:dyDescent="0.3">
      <c r="B1162" s="24"/>
      <c r="C1162" s="37"/>
      <c r="D1162" s="37"/>
      <c r="E1162" s="37"/>
      <c r="F1162" s="35"/>
      <c r="G1162" s="35"/>
      <c r="H1162" s="35"/>
      <c r="I1162" s="35"/>
      <c r="J1162" s="35"/>
      <c r="K1162" s="35"/>
      <c r="L1162" s="35"/>
      <c r="M1162" s="31"/>
      <c r="N1162" s="32"/>
      <c r="O1162" s="32"/>
      <c r="P1162" s="32"/>
      <c r="Q1162" s="32"/>
      <c r="R1162" s="32"/>
      <c r="S1162" s="32"/>
      <c r="T1162" s="32"/>
      <c r="U1162" s="29"/>
      <c r="V1162" s="29"/>
      <c r="W1162" s="24"/>
      <c r="X1162" s="18"/>
      <c r="Y1162" s="18"/>
      <c r="Z1162" s="18"/>
      <c r="AA1162" s="18"/>
      <c r="AB1162" s="18"/>
      <c r="AC1162" s="18"/>
      <c r="AD1162" s="18"/>
      <c r="AE1162" s="19"/>
      <c r="AF1162" s="20"/>
      <c r="AG1162" s="21"/>
      <c r="AH1162" s="21"/>
      <c r="AI1162" s="19"/>
      <c r="AJ1162" s="29"/>
      <c r="AK1162" s="29"/>
      <c r="AL1162" s="29"/>
    </row>
    <row r="1163" spans="2:38" s="28" customFormat="1" x14ac:dyDescent="0.3">
      <c r="B1163" s="24"/>
      <c r="C1163" s="37"/>
      <c r="D1163" s="37"/>
      <c r="E1163" s="37"/>
      <c r="F1163" s="35"/>
      <c r="G1163" s="35"/>
      <c r="H1163" s="35"/>
      <c r="I1163" s="35"/>
      <c r="J1163" s="35"/>
      <c r="K1163" s="35"/>
      <c r="L1163" s="35"/>
      <c r="M1163" s="31"/>
      <c r="N1163" s="32"/>
      <c r="O1163" s="32"/>
      <c r="P1163" s="32"/>
      <c r="Q1163" s="32"/>
      <c r="R1163" s="32"/>
      <c r="S1163" s="32"/>
      <c r="T1163" s="32"/>
      <c r="U1163" s="29"/>
      <c r="V1163" s="29"/>
      <c r="W1163" s="24"/>
      <c r="X1163" s="18"/>
      <c r="Y1163" s="18"/>
      <c r="Z1163" s="18"/>
      <c r="AA1163" s="18"/>
      <c r="AB1163" s="18"/>
      <c r="AC1163" s="18"/>
      <c r="AD1163" s="18"/>
      <c r="AE1163" s="19"/>
      <c r="AF1163" s="20"/>
      <c r="AG1163" s="21"/>
      <c r="AH1163" s="21"/>
      <c r="AI1163" s="19"/>
      <c r="AJ1163" s="29"/>
      <c r="AK1163" s="29"/>
      <c r="AL1163" s="29"/>
    </row>
    <row r="1164" spans="2:38" s="28" customFormat="1" x14ac:dyDescent="0.3">
      <c r="B1164" s="24"/>
      <c r="C1164" s="37"/>
      <c r="D1164" s="37"/>
      <c r="E1164" s="37"/>
      <c r="F1164" s="35"/>
      <c r="G1164" s="35"/>
      <c r="H1164" s="35"/>
      <c r="I1164" s="35"/>
      <c r="J1164" s="35"/>
      <c r="K1164" s="35"/>
      <c r="L1164" s="35"/>
      <c r="M1164" s="31"/>
      <c r="N1164" s="32"/>
      <c r="O1164" s="32"/>
      <c r="P1164" s="32"/>
      <c r="Q1164" s="32"/>
      <c r="R1164" s="32"/>
      <c r="S1164" s="32"/>
      <c r="T1164" s="32"/>
      <c r="U1164" s="29"/>
      <c r="V1164" s="29"/>
      <c r="W1164" s="24"/>
      <c r="X1164" s="18"/>
      <c r="Y1164" s="18"/>
      <c r="Z1164" s="18"/>
      <c r="AA1164" s="18"/>
      <c r="AB1164" s="18"/>
      <c r="AC1164" s="18"/>
      <c r="AD1164" s="18"/>
      <c r="AE1164" s="19"/>
      <c r="AF1164" s="20"/>
      <c r="AG1164" s="21"/>
      <c r="AH1164" s="21"/>
      <c r="AI1164" s="19"/>
      <c r="AJ1164" s="29"/>
      <c r="AK1164" s="29"/>
      <c r="AL1164" s="29"/>
    </row>
    <row r="1165" spans="2:38" s="28" customFormat="1" x14ac:dyDescent="0.3">
      <c r="B1165" s="24"/>
      <c r="C1165" s="37"/>
      <c r="D1165" s="37"/>
      <c r="E1165" s="37"/>
      <c r="F1165" s="35"/>
      <c r="G1165" s="35"/>
      <c r="H1165" s="35"/>
      <c r="I1165" s="35"/>
      <c r="J1165" s="35"/>
      <c r="K1165" s="35"/>
      <c r="L1165" s="35"/>
      <c r="M1165" s="31"/>
      <c r="N1165" s="32"/>
      <c r="O1165" s="32"/>
      <c r="P1165" s="32"/>
      <c r="Q1165" s="32"/>
      <c r="R1165" s="32"/>
      <c r="S1165" s="32"/>
      <c r="T1165" s="32"/>
      <c r="U1165" s="29"/>
      <c r="V1165" s="29"/>
      <c r="W1165" s="24"/>
      <c r="X1165" s="18"/>
      <c r="Y1165" s="18"/>
      <c r="Z1165" s="18"/>
      <c r="AA1165" s="18"/>
      <c r="AB1165" s="18"/>
      <c r="AC1165" s="18"/>
      <c r="AD1165" s="18"/>
      <c r="AE1165" s="19"/>
      <c r="AF1165" s="20"/>
      <c r="AG1165" s="21"/>
      <c r="AH1165" s="21"/>
      <c r="AI1165" s="19"/>
      <c r="AJ1165" s="29"/>
      <c r="AK1165" s="29"/>
      <c r="AL1165" s="29"/>
    </row>
    <row r="1166" spans="2:38" s="28" customFormat="1" x14ac:dyDescent="0.3">
      <c r="B1166" s="24"/>
      <c r="C1166" s="37"/>
      <c r="D1166" s="37"/>
      <c r="E1166" s="37"/>
      <c r="F1166" s="35"/>
      <c r="G1166" s="35"/>
      <c r="H1166" s="35"/>
      <c r="I1166" s="35"/>
      <c r="J1166" s="35"/>
      <c r="K1166" s="35"/>
      <c r="L1166" s="35"/>
      <c r="M1166" s="31"/>
      <c r="N1166" s="32"/>
      <c r="O1166" s="32"/>
      <c r="P1166" s="32"/>
      <c r="Q1166" s="32"/>
      <c r="R1166" s="32"/>
      <c r="S1166" s="32"/>
      <c r="T1166" s="32"/>
      <c r="U1166" s="29"/>
      <c r="V1166" s="29"/>
      <c r="W1166" s="24"/>
      <c r="X1166" s="18"/>
      <c r="Y1166" s="18"/>
      <c r="Z1166" s="18"/>
      <c r="AA1166" s="18"/>
      <c r="AB1166" s="18"/>
      <c r="AC1166" s="18"/>
      <c r="AD1166" s="18"/>
      <c r="AE1166" s="19"/>
      <c r="AF1166" s="20"/>
      <c r="AG1166" s="21"/>
      <c r="AH1166" s="21"/>
      <c r="AI1166" s="19"/>
      <c r="AJ1166" s="29"/>
      <c r="AK1166" s="29"/>
      <c r="AL1166" s="29"/>
    </row>
    <row r="1167" spans="2:38" s="28" customFormat="1" x14ac:dyDescent="0.3">
      <c r="B1167" s="24"/>
      <c r="C1167" s="37"/>
      <c r="D1167" s="37"/>
      <c r="E1167" s="37"/>
      <c r="F1167" s="35"/>
      <c r="G1167" s="35"/>
      <c r="H1167" s="35"/>
      <c r="I1167" s="35"/>
      <c r="J1167" s="35"/>
      <c r="K1167" s="35"/>
      <c r="L1167" s="35"/>
      <c r="M1167" s="31"/>
      <c r="N1167" s="32"/>
      <c r="O1167" s="32"/>
      <c r="P1167" s="32"/>
      <c r="Q1167" s="32"/>
      <c r="R1167" s="32"/>
      <c r="S1167" s="32"/>
      <c r="T1167" s="32"/>
      <c r="U1167" s="29"/>
      <c r="V1167" s="29"/>
      <c r="W1167" s="24"/>
      <c r="X1167" s="18"/>
      <c r="Y1167" s="18"/>
      <c r="Z1167" s="18"/>
      <c r="AA1167" s="18"/>
      <c r="AB1167" s="18"/>
      <c r="AC1167" s="18"/>
      <c r="AD1167" s="18"/>
      <c r="AE1167" s="19"/>
      <c r="AF1167" s="20"/>
      <c r="AG1167" s="21"/>
      <c r="AH1167" s="21"/>
      <c r="AI1167" s="19"/>
      <c r="AJ1167" s="29"/>
      <c r="AK1167" s="29"/>
      <c r="AL1167" s="29"/>
    </row>
    <row r="1168" spans="2:38" s="28" customFormat="1" x14ac:dyDescent="0.3">
      <c r="B1168" s="24"/>
      <c r="C1168" s="37"/>
      <c r="D1168" s="37"/>
      <c r="E1168" s="37"/>
      <c r="F1168" s="35"/>
      <c r="G1168" s="35"/>
      <c r="H1168" s="35"/>
      <c r="I1168" s="35"/>
      <c r="J1168" s="35"/>
      <c r="K1168" s="35"/>
      <c r="L1168" s="35"/>
      <c r="M1168" s="31"/>
      <c r="N1168" s="32"/>
      <c r="O1168" s="32"/>
      <c r="P1168" s="32"/>
      <c r="Q1168" s="32"/>
      <c r="R1168" s="32"/>
      <c r="S1168" s="32"/>
      <c r="T1168" s="32"/>
      <c r="U1168" s="29"/>
      <c r="V1168" s="29"/>
      <c r="W1168" s="24"/>
      <c r="X1168" s="18"/>
      <c r="Y1168" s="18"/>
      <c r="Z1168" s="18"/>
      <c r="AA1168" s="18"/>
      <c r="AB1168" s="18"/>
      <c r="AC1168" s="18"/>
      <c r="AD1168" s="18"/>
      <c r="AE1168" s="19"/>
      <c r="AF1168" s="20"/>
      <c r="AG1168" s="21"/>
      <c r="AH1168" s="21"/>
      <c r="AI1168" s="19"/>
      <c r="AJ1168" s="29"/>
      <c r="AK1168" s="29"/>
      <c r="AL1168" s="29"/>
    </row>
    <row r="1169" spans="2:38" s="28" customFormat="1" x14ac:dyDescent="0.3">
      <c r="B1169" s="24"/>
      <c r="C1169" s="37"/>
      <c r="D1169" s="37"/>
      <c r="E1169" s="37"/>
      <c r="F1169" s="35"/>
      <c r="G1169" s="35"/>
      <c r="H1169" s="35"/>
      <c r="I1169" s="35"/>
      <c r="J1169" s="35"/>
      <c r="K1169" s="35"/>
      <c r="L1169" s="35"/>
      <c r="M1169" s="31"/>
      <c r="N1169" s="32"/>
      <c r="O1169" s="32"/>
      <c r="P1169" s="32"/>
      <c r="Q1169" s="32"/>
      <c r="R1169" s="32"/>
      <c r="S1169" s="32"/>
      <c r="T1169" s="32"/>
      <c r="U1169" s="29"/>
      <c r="V1169" s="29"/>
      <c r="W1169" s="24"/>
      <c r="X1169" s="18"/>
      <c r="Y1169" s="18"/>
      <c r="Z1169" s="18"/>
      <c r="AA1169" s="18"/>
      <c r="AB1169" s="18"/>
      <c r="AC1169" s="18"/>
      <c r="AD1169" s="18"/>
      <c r="AE1169" s="19"/>
      <c r="AF1169" s="20"/>
      <c r="AG1169" s="21"/>
      <c r="AH1169" s="21"/>
      <c r="AI1169" s="19"/>
      <c r="AJ1169" s="29"/>
      <c r="AK1169" s="29"/>
      <c r="AL1169" s="29"/>
    </row>
    <row r="1170" spans="2:38" s="28" customFormat="1" x14ac:dyDescent="0.3">
      <c r="B1170" s="24"/>
      <c r="C1170" s="37"/>
      <c r="D1170" s="37"/>
      <c r="E1170" s="37"/>
      <c r="F1170" s="35"/>
      <c r="G1170" s="35"/>
      <c r="H1170" s="35"/>
      <c r="I1170" s="35"/>
      <c r="J1170" s="35"/>
      <c r="K1170" s="35"/>
      <c r="L1170" s="35"/>
      <c r="M1170" s="31"/>
      <c r="N1170" s="32"/>
      <c r="O1170" s="32"/>
      <c r="P1170" s="32"/>
      <c r="Q1170" s="32"/>
      <c r="R1170" s="32"/>
      <c r="S1170" s="32"/>
      <c r="T1170" s="32"/>
      <c r="U1170" s="29"/>
      <c r="V1170" s="29"/>
      <c r="W1170" s="24"/>
      <c r="X1170" s="18"/>
      <c r="Y1170" s="18"/>
      <c r="Z1170" s="18"/>
      <c r="AA1170" s="18"/>
      <c r="AB1170" s="18"/>
      <c r="AC1170" s="18"/>
      <c r="AD1170" s="18"/>
      <c r="AE1170" s="19"/>
      <c r="AF1170" s="20"/>
      <c r="AG1170" s="21"/>
      <c r="AH1170" s="21"/>
      <c r="AI1170" s="19"/>
      <c r="AJ1170" s="29"/>
      <c r="AK1170" s="29"/>
      <c r="AL1170" s="29"/>
    </row>
    <row r="1171" spans="2:38" s="28" customFormat="1" x14ac:dyDescent="0.3">
      <c r="B1171" s="24"/>
      <c r="C1171" s="37"/>
      <c r="D1171" s="37"/>
      <c r="E1171" s="37"/>
      <c r="F1171" s="35"/>
      <c r="G1171" s="35"/>
      <c r="H1171" s="35"/>
      <c r="I1171" s="35"/>
      <c r="J1171" s="35"/>
      <c r="K1171" s="35"/>
      <c r="L1171" s="35"/>
      <c r="M1171" s="31"/>
      <c r="N1171" s="32"/>
      <c r="O1171" s="32"/>
      <c r="P1171" s="32"/>
      <c r="Q1171" s="32"/>
      <c r="R1171" s="32"/>
      <c r="S1171" s="32"/>
      <c r="T1171" s="32"/>
      <c r="U1171" s="29"/>
      <c r="V1171" s="29"/>
      <c r="W1171" s="24"/>
      <c r="X1171" s="18"/>
      <c r="Y1171" s="18"/>
      <c r="Z1171" s="18"/>
      <c r="AA1171" s="18"/>
      <c r="AB1171" s="18"/>
      <c r="AC1171" s="18"/>
      <c r="AD1171" s="18"/>
      <c r="AE1171" s="19"/>
      <c r="AF1171" s="20"/>
      <c r="AG1171" s="21"/>
      <c r="AH1171" s="21"/>
      <c r="AI1171" s="19"/>
      <c r="AJ1171" s="29"/>
      <c r="AK1171" s="29"/>
      <c r="AL1171" s="29"/>
    </row>
    <row r="1172" spans="2:38" s="28" customFormat="1" x14ac:dyDescent="0.3">
      <c r="B1172" s="24"/>
      <c r="C1172" s="37"/>
      <c r="D1172" s="37"/>
      <c r="E1172" s="37"/>
      <c r="F1172" s="35"/>
      <c r="G1172" s="35"/>
      <c r="H1172" s="35"/>
      <c r="I1172" s="35"/>
      <c r="J1172" s="35"/>
      <c r="K1172" s="35"/>
      <c r="L1172" s="35"/>
      <c r="M1172" s="31"/>
      <c r="N1172" s="32"/>
      <c r="O1172" s="32"/>
      <c r="P1172" s="32"/>
      <c r="Q1172" s="32"/>
      <c r="R1172" s="32"/>
      <c r="S1172" s="32"/>
      <c r="T1172" s="32"/>
      <c r="U1172" s="29"/>
      <c r="V1172" s="29"/>
      <c r="W1172" s="24"/>
      <c r="X1172" s="18"/>
      <c r="Y1172" s="18"/>
      <c r="Z1172" s="18"/>
      <c r="AA1172" s="18"/>
      <c r="AB1172" s="18"/>
      <c r="AC1172" s="18"/>
      <c r="AD1172" s="18"/>
      <c r="AE1172" s="19"/>
      <c r="AF1172" s="20"/>
      <c r="AG1172" s="21"/>
      <c r="AH1172" s="21"/>
      <c r="AI1172" s="19"/>
      <c r="AJ1172" s="29"/>
      <c r="AK1172" s="29"/>
      <c r="AL1172" s="29"/>
    </row>
    <row r="1173" spans="2:38" s="28" customFormat="1" x14ac:dyDescent="0.3">
      <c r="B1173" s="24"/>
      <c r="C1173" s="37"/>
      <c r="D1173" s="37"/>
      <c r="E1173" s="37"/>
      <c r="F1173" s="35"/>
      <c r="G1173" s="35"/>
      <c r="H1173" s="35"/>
      <c r="I1173" s="35"/>
      <c r="J1173" s="35"/>
      <c r="K1173" s="35"/>
      <c r="L1173" s="35"/>
      <c r="M1173" s="31"/>
      <c r="N1173" s="32"/>
      <c r="O1173" s="32"/>
      <c r="P1173" s="32"/>
      <c r="Q1173" s="32"/>
      <c r="R1173" s="32"/>
      <c r="S1173" s="32"/>
      <c r="T1173" s="32"/>
      <c r="U1173" s="29"/>
      <c r="V1173" s="29"/>
      <c r="W1173" s="24"/>
      <c r="X1173" s="18"/>
      <c r="Y1173" s="18"/>
      <c r="Z1173" s="18"/>
      <c r="AA1173" s="18"/>
      <c r="AB1173" s="18"/>
      <c r="AC1173" s="18"/>
      <c r="AD1173" s="18"/>
      <c r="AE1173" s="19"/>
      <c r="AF1173" s="20"/>
      <c r="AG1173" s="21"/>
      <c r="AH1173" s="21"/>
      <c r="AI1173" s="19"/>
      <c r="AJ1173" s="29"/>
      <c r="AK1173" s="29"/>
      <c r="AL1173" s="29"/>
    </row>
    <row r="1174" spans="2:38" s="28" customFormat="1" x14ac:dyDescent="0.3">
      <c r="B1174" s="24"/>
      <c r="C1174" s="37"/>
      <c r="D1174" s="37"/>
      <c r="E1174" s="37"/>
      <c r="F1174" s="35"/>
      <c r="G1174" s="35"/>
      <c r="H1174" s="35"/>
      <c r="I1174" s="35"/>
      <c r="J1174" s="35"/>
      <c r="K1174" s="35"/>
      <c r="L1174" s="35"/>
      <c r="M1174" s="31"/>
      <c r="N1174" s="32"/>
      <c r="O1174" s="32"/>
      <c r="P1174" s="32"/>
      <c r="Q1174" s="32"/>
      <c r="R1174" s="32"/>
      <c r="S1174" s="32"/>
      <c r="T1174" s="32"/>
      <c r="U1174" s="29"/>
      <c r="V1174" s="29"/>
      <c r="W1174" s="24"/>
      <c r="X1174" s="18"/>
      <c r="Y1174" s="18"/>
      <c r="Z1174" s="18"/>
      <c r="AA1174" s="18"/>
      <c r="AB1174" s="18"/>
      <c r="AC1174" s="18"/>
      <c r="AD1174" s="18"/>
      <c r="AE1174" s="19"/>
      <c r="AF1174" s="20"/>
      <c r="AG1174" s="21"/>
      <c r="AH1174" s="21"/>
      <c r="AI1174" s="19"/>
      <c r="AJ1174" s="29"/>
      <c r="AK1174" s="29"/>
      <c r="AL1174" s="29"/>
    </row>
    <row r="1175" spans="2:38" s="28" customFormat="1" x14ac:dyDescent="0.3">
      <c r="B1175" s="24"/>
      <c r="C1175" s="37"/>
      <c r="D1175" s="37"/>
      <c r="E1175" s="37"/>
      <c r="F1175" s="35"/>
      <c r="G1175" s="35"/>
      <c r="H1175" s="35"/>
      <c r="I1175" s="35"/>
      <c r="J1175" s="35"/>
      <c r="K1175" s="35"/>
      <c r="L1175" s="35"/>
      <c r="M1175" s="31"/>
      <c r="N1175" s="32"/>
      <c r="O1175" s="32"/>
      <c r="P1175" s="32"/>
      <c r="Q1175" s="32"/>
      <c r="R1175" s="32"/>
      <c r="S1175" s="32"/>
      <c r="T1175" s="32"/>
      <c r="U1175" s="29"/>
      <c r="V1175" s="29"/>
      <c r="W1175" s="24"/>
      <c r="X1175" s="18"/>
      <c r="Y1175" s="18"/>
      <c r="Z1175" s="18"/>
      <c r="AA1175" s="18"/>
      <c r="AB1175" s="18"/>
      <c r="AC1175" s="18"/>
      <c r="AD1175" s="18"/>
      <c r="AE1175" s="19"/>
      <c r="AF1175" s="20"/>
      <c r="AG1175" s="21"/>
      <c r="AH1175" s="21"/>
      <c r="AI1175" s="19"/>
      <c r="AJ1175" s="29"/>
      <c r="AK1175" s="29"/>
      <c r="AL1175" s="29"/>
    </row>
    <row r="1176" spans="2:38" s="28" customFormat="1" x14ac:dyDescent="0.3">
      <c r="B1176" s="24"/>
      <c r="C1176" s="37"/>
      <c r="D1176" s="37"/>
      <c r="E1176" s="37"/>
      <c r="F1176" s="35"/>
      <c r="G1176" s="35"/>
      <c r="H1176" s="35"/>
      <c r="I1176" s="35"/>
      <c r="J1176" s="35"/>
      <c r="K1176" s="35"/>
      <c r="L1176" s="35"/>
      <c r="M1176" s="31"/>
      <c r="N1176" s="32"/>
      <c r="O1176" s="32"/>
      <c r="P1176" s="32"/>
      <c r="Q1176" s="32"/>
      <c r="R1176" s="32"/>
      <c r="S1176" s="32"/>
      <c r="T1176" s="32"/>
      <c r="U1176" s="29"/>
      <c r="V1176" s="29"/>
      <c r="W1176" s="24"/>
      <c r="X1176" s="18"/>
      <c r="Y1176" s="18"/>
      <c r="Z1176" s="18"/>
      <c r="AA1176" s="18"/>
      <c r="AB1176" s="18"/>
      <c r="AC1176" s="18"/>
      <c r="AD1176" s="18"/>
      <c r="AE1176" s="19"/>
      <c r="AF1176" s="20"/>
      <c r="AG1176" s="21"/>
      <c r="AH1176" s="21"/>
      <c r="AI1176" s="19"/>
      <c r="AJ1176" s="29"/>
      <c r="AK1176" s="29"/>
      <c r="AL1176" s="29"/>
    </row>
    <row r="1177" spans="2:38" s="28" customFormat="1" x14ac:dyDescent="0.3">
      <c r="B1177" s="24"/>
      <c r="C1177" s="37"/>
      <c r="D1177" s="37"/>
      <c r="E1177" s="37"/>
      <c r="F1177" s="35"/>
      <c r="G1177" s="35"/>
      <c r="H1177" s="35"/>
      <c r="I1177" s="35"/>
      <c r="J1177" s="35"/>
      <c r="K1177" s="35"/>
      <c r="L1177" s="35"/>
      <c r="M1177" s="31"/>
      <c r="N1177" s="32"/>
      <c r="O1177" s="32"/>
      <c r="P1177" s="32"/>
      <c r="Q1177" s="32"/>
      <c r="R1177" s="32"/>
      <c r="S1177" s="32"/>
      <c r="T1177" s="32"/>
      <c r="U1177" s="29"/>
      <c r="V1177" s="29"/>
      <c r="W1177" s="24"/>
      <c r="X1177" s="18"/>
      <c r="Y1177" s="18"/>
      <c r="Z1177" s="18"/>
      <c r="AA1177" s="18"/>
      <c r="AB1177" s="18"/>
      <c r="AC1177" s="18"/>
      <c r="AD1177" s="18"/>
      <c r="AE1177" s="19"/>
      <c r="AF1177" s="20"/>
      <c r="AG1177" s="21"/>
      <c r="AH1177" s="21"/>
      <c r="AI1177" s="19"/>
      <c r="AJ1177" s="29"/>
      <c r="AK1177" s="29"/>
      <c r="AL1177" s="29"/>
    </row>
    <row r="1178" spans="2:38" s="28" customFormat="1" x14ac:dyDescent="0.3">
      <c r="B1178" s="24"/>
      <c r="C1178" s="37"/>
      <c r="D1178" s="37"/>
      <c r="E1178" s="37"/>
      <c r="F1178" s="35"/>
      <c r="G1178" s="35"/>
      <c r="H1178" s="35"/>
      <c r="I1178" s="35"/>
      <c r="J1178" s="35"/>
      <c r="K1178" s="35"/>
      <c r="L1178" s="35"/>
      <c r="M1178" s="31"/>
      <c r="N1178" s="32"/>
      <c r="O1178" s="32"/>
      <c r="P1178" s="32"/>
      <c r="Q1178" s="32"/>
      <c r="R1178" s="32"/>
      <c r="S1178" s="32"/>
      <c r="T1178" s="32"/>
      <c r="U1178" s="29"/>
      <c r="V1178" s="29"/>
      <c r="W1178" s="24"/>
      <c r="X1178" s="18"/>
      <c r="Y1178" s="18"/>
      <c r="Z1178" s="18"/>
      <c r="AA1178" s="18"/>
      <c r="AB1178" s="18"/>
      <c r="AC1178" s="18"/>
      <c r="AD1178" s="18"/>
      <c r="AE1178" s="19"/>
      <c r="AF1178" s="20"/>
      <c r="AG1178" s="21"/>
      <c r="AH1178" s="21"/>
      <c r="AI1178" s="19"/>
      <c r="AJ1178" s="29"/>
      <c r="AK1178" s="29"/>
      <c r="AL1178" s="29"/>
    </row>
    <row r="1179" spans="2:38" s="28" customFormat="1" x14ac:dyDescent="0.3">
      <c r="B1179" s="24"/>
      <c r="C1179" s="37"/>
      <c r="D1179" s="37"/>
      <c r="E1179" s="37"/>
      <c r="F1179" s="35"/>
      <c r="G1179" s="35"/>
      <c r="H1179" s="35"/>
      <c r="I1179" s="35"/>
      <c r="J1179" s="35"/>
      <c r="K1179" s="35"/>
      <c r="L1179" s="35"/>
      <c r="M1179" s="31"/>
      <c r="N1179" s="32"/>
      <c r="O1179" s="32"/>
      <c r="P1179" s="32"/>
      <c r="Q1179" s="32"/>
      <c r="R1179" s="32"/>
      <c r="S1179" s="32"/>
      <c r="T1179" s="32"/>
      <c r="U1179" s="29"/>
      <c r="V1179" s="29"/>
      <c r="W1179" s="24"/>
      <c r="X1179" s="18"/>
      <c r="Y1179" s="18"/>
      <c r="Z1179" s="18"/>
      <c r="AA1179" s="18"/>
      <c r="AB1179" s="18"/>
      <c r="AC1179" s="18"/>
      <c r="AD1179" s="18"/>
      <c r="AE1179" s="19"/>
      <c r="AF1179" s="20"/>
      <c r="AG1179" s="21"/>
      <c r="AH1179" s="21"/>
      <c r="AI1179" s="19"/>
      <c r="AJ1179" s="29"/>
      <c r="AK1179" s="29"/>
      <c r="AL1179" s="29"/>
    </row>
    <row r="1180" spans="2:38" s="28" customFormat="1" x14ac:dyDescent="0.3">
      <c r="B1180" s="24"/>
      <c r="C1180" s="37"/>
      <c r="D1180" s="37"/>
      <c r="E1180" s="37"/>
      <c r="F1180" s="35"/>
      <c r="G1180" s="35"/>
      <c r="H1180" s="35"/>
      <c r="I1180" s="35"/>
      <c r="J1180" s="35"/>
      <c r="K1180" s="35"/>
      <c r="L1180" s="35"/>
      <c r="M1180" s="31"/>
      <c r="N1180" s="32"/>
      <c r="O1180" s="32"/>
      <c r="P1180" s="32"/>
      <c r="Q1180" s="32"/>
      <c r="R1180" s="32"/>
      <c r="S1180" s="32"/>
      <c r="T1180" s="32"/>
      <c r="U1180" s="29"/>
      <c r="V1180" s="29"/>
      <c r="W1180" s="24"/>
      <c r="X1180" s="18"/>
      <c r="Y1180" s="18"/>
      <c r="Z1180" s="18"/>
      <c r="AA1180" s="18"/>
      <c r="AB1180" s="18"/>
      <c r="AC1180" s="18"/>
      <c r="AD1180" s="18"/>
      <c r="AE1180" s="19"/>
      <c r="AF1180" s="20"/>
      <c r="AG1180" s="21"/>
      <c r="AH1180" s="21"/>
      <c r="AI1180" s="19"/>
      <c r="AJ1180" s="29"/>
      <c r="AK1180" s="29"/>
      <c r="AL1180" s="29"/>
    </row>
    <row r="1181" spans="2:38" s="28" customFormat="1" x14ac:dyDescent="0.3">
      <c r="B1181" s="24"/>
      <c r="C1181" s="37"/>
      <c r="D1181" s="37"/>
      <c r="E1181" s="37"/>
      <c r="F1181" s="35"/>
      <c r="G1181" s="35"/>
      <c r="H1181" s="35"/>
      <c r="I1181" s="35"/>
      <c r="J1181" s="35"/>
      <c r="K1181" s="35"/>
      <c r="L1181" s="35"/>
      <c r="M1181" s="31"/>
      <c r="N1181" s="32"/>
      <c r="O1181" s="32"/>
      <c r="P1181" s="32"/>
      <c r="Q1181" s="32"/>
      <c r="R1181" s="32"/>
      <c r="S1181" s="32"/>
      <c r="T1181" s="32"/>
      <c r="U1181" s="29"/>
      <c r="V1181" s="29"/>
      <c r="W1181" s="24"/>
      <c r="X1181" s="18"/>
      <c r="Y1181" s="18"/>
      <c r="Z1181" s="18"/>
      <c r="AA1181" s="18"/>
      <c r="AB1181" s="18"/>
      <c r="AC1181" s="18"/>
      <c r="AD1181" s="18"/>
      <c r="AE1181" s="19"/>
      <c r="AF1181" s="20"/>
      <c r="AG1181" s="21"/>
      <c r="AH1181" s="21"/>
      <c r="AI1181" s="19"/>
      <c r="AJ1181" s="29"/>
      <c r="AK1181" s="29"/>
      <c r="AL1181" s="29"/>
    </row>
    <row r="1182" spans="2:38" s="28" customFormat="1" x14ac:dyDescent="0.3">
      <c r="B1182" s="24"/>
      <c r="C1182" s="37"/>
      <c r="D1182" s="37"/>
      <c r="E1182" s="37"/>
      <c r="F1182" s="35"/>
      <c r="G1182" s="35"/>
      <c r="H1182" s="35"/>
      <c r="I1182" s="35"/>
      <c r="J1182" s="35"/>
      <c r="K1182" s="35"/>
      <c r="L1182" s="35"/>
      <c r="M1182" s="31"/>
      <c r="N1182" s="32"/>
      <c r="O1182" s="32"/>
      <c r="P1182" s="32"/>
      <c r="Q1182" s="32"/>
      <c r="R1182" s="32"/>
      <c r="S1182" s="32"/>
      <c r="T1182" s="32"/>
      <c r="U1182" s="29"/>
      <c r="V1182" s="29"/>
      <c r="W1182" s="24"/>
      <c r="X1182" s="18"/>
      <c r="Y1182" s="18"/>
      <c r="Z1182" s="18"/>
      <c r="AA1182" s="18"/>
      <c r="AB1182" s="18"/>
      <c r="AC1182" s="18"/>
      <c r="AD1182" s="18"/>
      <c r="AE1182" s="19"/>
      <c r="AF1182" s="20"/>
      <c r="AG1182" s="21"/>
      <c r="AH1182" s="21"/>
      <c r="AI1182" s="19"/>
      <c r="AJ1182" s="29"/>
      <c r="AK1182" s="29"/>
      <c r="AL1182" s="29"/>
    </row>
    <row r="1183" spans="2:38" s="28" customFormat="1" x14ac:dyDescent="0.3">
      <c r="B1183" s="24"/>
      <c r="C1183" s="37"/>
      <c r="D1183" s="37"/>
      <c r="E1183" s="37"/>
      <c r="F1183" s="35"/>
      <c r="G1183" s="35"/>
      <c r="H1183" s="35"/>
      <c r="I1183" s="35"/>
      <c r="J1183" s="35"/>
      <c r="K1183" s="35"/>
      <c r="L1183" s="35"/>
      <c r="M1183" s="31"/>
      <c r="N1183" s="32"/>
      <c r="O1183" s="32"/>
      <c r="P1183" s="32"/>
      <c r="Q1183" s="32"/>
      <c r="R1183" s="32"/>
      <c r="S1183" s="32"/>
      <c r="T1183" s="32"/>
      <c r="U1183" s="29"/>
      <c r="V1183" s="29"/>
      <c r="W1183" s="24"/>
      <c r="X1183" s="18"/>
      <c r="Y1183" s="18"/>
      <c r="Z1183" s="18"/>
      <c r="AA1183" s="18"/>
      <c r="AB1183" s="18"/>
      <c r="AC1183" s="18"/>
      <c r="AD1183" s="18"/>
      <c r="AE1183" s="19"/>
      <c r="AF1183" s="20"/>
      <c r="AG1183" s="21"/>
      <c r="AH1183" s="21"/>
      <c r="AI1183" s="19"/>
      <c r="AJ1183" s="29"/>
      <c r="AK1183" s="29"/>
      <c r="AL1183" s="29"/>
    </row>
    <row r="1184" spans="2:38" s="28" customFormat="1" x14ac:dyDescent="0.3">
      <c r="B1184" s="24"/>
      <c r="C1184" s="37"/>
      <c r="D1184" s="37"/>
      <c r="E1184" s="37"/>
      <c r="F1184" s="35"/>
      <c r="G1184" s="35"/>
      <c r="H1184" s="35"/>
      <c r="I1184" s="35"/>
      <c r="J1184" s="35"/>
      <c r="K1184" s="35"/>
      <c r="L1184" s="35"/>
      <c r="M1184" s="31"/>
      <c r="N1184" s="32"/>
      <c r="O1184" s="32"/>
      <c r="P1184" s="32"/>
      <c r="Q1184" s="32"/>
      <c r="R1184" s="32"/>
      <c r="S1184" s="32"/>
      <c r="T1184" s="32"/>
      <c r="U1184" s="29"/>
      <c r="V1184" s="29"/>
      <c r="W1184" s="24"/>
      <c r="X1184" s="18"/>
      <c r="Y1184" s="18"/>
      <c r="Z1184" s="18"/>
      <c r="AA1184" s="18"/>
      <c r="AB1184" s="18"/>
      <c r="AC1184" s="18"/>
      <c r="AD1184" s="18"/>
      <c r="AE1184" s="19"/>
      <c r="AF1184" s="20"/>
      <c r="AG1184" s="21"/>
      <c r="AH1184" s="21"/>
      <c r="AI1184" s="19"/>
      <c r="AJ1184" s="29"/>
      <c r="AK1184" s="29"/>
      <c r="AL1184" s="29"/>
    </row>
    <row r="1185" spans="2:38" s="28" customFormat="1" x14ac:dyDescent="0.3">
      <c r="B1185" s="24"/>
      <c r="C1185" s="37"/>
      <c r="D1185" s="37"/>
      <c r="E1185" s="37"/>
      <c r="F1185" s="35"/>
      <c r="G1185" s="35"/>
      <c r="H1185" s="35"/>
      <c r="I1185" s="35"/>
      <c r="J1185" s="35"/>
      <c r="K1185" s="35"/>
      <c r="L1185" s="35"/>
      <c r="M1185" s="31"/>
      <c r="N1185" s="32"/>
      <c r="O1185" s="32"/>
      <c r="P1185" s="32"/>
      <c r="Q1185" s="32"/>
      <c r="R1185" s="32"/>
      <c r="S1185" s="32"/>
      <c r="T1185" s="32"/>
      <c r="U1185" s="29"/>
      <c r="V1185" s="29"/>
      <c r="W1185" s="24"/>
      <c r="X1185" s="18"/>
      <c r="Y1185" s="18"/>
      <c r="Z1185" s="18"/>
      <c r="AA1185" s="18"/>
      <c r="AB1185" s="18"/>
      <c r="AC1185" s="18"/>
      <c r="AD1185" s="18"/>
      <c r="AE1185" s="19"/>
      <c r="AF1185" s="20"/>
      <c r="AG1185" s="21"/>
      <c r="AH1185" s="21"/>
      <c r="AI1185" s="19"/>
      <c r="AJ1185" s="29"/>
      <c r="AK1185" s="29"/>
      <c r="AL1185" s="29"/>
    </row>
    <row r="1186" spans="2:38" s="28" customFormat="1" x14ac:dyDescent="0.3">
      <c r="B1186" s="24"/>
      <c r="C1186" s="37"/>
      <c r="D1186" s="37"/>
      <c r="E1186" s="37"/>
      <c r="F1186" s="35"/>
      <c r="G1186" s="35"/>
      <c r="H1186" s="35"/>
      <c r="I1186" s="35"/>
      <c r="J1186" s="35"/>
      <c r="K1186" s="35"/>
      <c r="L1186" s="35"/>
      <c r="M1186" s="31"/>
      <c r="N1186" s="32"/>
      <c r="O1186" s="32"/>
      <c r="P1186" s="32"/>
      <c r="Q1186" s="32"/>
      <c r="R1186" s="32"/>
      <c r="S1186" s="32"/>
      <c r="T1186" s="32"/>
      <c r="U1186" s="29"/>
      <c r="V1186" s="29"/>
      <c r="W1186" s="24"/>
      <c r="X1186" s="18"/>
      <c r="Y1186" s="18"/>
      <c r="Z1186" s="18"/>
      <c r="AA1186" s="18"/>
      <c r="AB1186" s="18"/>
      <c r="AC1186" s="18"/>
      <c r="AD1186" s="18"/>
      <c r="AE1186" s="19"/>
      <c r="AF1186" s="20"/>
      <c r="AG1186" s="21"/>
      <c r="AH1186" s="21"/>
      <c r="AI1186" s="19"/>
      <c r="AJ1186" s="29"/>
      <c r="AK1186" s="29"/>
      <c r="AL1186" s="29"/>
    </row>
    <row r="1187" spans="2:38" s="28" customFormat="1" x14ac:dyDescent="0.3">
      <c r="B1187" s="24"/>
      <c r="C1187" s="37"/>
      <c r="D1187" s="37"/>
      <c r="E1187" s="37"/>
      <c r="F1187" s="35"/>
      <c r="G1187" s="35"/>
      <c r="H1187" s="35"/>
      <c r="I1187" s="35"/>
      <c r="J1187" s="35"/>
      <c r="K1187" s="35"/>
      <c r="L1187" s="35"/>
      <c r="M1187" s="31"/>
      <c r="N1187" s="32"/>
      <c r="O1187" s="32"/>
      <c r="P1187" s="32"/>
      <c r="Q1187" s="32"/>
      <c r="R1187" s="32"/>
      <c r="S1187" s="32"/>
      <c r="T1187" s="32"/>
      <c r="U1187" s="29"/>
      <c r="V1187" s="29"/>
      <c r="W1187" s="24"/>
      <c r="X1187" s="18"/>
      <c r="Y1187" s="18"/>
      <c r="Z1187" s="18"/>
      <c r="AA1187" s="18"/>
      <c r="AB1187" s="18"/>
      <c r="AC1187" s="18"/>
      <c r="AD1187" s="18"/>
      <c r="AE1187" s="19"/>
      <c r="AF1187" s="20"/>
      <c r="AG1187" s="21"/>
      <c r="AH1187" s="21"/>
      <c r="AI1187" s="19"/>
      <c r="AJ1187" s="29"/>
      <c r="AK1187" s="29"/>
      <c r="AL1187" s="29"/>
    </row>
    <row r="1188" spans="2:38" s="28" customFormat="1" x14ac:dyDescent="0.3">
      <c r="B1188" s="24"/>
      <c r="C1188" s="37"/>
      <c r="D1188" s="37"/>
      <c r="E1188" s="37"/>
      <c r="F1188" s="35"/>
      <c r="G1188" s="35"/>
      <c r="H1188" s="35"/>
      <c r="I1188" s="35"/>
      <c r="J1188" s="35"/>
      <c r="K1188" s="35"/>
      <c r="L1188" s="35"/>
      <c r="M1188" s="31"/>
      <c r="N1188" s="32"/>
      <c r="O1188" s="32"/>
      <c r="P1188" s="32"/>
      <c r="Q1188" s="32"/>
      <c r="R1188" s="32"/>
      <c r="S1188" s="32"/>
      <c r="T1188" s="32"/>
      <c r="U1188" s="29"/>
      <c r="V1188" s="29"/>
      <c r="W1188" s="24"/>
      <c r="X1188" s="18"/>
      <c r="Y1188" s="18"/>
      <c r="Z1188" s="18"/>
      <c r="AA1188" s="18"/>
      <c r="AB1188" s="18"/>
      <c r="AC1188" s="18"/>
      <c r="AD1188" s="18"/>
      <c r="AE1188" s="19"/>
      <c r="AF1188" s="20"/>
      <c r="AG1188" s="21"/>
      <c r="AH1188" s="21"/>
      <c r="AI1188" s="19"/>
      <c r="AJ1188" s="29"/>
      <c r="AK1188" s="29"/>
      <c r="AL1188" s="29"/>
    </row>
    <row r="1189" spans="2:38" s="28" customFormat="1" x14ac:dyDescent="0.3">
      <c r="B1189" s="24"/>
      <c r="C1189" s="37"/>
      <c r="D1189" s="37"/>
      <c r="E1189" s="37"/>
      <c r="F1189" s="35"/>
      <c r="G1189" s="35"/>
      <c r="H1189" s="35"/>
      <c r="I1189" s="35"/>
      <c r="J1189" s="35"/>
      <c r="K1189" s="35"/>
      <c r="L1189" s="35"/>
      <c r="M1189" s="31"/>
      <c r="N1189" s="32"/>
      <c r="O1189" s="32"/>
      <c r="P1189" s="32"/>
      <c r="Q1189" s="32"/>
      <c r="R1189" s="32"/>
      <c r="S1189" s="32"/>
      <c r="T1189" s="32"/>
      <c r="U1189" s="29"/>
      <c r="V1189" s="29"/>
      <c r="W1189" s="24"/>
      <c r="X1189" s="18"/>
      <c r="Y1189" s="18"/>
      <c r="Z1189" s="18"/>
      <c r="AA1189" s="18"/>
      <c r="AB1189" s="18"/>
      <c r="AC1189" s="18"/>
      <c r="AD1189" s="18"/>
      <c r="AE1189" s="19"/>
      <c r="AF1189" s="20"/>
      <c r="AG1189" s="21"/>
      <c r="AH1189" s="21"/>
      <c r="AI1189" s="19"/>
      <c r="AJ1189" s="29"/>
      <c r="AK1189" s="29"/>
      <c r="AL1189" s="29"/>
    </row>
    <row r="1190" spans="2:38" s="28" customFormat="1" x14ac:dyDescent="0.3">
      <c r="B1190" s="24"/>
      <c r="C1190" s="37"/>
      <c r="D1190" s="37"/>
      <c r="E1190" s="37"/>
      <c r="F1190" s="35"/>
      <c r="G1190" s="35"/>
      <c r="H1190" s="35"/>
      <c r="I1190" s="35"/>
      <c r="J1190" s="35"/>
      <c r="K1190" s="35"/>
      <c r="L1190" s="35"/>
      <c r="M1190" s="31"/>
      <c r="N1190" s="32"/>
      <c r="O1190" s="32"/>
      <c r="P1190" s="32"/>
      <c r="Q1190" s="32"/>
      <c r="R1190" s="32"/>
      <c r="S1190" s="32"/>
      <c r="T1190" s="32"/>
      <c r="U1190" s="29"/>
      <c r="V1190" s="29"/>
      <c r="W1190" s="24"/>
      <c r="X1190" s="18"/>
      <c r="Y1190" s="18"/>
      <c r="Z1190" s="18"/>
      <c r="AA1190" s="18"/>
      <c r="AB1190" s="18"/>
      <c r="AC1190" s="18"/>
      <c r="AD1190" s="18"/>
      <c r="AE1190" s="19"/>
      <c r="AF1190" s="20"/>
      <c r="AG1190" s="21"/>
      <c r="AH1190" s="21"/>
      <c r="AI1190" s="19"/>
      <c r="AJ1190" s="29"/>
      <c r="AK1190" s="29"/>
      <c r="AL1190" s="29"/>
    </row>
    <row r="1191" spans="2:38" s="28" customFormat="1" x14ac:dyDescent="0.3">
      <c r="B1191" s="24"/>
      <c r="C1191" s="37"/>
      <c r="D1191" s="37"/>
      <c r="E1191" s="37"/>
      <c r="F1191" s="35"/>
      <c r="G1191" s="35"/>
      <c r="H1191" s="35"/>
      <c r="I1191" s="35"/>
      <c r="J1191" s="35"/>
      <c r="K1191" s="35"/>
      <c r="L1191" s="35"/>
      <c r="M1191" s="31"/>
      <c r="N1191" s="32"/>
      <c r="O1191" s="32"/>
      <c r="P1191" s="32"/>
      <c r="Q1191" s="32"/>
      <c r="R1191" s="32"/>
      <c r="S1191" s="32"/>
      <c r="T1191" s="32"/>
      <c r="U1191" s="29"/>
      <c r="V1191" s="29"/>
      <c r="W1191" s="24"/>
      <c r="X1191" s="18"/>
      <c r="Y1191" s="18"/>
      <c r="Z1191" s="18"/>
      <c r="AA1191" s="18"/>
      <c r="AB1191" s="18"/>
      <c r="AC1191" s="18"/>
      <c r="AD1191" s="18"/>
      <c r="AE1191" s="19"/>
      <c r="AF1191" s="20"/>
      <c r="AG1191" s="21"/>
      <c r="AH1191" s="21"/>
      <c r="AI1191" s="19"/>
      <c r="AJ1191" s="29"/>
      <c r="AK1191" s="29"/>
      <c r="AL1191" s="29"/>
    </row>
    <row r="1192" spans="2:38" s="28" customFormat="1" x14ac:dyDescent="0.3">
      <c r="B1192" s="24"/>
      <c r="C1192" s="37"/>
      <c r="D1192" s="37"/>
      <c r="E1192" s="37"/>
      <c r="F1192" s="35"/>
      <c r="G1192" s="35"/>
      <c r="H1192" s="35"/>
      <c r="I1192" s="35"/>
      <c r="J1192" s="35"/>
      <c r="K1192" s="35"/>
      <c r="L1192" s="35"/>
      <c r="M1192" s="31"/>
      <c r="N1192" s="32"/>
      <c r="O1192" s="32"/>
      <c r="P1192" s="32"/>
      <c r="Q1192" s="32"/>
      <c r="R1192" s="32"/>
      <c r="S1192" s="32"/>
      <c r="T1192" s="32"/>
      <c r="U1192" s="29"/>
      <c r="V1192" s="29"/>
      <c r="W1192" s="24"/>
      <c r="X1192" s="18"/>
      <c r="Y1192" s="18"/>
      <c r="Z1192" s="18"/>
      <c r="AA1192" s="18"/>
      <c r="AB1192" s="18"/>
      <c r="AC1192" s="18"/>
      <c r="AD1192" s="18"/>
      <c r="AE1192" s="19"/>
      <c r="AF1192" s="20"/>
      <c r="AG1192" s="21"/>
      <c r="AH1192" s="21"/>
      <c r="AI1192" s="19"/>
      <c r="AJ1192" s="29"/>
      <c r="AK1192" s="29"/>
      <c r="AL1192" s="29"/>
    </row>
    <row r="1193" spans="2:38" s="28" customFormat="1" x14ac:dyDescent="0.3">
      <c r="B1193" s="24"/>
      <c r="C1193" s="37"/>
      <c r="D1193" s="37"/>
      <c r="E1193" s="37"/>
      <c r="F1193" s="35"/>
      <c r="G1193" s="35"/>
      <c r="H1193" s="35"/>
      <c r="I1193" s="35"/>
      <c r="J1193" s="35"/>
      <c r="K1193" s="35"/>
      <c r="L1193" s="35"/>
      <c r="M1193" s="31"/>
      <c r="N1193" s="32"/>
      <c r="O1193" s="32"/>
      <c r="P1193" s="32"/>
      <c r="Q1193" s="32"/>
      <c r="R1193" s="32"/>
      <c r="S1193" s="32"/>
      <c r="T1193" s="32"/>
      <c r="U1193" s="29"/>
      <c r="V1193" s="29"/>
      <c r="W1193" s="24"/>
      <c r="X1193" s="18"/>
      <c r="Y1193" s="18"/>
      <c r="Z1193" s="18"/>
      <c r="AA1193" s="18"/>
      <c r="AB1193" s="18"/>
      <c r="AC1193" s="18"/>
      <c r="AD1193" s="18"/>
      <c r="AE1193" s="19"/>
      <c r="AF1193" s="20"/>
      <c r="AG1193" s="21"/>
      <c r="AH1193" s="21"/>
      <c r="AI1193" s="19"/>
      <c r="AJ1193" s="29"/>
      <c r="AK1193" s="29"/>
      <c r="AL1193" s="29"/>
    </row>
    <row r="1194" spans="2:38" s="28" customFormat="1" x14ac:dyDescent="0.3">
      <c r="B1194" s="24"/>
      <c r="C1194" s="37"/>
      <c r="D1194" s="37"/>
      <c r="E1194" s="37"/>
      <c r="F1194" s="35"/>
      <c r="G1194" s="35"/>
      <c r="H1194" s="35"/>
      <c r="I1194" s="35"/>
      <c r="J1194" s="35"/>
      <c r="K1194" s="35"/>
      <c r="L1194" s="35"/>
      <c r="M1194" s="31"/>
      <c r="N1194" s="32"/>
      <c r="O1194" s="32"/>
      <c r="P1194" s="32"/>
      <c r="Q1194" s="32"/>
      <c r="R1194" s="32"/>
      <c r="S1194" s="32"/>
      <c r="T1194" s="32"/>
      <c r="U1194" s="29"/>
      <c r="V1194" s="29"/>
      <c r="W1194" s="24"/>
      <c r="X1194" s="18"/>
      <c r="Y1194" s="18"/>
      <c r="Z1194" s="18"/>
      <c r="AA1194" s="18"/>
      <c r="AB1194" s="18"/>
      <c r="AC1194" s="18"/>
      <c r="AD1194" s="18"/>
      <c r="AE1194" s="19"/>
      <c r="AF1194" s="20"/>
      <c r="AG1194" s="21"/>
      <c r="AH1194" s="21"/>
      <c r="AI1194" s="19"/>
      <c r="AJ1194" s="29"/>
      <c r="AK1194" s="29"/>
      <c r="AL1194" s="29"/>
    </row>
    <row r="1195" spans="2:38" s="28" customFormat="1" x14ac:dyDescent="0.3">
      <c r="B1195" s="24"/>
      <c r="C1195" s="37"/>
      <c r="D1195" s="37"/>
      <c r="E1195" s="37"/>
      <c r="F1195" s="35"/>
      <c r="G1195" s="35"/>
      <c r="H1195" s="35"/>
      <c r="I1195" s="35"/>
      <c r="J1195" s="35"/>
      <c r="K1195" s="35"/>
      <c r="L1195" s="35"/>
      <c r="M1195" s="31"/>
      <c r="N1195" s="32"/>
      <c r="O1195" s="32"/>
      <c r="P1195" s="32"/>
      <c r="Q1195" s="32"/>
      <c r="R1195" s="32"/>
      <c r="S1195" s="32"/>
      <c r="T1195" s="32"/>
      <c r="U1195" s="29"/>
      <c r="V1195" s="29"/>
      <c r="W1195" s="24"/>
      <c r="X1195" s="18"/>
      <c r="Y1195" s="18"/>
      <c r="Z1195" s="18"/>
      <c r="AA1195" s="18"/>
      <c r="AB1195" s="18"/>
      <c r="AC1195" s="18"/>
      <c r="AD1195" s="18"/>
      <c r="AE1195" s="19"/>
      <c r="AF1195" s="20"/>
      <c r="AG1195" s="21"/>
      <c r="AH1195" s="21"/>
      <c r="AI1195" s="19"/>
      <c r="AJ1195" s="29"/>
      <c r="AK1195" s="29"/>
      <c r="AL1195" s="29"/>
    </row>
    <row r="1196" spans="2:38" s="28" customFormat="1" x14ac:dyDescent="0.3">
      <c r="B1196" s="24"/>
      <c r="C1196" s="37"/>
      <c r="D1196" s="37"/>
      <c r="E1196" s="37"/>
      <c r="F1196" s="35"/>
      <c r="G1196" s="35"/>
      <c r="H1196" s="35"/>
      <c r="I1196" s="35"/>
      <c r="J1196" s="35"/>
      <c r="K1196" s="35"/>
      <c r="L1196" s="35"/>
      <c r="M1196" s="31"/>
      <c r="N1196" s="32"/>
      <c r="O1196" s="32"/>
      <c r="P1196" s="32"/>
      <c r="Q1196" s="32"/>
      <c r="R1196" s="32"/>
      <c r="S1196" s="32"/>
      <c r="T1196" s="32"/>
      <c r="U1196" s="29"/>
      <c r="V1196" s="29"/>
      <c r="W1196" s="24"/>
      <c r="X1196" s="18"/>
      <c r="Y1196" s="18"/>
      <c r="Z1196" s="18"/>
      <c r="AA1196" s="18"/>
      <c r="AB1196" s="18"/>
      <c r="AC1196" s="18"/>
      <c r="AD1196" s="18"/>
      <c r="AE1196" s="19"/>
      <c r="AF1196" s="20"/>
      <c r="AG1196" s="21"/>
      <c r="AH1196" s="21"/>
      <c r="AI1196" s="19"/>
      <c r="AJ1196" s="29"/>
      <c r="AK1196" s="29"/>
      <c r="AL1196" s="29"/>
    </row>
    <row r="1197" spans="2:38" s="28" customFormat="1" x14ac:dyDescent="0.3">
      <c r="B1197" s="24"/>
      <c r="C1197" s="37"/>
      <c r="D1197" s="37"/>
      <c r="E1197" s="37"/>
      <c r="F1197" s="35"/>
      <c r="G1197" s="35"/>
      <c r="H1197" s="35"/>
      <c r="I1197" s="35"/>
      <c r="J1197" s="35"/>
      <c r="K1197" s="35"/>
      <c r="L1197" s="35"/>
      <c r="M1197" s="31"/>
      <c r="N1197" s="32"/>
      <c r="O1197" s="32"/>
      <c r="P1197" s="32"/>
      <c r="Q1197" s="32"/>
      <c r="R1197" s="32"/>
      <c r="S1197" s="32"/>
      <c r="T1197" s="32"/>
      <c r="U1197" s="29"/>
      <c r="V1197" s="29"/>
      <c r="W1197" s="24"/>
      <c r="X1197" s="18"/>
      <c r="Y1197" s="18"/>
      <c r="Z1197" s="18"/>
      <c r="AA1197" s="18"/>
      <c r="AB1197" s="18"/>
      <c r="AC1197" s="18"/>
      <c r="AD1197" s="18"/>
      <c r="AE1197" s="19"/>
      <c r="AF1197" s="20"/>
      <c r="AG1197" s="21"/>
      <c r="AH1197" s="21"/>
      <c r="AI1197" s="19"/>
      <c r="AJ1197" s="29"/>
      <c r="AK1197" s="29"/>
      <c r="AL1197" s="29"/>
    </row>
    <row r="1198" spans="2:38" s="28" customFormat="1" x14ac:dyDescent="0.3">
      <c r="B1198" s="24"/>
      <c r="C1198" s="37"/>
      <c r="D1198" s="37"/>
      <c r="E1198" s="37"/>
      <c r="F1198" s="35"/>
      <c r="G1198" s="35"/>
      <c r="H1198" s="35"/>
      <c r="I1198" s="35"/>
      <c r="J1198" s="35"/>
      <c r="K1198" s="35"/>
      <c r="L1198" s="35"/>
      <c r="M1198" s="31"/>
      <c r="N1198" s="32"/>
      <c r="O1198" s="32"/>
      <c r="P1198" s="32"/>
      <c r="Q1198" s="32"/>
      <c r="R1198" s="32"/>
      <c r="S1198" s="32"/>
      <c r="T1198" s="32"/>
      <c r="U1198" s="29"/>
      <c r="V1198" s="29"/>
      <c r="W1198" s="24"/>
      <c r="X1198" s="18"/>
      <c r="Y1198" s="18"/>
      <c r="Z1198" s="18"/>
      <c r="AA1198" s="18"/>
      <c r="AB1198" s="18"/>
      <c r="AC1198" s="18"/>
      <c r="AD1198" s="18"/>
      <c r="AE1198" s="19"/>
      <c r="AF1198" s="20"/>
      <c r="AG1198" s="21"/>
      <c r="AH1198" s="21"/>
      <c r="AI1198" s="19"/>
      <c r="AJ1198" s="29"/>
      <c r="AK1198" s="29"/>
      <c r="AL1198" s="29"/>
    </row>
    <row r="1199" spans="2:38" s="28" customFormat="1" x14ac:dyDescent="0.3">
      <c r="B1199" s="24"/>
      <c r="C1199" s="37"/>
      <c r="D1199" s="37"/>
      <c r="E1199" s="37"/>
      <c r="F1199" s="35"/>
      <c r="G1199" s="35"/>
      <c r="H1199" s="35"/>
      <c r="I1199" s="35"/>
      <c r="J1199" s="35"/>
      <c r="K1199" s="35"/>
      <c r="L1199" s="35"/>
      <c r="M1199" s="31"/>
      <c r="N1199" s="32"/>
      <c r="O1199" s="32"/>
      <c r="P1199" s="32"/>
      <c r="Q1199" s="32"/>
      <c r="R1199" s="32"/>
      <c r="S1199" s="32"/>
      <c r="T1199" s="32"/>
      <c r="U1199" s="29"/>
      <c r="V1199" s="29"/>
      <c r="W1199" s="24"/>
      <c r="X1199" s="18"/>
      <c r="Y1199" s="18"/>
      <c r="Z1199" s="18"/>
      <c r="AA1199" s="18"/>
      <c r="AB1199" s="18"/>
      <c r="AC1199" s="18"/>
      <c r="AD1199" s="18"/>
      <c r="AE1199" s="19"/>
      <c r="AF1199" s="20"/>
      <c r="AG1199" s="21"/>
      <c r="AH1199" s="21"/>
      <c r="AI1199" s="19"/>
      <c r="AJ1199" s="29"/>
      <c r="AK1199" s="29"/>
      <c r="AL1199" s="29"/>
    </row>
    <row r="1200" spans="2:38" s="28" customFormat="1" x14ac:dyDescent="0.3">
      <c r="B1200" s="24"/>
      <c r="C1200" s="37"/>
      <c r="D1200" s="37"/>
      <c r="E1200" s="37"/>
      <c r="F1200" s="35"/>
      <c r="G1200" s="35"/>
      <c r="H1200" s="35"/>
      <c r="I1200" s="35"/>
      <c r="J1200" s="35"/>
      <c r="K1200" s="35"/>
      <c r="L1200" s="35"/>
      <c r="M1200" s="31"/>
      <c r="N1200" s="32"/>
      <c r="O1200" s="32"/>
      <c r="P1200" s="32"/>
      <c r="Q1200" s="32"/>
      <c r="R1200" s="32"/>
      <c r="S1200" s="32"/>
      <c r="T1200" s="32"/>
      <c r="U1200" s="29"/>
      <c r="V1200" s="29"/>
      <c r="W1200" s="24"/>
      <c r="X1200" s="18"/>
      <c r="Y1200" s="18"/>
      <c r="Z1200" s="18"/>
      <c r="AA1200" s="18"/>
      <c r="AB1200" s="18"/>
      <c r="AC1200" s="18"/>
      <c r="AD1200" s="18"/>
      <c r="AE1200" s="19"/>
      <c r="AF1200" s="20"/>
      <c r="AG1200" s="21"/>
      <c r="AH1200" s="21"/>
      <c r="AI1200" s="19"/>
      <c r="AJ1200" s="29"/>
      <c r="AK1200" s="29"/>
      <c r="AL1200" s="29"/>
    </row>
    <row r="1201" spans="2:38" s="28" customFormat="1" x14ac:dyDescent="0.3">
      <c r="B1201" s="24"/>
      <c r="C1201" s="37"/>
      <c r="D1201" s="37"/>
      <c r="E1201" s="37"/>
      <c r="F1201" s="35"/>
      <c r="G1201" s="35"/>
      <c r="H1201" s="35"/>
      <c r="I1201" s="35"/>
      <c r="J1201" s="35"/>
      <c r="K1201" s="35"/>
      <c r="L1201" s="35"/>
      <c r="M1201" s="31"/>
      <c r="N1201" s="32"/>
      <c r="O1201" s="32"/>
      <c r="P1201" s="32"/>
      <c r="Q1201" s="32"/>
      <c r="R1201" s="32"/>
      <c r="S1201" s="32"/>
      <c r="T1201" s="32"/>
      <c r="U1201" s="29"/>
      <c r="V1201" s="29"/>
      <c r="W1201" s="24"/>
      <c r="X1201" s="18"/>
      <c r="Y1201" s="18"/>
      <c r="Z1201" s="18"/>
      <c r="AA1201" s="18"/>
      <c r="AB1201" s="18"/>
      <c r="AC1201" s="18"/>
      <c r="AD1201" s="18"/>
      <c r="AE1201" s="19"/>
      <c r="AF1201" s="20"/>
      <c r="AG1201" s="21"/>
      <c r="AH1201" s="21"/>
      <c r="AI1201" s="19"/>
      <c r="AJ1201" s="29"/>
      <c r="AK1201" s="29"/>
      <c r="AL1201" s="29"/>
    </row>
    <row r="1202" spans="2:38" s="28" customFormat="1" x14ac:dyDescent="0.3">
      <c r="B1202" s="24"/>
      <c r="C1202" s="37"/>
      <c r="D1202" s="37"/>
      <c r="E1202" s="37"/>
      <c r="F1202" s="35"/>
      <c r="G1202" s="35"/>
      <c r="H1202" s="35"/>
      <c r="I1202" s="35"/>
      <c r="J1202" s="35"/>
      <c r="K1202" s="35"/>
      <c r="L1202" s="35"/>
      <c r="M1202" s="31"/>
      <c r="N1202" s="32"/>
      <c r="O1202" s="32"/>
      <c r="P1202" s="32"/>
      <c r="Q1202" s="32"/>
      <c r="R1202" s="32"/>
      <c r="S1202" s="32"/>
      <c r="T1202" s="32"/>
      <c r="U1202" s="29"/>
      <c r="V1202" s="29"/>
      <c r="W1202" s="24"/>
      <c r="X1202" s="18"/>
      <c r="Y1202" s="18"/>
      <c r="Z1202" s="18"/>
      <c r="AA1202" s="18"/>
      <c r="AB1202" s="18"/>
      <c r="AC1202" s="18"/>
      <c r="AD1202" s="18"/>
      <c r="AE1202" s="19"/>
      <c r="AF1202" s="20"/>
      <c r="AG1202" s="21"/>
      <c r="AH1202" s="21"/>
      <c r="AI1202" s="19"/>
      <c r="AJ1202" s="29"/>
      <c r="AK1202" s="29"/>
      <c r="AL1202" s="29"/>
    </row>
    <row r="1203" spans="2:38" s="28" customFormat="1" x14ac:dyDescent="0.3">
      <c r="B1203" s="24"/>
      <c r="C1203" s="37"/>
      <c r="D1203" s="37"/>
      <c r="E1203" s="37"/>
      <c r="F1203" s="35"/>
      <c r="G1203" s="35"/>
      <c r="H1203" s="35"/>
      <c r="I1203" s="35"/>
      <c r="J1203" s="35"/>
      <c r="K1203" s="35"/>
      <c r="L1203" s="35"/>
      <c r="M1203" s="31"/>
      <c r="N1203" s="32"/>
      <c r="O1203" s="32"/>
      <c r="P1203" s="32"/>
      <c r="Q1203" s="32"/>
      <c r="R1203" s="32"/>
      <c r="S1203" s="32"/>
      <c r="T1203" s="32"/>
      <c r="U1203" s="29"/>
      <c r="V1203" s="29"/>
      <c r="W1203" s="24"/>
      <c r="X1203" s="18"/>
      <c r="Y1203" s="18"/>
      <c r="Z1203" s="18"/>
      <c r="AA1203" s="18"/>
      <c r="AB1203" s="18"/>
      <c r="AC1203" s="18"/>
      <c r="AD1203" s="18"/>
      <c r="AE1203" s="19"/>
      <c r="AF1203" s="20"/>
      <c r="AG1203" s="21"/>
      <c r="AH1203" s="21"/>
      <c r="AI1203" s="19"/>
      <c r="AJ1203" s="29"/>
      <c r="AK1203" s="29"/>
      <c r="AL1203" s="29"/>
    </row>
    <row r="1204" spans="2:38" s="28" customFormat="1" x14ac:dyDescent="0.3">
      <c r="B1204" s="24"/>
      <c r="C1204" s="37"/>
      <c r="D1204" s="37"/>
      <c r="E1204" s="37"/>
      <c r="F1204" s="35"/>
      <c r="G1204" s="35"/>
      <c r="H1204" s="35"/>
      <c r="I1204" s="35"/>
      <c r="J1204" s="35"/>
      <c r="K1204" s="35"/>
      <c r="L1204" s="35"/>
      <c r="M1204" s="31"/>
      <c r="N1204" s="32"/>
      <c r="O1204" s="32"/>
      <c r="P1204" s="32"/>
      <c r="Q1204" s="32"/>
      <c r="R1204" s="32"/>
      <c r="S1204" s="32"/>
      <c r="T1204" s="32"/>
      <c r="U1204" s="29"/>
      <c r="V1204" s="29"/>
      <c r="W1204" s="24"/>
      <c r="X1204" s="18"/>
      <c r="Y1204" s="18"/>
      <c r="Z1204" s="18"/>
      <c r="AA1204" s="18"/>
      <c r="AB1204" s="18"/>
      <c r="AC1204" s="18"/>
      <c r="AD1204" s="18"/>
      <c r="AE1204" s="19"/>
      <c r="AF1204" s="20"/>
      <c r="AG1204" s="21"/>
      <c r="AH1204" s="21"/>
      <c r="AI1204" s="19"/>
      <c r="AJ1204" s="29"/>
      <c r="AK1204" s="29"/>
      <c r="AL1204" s="29"/>
    </row>
    <row r="1205" spans="2:38" s="28" customFormat="1" x14ac:dyDescent="0.3">
      <c r="B1205" s="24"/>
      <c r="C1205" s="37"/>
      <c r="D1205" s="37"/>
      <c r="E1205" s="37"/>
      <c r="F1205" s="35"/>
      <c r="G1205" s="35"/>
      <c r="H1205" s="35"/>
      <c r="I1205" s="35"/>
      <c r="J1205" s="35"/>
      <c r="K1205" s="35"/>
      <c r="L1205" s="35"/>
      <c r="M1205" s="31"/>
      <c r="N1205" s="32"/>
      <c r="O1205" s="32"/>
      <c r="P1205" s="32"/>
      <c r="Q1205" s="32"/>
      <c r="R1205" s="32"/>
      <c r="S1205" s="32"/>
      <c r="T1205" s="32"/>
      <c r="U1205" s="29"/>
      <c r="V1205" s="29"/>
      <c r="W1205" s="24"/>
      <c r="X1205" s="18"/>
      <c r="Y1205" s="18"/>
      <c r="Z1205" s="18"/>
      <c r="AA1205" s="18"/>
      <c r="AB1205" s="18"/>
      <c r="AC1205" s="18"/>
      <c r="AD1205" s="18"/>
      <c r="AE1205" s="19"/>
      <c r="AF1205" s="20"/>
      <c r="AG1205" s="21"/>
      <c r="AH1205" s="21"/>
      <c r="AI1205" s="19"/>
      <c r="AJ1205" s="29"/>
      <c r="AK1205" s="29"/>
      <c r="AL1205" s="29"/>
    </row>
    <row r="1206" spans="2:38" s="28" customFormat="1" x14ac:dyDescent="0.3">
      <c r="B1206" s="24"/>
      <c r="C1206" s="37"/>
      <c r="D1206" s="37"/>
      <c r="E1206" s="37"/>
      <c r="F1206" s="35"/>
      <c r="G1206" s="35"/>
      <c r="H1206" s="35"/>
      <c r="I1206" s="35"/>
      <c r="J1206" s="35"/>
      <c r="K1206" s="35"/>
      <c r="L1206" s="35"/>
      <c r="M1206" s="31"/>
      <c r="N1206" s="32"/>
      <c r="O1206" s="32"/>
      <c r="P1206" s="32"/>
      <c r="Q1206" s="32"/>
      <c r="R1206" s="32"/>
      <c r="S1206" s="32"/>
      <c r="T1206" s="32"/>
      <c r="U1206" s="29"/>
      <c r="V1206" s="29"/>
      <c r="W1206" s="24"/>
      <c r="X1206" s="18"/>
      <c r="Y1206" s="18"/>
      <c r="Z1206" s="18"/>
      <c r="AA1206" s="18"/>
      <c r="AB1206" s="18"/>
      <c r="AC1206" s="18"/>
      <c r="AD1206" s="18"/>
      <c r="AE1206" s="19"/>
      <c r="AF1206" s="20"/>
      <c r="AG1206" s="21"/>
      <c r="AH1206" s="21"/>
      <c r="AI1206" s="19"/>
      <c r="AJ1206" s="29"/>
      <c r="AK1206" s="29"/>
      <c r="AL1206" s="29"/>
    </row>
    <row r="1207" spans="2:38" s="28" customFormat="1" x14ac:dyDescent="0.3">
      <c r="B1207" s="24"/>
      <c r="C1207" s="37"/>
      <c r="D1207" s="37"/>
      <c r="E1207" s="37"/>
      <c r="F1207" s="35"/>
      <c r="G1207" s="35"/>
      <c r="H1207" s="35"/>
      <c r="I1207" s="35"/>
      <c r="J1207" s="35"/>
      <c r="K1207" s="35"/>
      <c r="L1207" s="35"/>
      <c r="M1207" s="31"/>
      <c r="N1207" s="32"/>
      <c r="O1207" s="32"/>
      <c r="P1207" s="32"/>
      <c r="Q1207" s="32"/>
      <c r="R1207" s="32"/>
      <c r="S1207" s="32"/>
      <c r="T1207" s="32"/>
      <c r="U1207" s="29"/>
      <c r="V1207" s="29"/>
      <c r="W1207" s="24"/>
      <c r="X1207" s="18"/>
      <c r="Y1207" s="18"/>
      <c r="Z1207" s="18"/>
      <c r="AA1207" s="18"/>
      <c r="AB1207" s="18"/>
      <c r="AC1207" s="18"/>
      <c r="AD1207" s="18"/>
      <c r="AE1207" s="19"/>
      <c r="AF1207" s="20"/>
      <c r="AG1207" s="21"/>
      <c r="AH1207" s="21"/>
      <c r="AI1207" s="19"/>
      <c r="AJ1207" s="29"/>
      <c r="AK1207" s="29"/>
      <c r="AL1207" s="29"/>
    </row>
    <row r="1208" spans="2:38" s="28" customFormat="1" x14ac:dyDescent="0.3">
      <c r="B1208" s="24"/>
      <c r="C1208" s="37"/>
      <c r="D1208" s="37"/>
      <c r="E1208" s="37"/>
      <c r="F1208" s="35"/>
      <c r="G1208" s="35"/>
      <c r="H1208" s="35"/>
      <c r="I1208" s="35"/>
      <c r="J1208" s="35"/>
      <c r="K1208" s="35"/>
      <c r="L1208" s="35"/>
      <c r="M1208" s="31"/>
      <c r="N1208" s="32"/>
      <c r="O1208" s="32"/>
      <c r="P1208" s="32"/>
      <c r="Q1208" s="32"/>
      <c r="R1208" s="32"/>
      <c r="S1208" s="32"/>
      <c r="T1208" s="32"/>
      <c r="U1208" s="29"/>
      <c r="V1208" s="29"/>
      <c r="W1208" s="24"/>
      <c r="X1208" s="18"/>
      <c r="Y1208" s="18"/>
      <c r="Z1208" s="18"/>
      <c r="AA1208" s="18"/>
      <c r="AB1208" s="18"/>
      <c r="AC1208" s="18"/>
      <c r="AD1208" s="18"/>
      <c r="AE1208" s="19"/>
      <c r="AF1208" s="20"/>
      <c r="AG1208" s="21"/>
      <c r="AH1208" s="21"/>
      <c r="AI1208" s="19"/>
      <c r="AJ1208" s="29"/>
      <c r="AK1208" s="29"/>
      <c r="AL1208" s="29"/>
    </row>
    <row r="1209" spans="2:38" s="28" customFormat="1" x14ac:dyDescent="0.3">
      <c r="B1209" s="24"/>
      <c r="C1209" s="37"/>
      <c r="D1209" s="37"/>
      <c r="E1209" s="37"/>
      <c r="F1209" s="35"/>
      <c r="G1209" s="35"/>
      <c r="H1209" s="35"/>
      <c r="I1209" s="35"/>
      <c r="J1209" s="35"/>
      <c r="K1209" s="35"/>
      <c r="L1209" s="35"/>
      <c r="M1209" s="31"/>
      <c r="N1209" s="32"/>
      <c r="O1209" s="32"/>
      <c r="P1209" s="32"/>
      <c r="Q1209" s="32"/>
      <c r="R1209" s="32"/>
      <c r="S1209" s="32"/>
      <c r="T1209" s="32"/>
      <c r="U1209" s="29"/>
      <c r="V1209" s="29"/>
      <c r="W1209" s="24"/>
      <c r="X1209" s="18"/>
      <c r="Y1209" s="18"/>
      <c r="Z1209" s="18"/>
      <c r="AA1209" s="18"/>
      <c r="AB1209" s="18"/>
      <c r="AC1209" s="18"/>
      <c r="AD1209" s="18"/>
      <c r="AE1209" s="19"/>
      <c r="AF1209" s="20"/>
      <c r="AG1209" s="21"/>
      <c r="AH1209" s="21"/>
      <c r="AI1209" s="19"/>
      <c r="AJ1209" s="29"/>
      <c r="AK1209" s="29"/>
      <c r="AL1209" s="29"/>
    </row>
    <row r="1210" spans="2:38" s="28" customFormat="1" x14ac:dyDescent="0.3">
      <c r="B1210" s="24"/>
      <c r="C1210" s="37"/>
      <c r="D1210" s="37"/>
      <c r="E1210" s="37"/>
      <c r="F1210" s="35"/>
      <c r="G1210" s="35"/>
      <c r="H1210" s="35"/>
      <c r="I1210" s="35"/>
      <c r="J1210" s="35"/>
      <c r="K1210" s="35"/>
      <c r="L1210" s="35"/>
      <c r="M1210" s="31"/>
      <c r="N1210" s="32"/>
      <c r="O1210" s="32"/>
      <c r="P1210" s="32"/>
      <c r="Q1210" s="32"/>
      <c r="R1210" s="32"/>
      <c r="S1210" s="32"/>
      <c r="T1210" s="32"/>
      <c r="U1210" s="29"/>
      <c r="V1210" s="29"/>
      <c r="W1210" s="24"/>
      <c r="X1210" s="18"/>
      <c r="Y1210" s="18"/>
      <c r="Z1210" s="18"/>
      <c r="AA1210" s="18"/>
      <c r="AB1210" s="18"/>
      <c r="AC1210" s="18"/>
      <c r="AD1210" s="18"/>
      <c r="AE1210" s="19"/>
      <c r="AF1210" s="20"/>
      <c r="AG1210" s="21"/>
      <c r="AH1210" s="21"/>
      <c r="AI1210" s="19"/>
      <c r="AJ1210" s="29"/>
      <c r="AK1210" s="29"/>
      <c r="AL1210" s="29"/>
    </row>
    <row r="1211" spans="2:38" s="28" customFormat="1" x14ac:dyDescent="0.3">
      <c r="B1211" s="24"/>
      <c r="C1211" s="37"/>
      <c r="D1211" s="37"/>
      <c r="E1211" s="37"/>
      <c r="F1211" s="35"/>
      <c r="G1211" s="35"/>
      <c r="H1211" s="35"/>
      <c r="I1211" s="35"/>
      <c r="J1211" s="35"/>
      <c r="K1211" s="35"/>
      <c r="L1211" s="35"/>
      <c r="M1211" s="31"/>
      <c r="N1211" s="32"/>
      <c r="O1211" s="32"/>
      <c r="P1211" s="32"/>
      <c r="Q1211" s="32"/>
      <c r="R1211" s="32"/>
      <c r="S1211" s="32"/>
      <c r="T1211" s="32"/>
      <c r="U1211" s="29"/>
      <c r="V1211" s="29"/>
      <c r="W1211" s="24"/>
      <c r="X1211" s="18"/>
      <c r="Y1211" s="18"/>
      <c r="Z1211" s="18"/>
      <c r="AA1211" s="18"/>
      <c r="AB1211" s="18"/>
      <c r="AC1211" s="18"/>
      <c r="AD1211" s="18"/>
      <c r="AE1211" s="19"/>
      <c r="AF1211" s="20"/>
      <c r="AG1211" s="21"/>
      <c r="AH1211" s="21"/>
      <c r="AI1211" s="19"/>
      <c r="AJ1211" s="29"/>
      <c r="AK1211" s="29"/>
      <c r="AL1211" s="29"/>
    </row>
    <row r="1212" spans="2:38" s="28" customFormat="1" x14ac:dyDescent="0.3">
      <c r="B1212" s="24"/>
      <c r="C1212" s="37"/>
      <c r="D1212" s="37"/>
      <c r="E1212" s="37"/>
      <c r="F1212" s="35"/>
      <c r="G1212" s="35"/>
      <c r="H1212" s="35"/>
      <c r="I1212" s="35"/>
      <c r="J1212" s="35"/>
      <c r="K1212" s="35"/>
      <c r="L1212" s="35"/>
      <c r="M1212" s="31"/>
      <c r="N1212" s="32"/>
      <c r="O1212" s="32"/>
      <c r="P1212" s="32"/>
      <c r="Q1212" s="32"/>
      <c r="R1212" s="32"/>
      <c r="S1212" s="32"/>
      <c r="T1212" s="32"/>
      <c r="U1212" s="29"/>
      <c r="V1212" s="29"/>
      <c r="W1212" s="24"/>
      <c r="X1212" s="18"/>
      <c r="Y1212" s="18"/>
      <c r="Z1212" s="18"/>
      <c r="AA1212" s="18"/>
      <c r="AB1212" s="18"/>
      <c r="AC1212" s="18"/>
      <c r="AD1212" s="18"/>
      <c r="AE1212" s="19"/>
      <c r="AF1212" s="20"/>
      <c r="AG1212" s="21"/>
      <c r="AH1212" s="21"/>
      <c r="AI1212" s="19"/>
      <c r="AJ1212" s="29"/>
      <c r="AK1212" s="29"/>
      <c r="AL1212" s="29"/>
    </row>
    <row r="1213" spans="2:38" s="28" customFormat="1" x14ac:dyDescent="0.3">
      <c r="B1213" s="24"/>
      <c r="C1213" s="37"/>
      <c r="D1213" s="37"/>
      <c r="E1213" s="37"/>
      <c r="F1213" s="35"/>
      <c r="G1213" s="35"/>
      <c r="H1213" s="35"/>
      <c r="I1213" s="35"/>
      <c r="J1213" s="35"/>
      <c r="K1213" s="35"/>
      <c r="L1213" s="35"/>
      <c r="M1213" s="31"/>
      <c r="N1213" s="32"/>
      <c r="O1213" s="32"/>
      <c r="P1213" s="32"/>
      <c r="Q1213" s="32"/>
      <c r="R1213" s="32"/>
      <c r="S1213" s="32"/>
      <c r="T1213" s="32"/>
      <c r="U1213" s="29"/>
      <c r="V1213" s="29"/>
      <c r="W1213" s="24"/>
      <c r="X1213" s="18"/>
      <c r="Y1213" s="18"/>
      <c r="Z1213" s="18"/>
      <c r="AA1213" s="18"/>
      <c r="AB1213" s="18"/>
      <c r="AC1213" s="18"/>
      <c r="AD1213" s="18"/>
      <c r="AE1213" s="19"/>
      <c r="AF1213" s="20"/>
      <c r="AG1213" s="21"/>
      <c r="AH1213" s="21"/>
      <c r="AI1213" s="19"/>
      <c r="AJ1213" s="29"/>
      <c r="AK1213" s="29"/>
      <c r="AL1213" s="29"/>
    </row>
    <row r="1214" spans="2:38" s="28" customFormat="1" x14ac:dyDescent="0.3">
      <c r="B1214" s="24"/>
      <c r="C1214" s="37"/>
      <c r="D1214" s="37"/>
      <c r="E1214" s="37"/>
      <c r="F1214" s="35"/>
      <c r="G1214" s="35"/>
      <c r="H1214" s="35"/>
      <c r="I1214" s="35"/>
      <c r="J1214" s="35"/>
      <c r="K1214" s="35"/>
      <c r="L1214" s="35"/>
      <c r="M1214" s="31"/>
      <c r="N1214" s="32"/>
      <c r="O1214" s="32"/>
      <c r="P1214" s="32"/>
      <c r="Q1214" s="32"/>
      <c r="R1214" s="32"/>
      <c r="S1214" s="32"/>
      <c r="T1214" s="32"/>
      <c r="U1214" s="29"/>
      <c r="V1214" s="29"/>
      <c r="W1214" s="24"/>
      <c r="X1214" s="18"/>
      <c r="Y1214" s="18"/>
      <c r="Z1214" s="18"/>
      <c r="AA1214" s="18"/>
      <c r="AB1214" s="18"/>
      <c r="AC1214" s="18"/>
      <c r="AD1214" s="18"/>
      <c r="AE1214" s="19"/>
      <c r="AF1214" s="20"/>
      <c r="AG1214" s="21"/>
      <c r="AH1214" s="21"/>
      <c r="AI1214" s="19"/>
      <c r="AJ1214" s="29"/>
      <c r="AK1214" s="29"/>
      <c r="AL1214" s="29"/>
    </row>
    <row r="1215" spans="2:38" s="28" customFormat="1" x14ac:dyDescent="0.3">
      <c r="B1215" s="24"/>
      <c r="C1215" s="37"/>
      <c r="D1215" s="37"/>
      <c r="E1215" s="37"/>
      <c r="F1215" s="35"/>
      <c r="G1215" s="35"/>
      <c r="H1215" s="35"/>
      <c r="I1215" s="35"/>
      <c r="J1215" s="35"/>
      <c r="K1215" s="35"/>
      <c r="L1215" s="35"/>
      <c r="M1215" s="31"/>
      <c r="N1215" s="32"/>
      <c r="O1215" s="32"/>
      <c r="P1215" s="32"/>
      <c r="Q1215" s="32"/>
      <c r="R1215" s="32"/>
      <c r="S1215" s="32"/>
      <c r="T1215" s="32"/>
      <c r="U1215" s="29"/>
      <c r="V1215" s="29"/>
      <c r="W1215" s="24"/>
      <c r="X1215" s="18"/>
      <c r="Y1215" s="18"/>
      <c r="Z1215" s="18"/>
      <c r="AA1215" s="18"/>
      <c r="AB1215" s="18"/>
      <c r="AC1215" s="18"/>
      <c r="AD1215" s="18"/>
      <c r="AE1215" s="19"/>
      <c r="AF1215" s="20"/>
      <c r="AG1215" s="21"/>
      <c r="AH1215" s="21"/>
      <c r="AI1215" s="19"/>
      <c r="AJ1215" s="29"/>
      <c r="AK1215" s="29"/>
      <c r="AL1215" s="29"/>
    </row>
    <row r="1216" spans="2:38" s="28" customFormat="1" x14ac:dyDescent="0.3">
      <c r="B1216" s="24"/>
      <c r="C1216" s="37"/>
      <c r="D1216" s="37"/>
      <c r="E1216" s="37"/>
      <c r="F1216" s="35"/>
      <c r="G1216" s="35"/>
      <c r="H1216" s="35"/>
      <c r="I1216" s="35"/>
      <c r="J1216" s="35"/>
      <c r="K1216" s="35"/>
      <c r="L1216" s="35"/>
      <c r="M1216" s="31"/>
      <c r="N1216" s="32"/>
      <c r="O1216" s="32"/>
      <c r="P1216" s="32"/>
      <c r="Q1216" s="32"/>
      <c r="R1216" s="32"/>
      <c r="S1216" s="32"/>
      <c r="T1216" s="32"/>
      <c r="U1216" s="29"/>
      <c r="V1216" s="29"/>
      <c r="W1216" s="24"/>
      <c r="X1216" s="18"/>
      <c r="Y1216" s="18"/>
      <c r="Z1216" s="18"/>
      <c r="AA1216" s="18"/>
      <c r="AB1216" s="18"/>
      <c r="AC1216" s="18"/>
      <c r="AD1216" s="18"/>
      <c r="AE1216" s="19"/>
      <c r="AF1216" s="20"/>
      <c r="AG1216" s="21"/>
      <c r="AH1216" s="21"/>
      <c r="AI1216" s="19"/>
      <c r="AJ1216" s="29"/>
      <c r="AK1216" s="29"/>
      <c r="AL1216" s="29"/>
    </row>
    <row r="1217" spans="2:38" s="28" customFormat="1" x14ac:dyDescent="0.3">
      <c r="B1217" s="24"/>
      <c r="C1217" s="37"/>
      <c r="D1217" s="37"/>
      <c r="E1217" s="37"/>
      <c r="F1217" s="35"/>
      <c r="G1217" s="35"/>
      <c r="H1217" s="35"/>
      <c r="I1217" s="35"/>
      <c r="J1217" s="35"/>
      <c r="K1217" s="35"/>
      <c r="L1217" s="35"/>
      <c r="M1217" s="31"/>
      <c r="N1217" s="32"/>
      <c r="O1217" s="32"/>
      <c r="P1217" s="32"/>
      <c r="Q1217" s="32"/>
      <c r="R1217" s="32"/>
      <c r="S1217" s="32"/>
      <c r="T1217" s="32"/>
      <c r="U1217" s="29"/>
      <c r="V1217" s="29"/>
      <c r="W1217" s="24"/>
      <c r="X1217" s="18"/>
      <c r="Y1217" s="18"/>
      <c r="Z1217" s="18"/>
      <c r="AA1217" s="18"/>
      <c r="AB1217" s="18"/>
      <c r="AC1217" s="18"/>
      <c r="AD1217" s="18"/>
      <c r="AE1217" s="19"/>
      <c r="AF1217" s="20"/>
      <c r="AG1217" s="21"/>
      <c r="AH1217" s="21"/>
      <c r="AI1217" s="19"/>
      <c r="AJ1217" s="29"/>
      <c r="AK1217" s="29"/>
      <c r="AL1217" s="29"/>
    </row>
    <row r="1218" spans="2:38" s="28" customFormat="1" x14ac:dyDescent="0.3">
      <c r="B1218" s="24"/>
      <c r="C1218" s="37"/>
      <c r="D1218" s="37"/>
      <c r="E1218" s="37"/>
      <c r="F1218" s="35"/>
      <c r="G1218" s="35"/>
      <c r="H1218" s="35"/>
      <c r="I1218" s="35"/>
      <c r="J1218" s="35"/>
      <c r="K1218" s="35"/>
      <c r="L1218" s="35"/>
      <c r="M1218" s="31"/>
      <c r="N1218" s="32"/>
      <c r="O1218" s="32"/>
      <c r="P1218" s="32"/>
      <c r="Q1218" s="32"/>
      <c r="R1218" s="32"/>
      <c r="S1218" s="32"/>
      <c r="T1218" s="32"/>
      <c r="U1218" s="29"/>
      <c r="V1218" s="29"/>
      <c r="W1218" s="24"/>
      <c r="X1218" s="18"/>
      <c r="Y1218" s="18"/>
      <c r="Z1218" s="18"/>
      <c r="AA1218" s="18"/>
      <c r="AB1218" s="18"/>
      <c r="AC1218" s="18"/>
      <c r="AD1218" s="18"/>
      <c r="AE1218" s="19"/>
      <c r="AF1218" s="20"/>
      <c r="AG1218" s="21"/>
      <c r="AH1218" s="21"/>
      <c r="AI1218" s="19"/>
      <c r="AJ1218" s="29"/>
      <c r="AK1218" s="29"/>
      <c r="AL1218" s="29"/>
    </row>
    <row r="1219" spans="2:38" s="28" customFormat="1" x14ac:dyDescent="0.3">
      <c r="B1219" s="24"/>
      <c r="C1219" s="37"/>
      <c r="D1219" s="37"/>
      <c r="E1219" s="37"/>
      <c r="F1219" s="35"/>
      <c r="G1219" s="35"/>
      <c r="H1219" s="35"/>
      <c r="I1219" s="35"/>
      <c r="J1219" s="35"/>
      <c r="K1219" s="35"/>
      <c r="L1219" s="35"/>
      <c r="M1219" s="31"/>
      <c r="N1219" s="32"/>
      <c r="O1219" s="32"/>
      <c r="P1219" s="32"/>
      <c r="Q1219" s="32"/>
      <c r="R1219" s="32"/>
      <c r="S1219" s="32"/>
      <c r="T1219" s="32"/>
      <c r="U1219" s="29"/>
      <c r="V1219" s="29"/>
      <c r="W1219" s="24"/>
      <c r="X1219" s="18"/>
      <c r="Y1219" s="18"/>
      <c r="Z1219" s="18"/>
      <c r="AA1219" s="18"/>
      <c r="AB1219" s="18"/>
      <c r="AC1219" s="18"/>
      <c r="AD1219" s="18"/>
      <c r="AE1219" s="19"/>
      <c r="AF1219" s="20"/>
      <c r="AG1219" s="21"/>
      <c r="AH1219" s="21"/>
      <c r="AI1219" s="19"/>
      <c r="AJ1219" s="29"/>
      <c r="AK1219" s="29"/>
      <c r="AL1219" s="29"/>
    </row>
    <row r="1220" spans="2:38" s="28" customFormat="1" x14ac:dyDescent="0.3">
      <c r="B1220" s="24"/>
      <c r="C1220" s="37"/>
      <c r="D1220" s="37"/>
      <c r="E1220" s="37"/>
      <c r="F1220" s="35"/>
      <c r="G1220" s="35"/>
      <c r="H1220" s="35"/>
      <c r="I1220" s="35"/>
      <c r="J1220" s="35"/>
      <c r="K1220" s="35"/>
      <c r="L1220" s="35"/>
      <c r="M1220" s="31"/>
      <c r="N1220" s="32"/>
      <c r="O1220" s="32"/>
      <c r="P1220" s="32"/>
      <c r="Q1220" s="32"/>
      <c r="R1220" s="32"/>
      <c r="S1220" s="32"/>
      <c r="T1220" s="32"/>
      <c r="U1220" s="29"/>
      <c r="V1220" s="29"/>
      <c r="W1220" s="24"/>
      <c r="X1220" s="18"/>
      <c r="Y1220" s="18"/>
      <c r="Z1220" s="18"/>
      <c r="AA1220" s="18"/>
      <c r="AB1220" s="18"/>
      <c r="AC1220" s="18"/>
      <c r="AD1220" s="18"/>
      <c r="AE1220" s="19"/>
      <c r="AF1220" s="20"/>
      <c r="AG1220" s="21"/>
      <c r="AH1220" s="21"/>
      <c r="AI1220" s="19"/>
      <c r="AJ1220" s="29"/>
      <c r="AK1220" s="29"/>
      <c r="AL1220" s="29"/>
    </row>
    <row r="1221" spans="2:38" s="28" customFormat="1" x14ac:dyDescent="0.3">
      <c r="B1221" s="24"/>
      <c r="C1221" s="37"/>
      <c r="D1221" s="37"/>
      <c r="E1221" s="37"/>
      <c r="F1221" s="35"/>
      <c r="G1221" s="35"/>
      <c r="H1221" s="35"/>
      <c r="I1221" s="35"/>
      <c r="J1221" s="35"/>
      <c r="K1221" s="35"/>
      <c r="L1221" s="35"/>
      <c r="M1221" s="31"/>
      <c r="N1221" s="32"/>
      <c r="O1221" s="32"/>
      <c r="P1221" s="32"/>
      <c r="Q1221" s="32"/>
      <c r="R1221" s="32"/>
      <c r="S1221" s="32"/>
      <c r="T1221" s="32"/>
      <c r="U1221" s="29"/>
      <c r="V1221" s="29"/>
      <c r="W1221" s="24"/>
      <c r="X1221" s="18"/>
      <c r="Y1221" s="18"/>
      <c r="Z1221" s="18"/>
      <c r="AA1221" s="18"/>
      <c r="AB1221" s="18"/>
      <c r="AC1221" s="18"/>
      <c r="AD1221" s="18"/>
      <c r="AE1221" s="19"/>
      <c r="AF1221" s="20"/>
      <c r="AG1221" s="21"/>
      <c r="AH1221" s="21"/>
      <c r="AI1221" s="19"/>
      <c r="AJ1221" s="29"/>
      <c r="AK1221" s="29"/>
      <c r="AL1221" s="29"/>
    </row>
    <row r="1222" spans="2:38" s="28" customFormat="1" x14ac:dyDescent="0.3">
      <c r="B1222" s="24"/>
      <c r="C1222" s="37"/>
      <c r="D1222" s="37"/>
      <c r="E1222" s="37"/>
      <c r="F1222" s="35"/>
      <c r="G1222" s="35"/>
      <c r="H1222" s="35"/>
      <c r="I1222" s="35"/>
      <c r="J1222" s="35"/>
      <c r="K1222" s="35"/>
      <c r="L1222" s="35"/>
      <c r="M1222" s="31"/>
      <c r="N1222" s="32"/>
      <c r="O1222" s="32"/>
      <c r="P1222" s="32"/>
      <c r="Q1222" s="32"/>
      <c r="R1222" s="32"/>
      <c r="S1222" s="32"/>
      <c r="T1222" s="32"/>
      <c r="U1222" s="29"/>
      <c r="V1222" s="29"/>
      <c r="W1222" s="24"/>
      <c r="X1222" s="18"/>
      <c r="Y1222" s="18"/>
      <c r="Z1222" s="18"/>
      <c r="AA1222" s="18"/>
      <c r="AB1222" s="18"/>
      <c r="AC1222" s="18"/>
      <c r="AD1222" s="18"/>
      <c r="AE1222" s="19"/>
      <c r="AF1222" s="20"/>
      <c r="AG1222" s="21"/>
      <c r="AH1222" s="21"/>
      <c r="AI1222" s="19"/>
      <c r="AJ1222" s="29"/>
      <c r="AK1222" s="29"/>
      <c r="AL1222" s="29"/>
    </row>
    <row r="1223" spans="2:38" s="28" customFormat="1" x14ac:dyDescent="0.3">
      <c r="B1223" s="24"/>
      <c r="C1223" s="37"/>
      <c r="D1223" s="37"/>
      <c r="E1223" s="37"/>
      <c r="F1223" s="35"/>
      <c r="G1223" s="35"/>
      <c r="H1223" s="35"/>
      <c r="I1223" s="35"/>
      <c r="J1223" s="35"/>
      <c r="K1223" s="35"/>
      <c r="L1223" s="35"/>
      <c r="M1223" s="31"/>
      <c r="N1223" s="32"/>
      <c r="O1223" s="32"/>
      <c r="P1223" s="32"/>
      <c r="Q1223" s="32"/>
      <c r="R1223" s="32"/>
      <c r="S1223" s="32"/>
      <c r="T1223" s="32"/>
      <c r="U1223" s="29"/>
      <c r="V1223" s="29"/>
      <c r="W1223" s="24"/>
      <c r="X1223" s="18"/>
      <c r="Y1223" s="18"/>
      <c r="Z1223" s="18"/>
      <c r="AA1223" s="18"/>
      <c r="AB1223" s="18"/>
      <c r="AC1223" s="18"/>
      <c r="AD1223" s="18"/>
      <c r="AE1223" s="19"/>
      <c r="AF1223" s="20"/>
      <c r="AG1223" s="21"/>
      <c r="AH1223" s="21"/>
      <c r="AI1223" s="19"/>
      <c r="AJ1223" s="29"/>
      <c r="AK1223" s="29"/>
      <c r="AL1223" s="29"/>
    </row>
    <row r="1224" spans="2:38" s="28" customFormat="1" x14ac:dyDescent="0.3">
      <c r="B1224" s="24"/>
      <c r="C1224" s="37"/>
      <c r="D1224" s="37"/>
      <c r="E1224" s="37"/>
      <c r="F1224" s="35"/>
      <c r="G1224" s="35"/>
      <c r="H1224" s="35"/>
      <c r="I1224" s="35"/>
      <c r="J1224" s="35"/>
      <c r="K1224" s="35"/>
      <c r="L1224" s="35"/>
      <c r="M1224" s="31"/>
      <c r="N1224" s="32"/>
      <c r="O1224" s="32"/>
      <c r="P1224" s="32"/>
      <c r="Q1224" s="32"/>
      <c r="R1224" s="32"/>
      <c r="S1224" s="32"/>
      <c r="T1224" s="32"/>
      <c r="U1224" s="29"/>
      <c r="V1224" s="29"/>
      <c r="W1224" s="24"/>
      <c r="X1224" s="18"/>
      <c r="Y1224" s="18"/>
      <c r="Z1224" s="18"/>
      <c r="AA1224" s="18"/>
      <c r="AB1224" s="18"/>
      <c r="AC1224" s="18"/>
      <c r="AD1224" s="18"/>
      <c r="AE1224" s="19"/>
      <c r="AF1224" s="20"/>
      <c r="AG1224" s="21"/>
      <c r="AH1224" s="21"/>
      <c r="AI1224" s="19"/>
      <c r="AJ1224" s="29"/>
      <c r="AK1224" s="29"/>
      <c r="AL1224" s="29"/>
    </row>
    <row r="1225" spans="2:38" s="28" customFormat="1" x14ac:dyDescent="0.3">
      <c r="B1225" s="24"/>
      <c r="C1225" s="37"/>
      <c r="D1225" s="37"/>
      <c r="E1225" s="37"/>
      <c r="F1225" s="35"/>
      <c r="G1225" s="35"/>
      <c r="H1225" s="35"/>
      <c r="I1225" s="35"/>
      <c r="J1225" s="35"/>
      <c r="K1225" s="35"/>
      <c r="L1225" s="35"/>
      <c r="M1225" s="31"/>
      <c r="N1225" s="32"/>
      <c r="O1225" s="32"/>
      <c r="P1225" s="32"/>
      <c r="Q1225" s="32"/>
      <c r="R1225" s="32"/>
      <c r="S1225" s="32"/>
      <c r="T1225" s="32"/>
      <c r="U1225" s="29"/>
      <c r="V1225" s="29"/>
      <c r="W1225" s="24"/>
      <c r="X1225" s="18"/>
      <c r="Y1225" s="18"/>
      <c r="Z1225" s="18"/>
      <c r="AA1225" s="18"/>
      <c r="AB1225" s="18"/>
      <c r="AC1225" s="18"/>
      <c r="AD1225" s="18"/>
      <c r="AE1225" s="19"/>
      <c r="AF1225" s="20"/>
      <c r="AG1225" s="21"/>
      <c r="AH1225" s="21"/>
      <c r="AI1225" s="19"/>
      <c r="AJ1225" s="29"/>
      <c r="AK1225" s="29"/>
      <c r="AL1225" s="29"/>
    </row>
    <row r="1226" spans="2:38" s="28" customFormat="1" x14ac:dyDescent="0.3">
      <c r="B1226" s="24"/>
      <c r="C1226" s="37"/>
      <c r="D1226" s="37"/>
      <c r="E1226" s="37"/>
      <c r="F1226" s="35"/>
      <c r="G1226" s="35"/>
      <c r="H1226" s="35"/>
      <c r="I1226" s="35"/>
      <c r="J1226" s="35"/>
      <c r="K1226" s="35"/>
      <c r="L1226" s="35"/>
      <c r="M1226" s="31"/>
      <c r="N1226" s="32"/>
      <c r="O1226" s="32"/>
      <c r="P1226" s="32"/>
      <c r="Q1226" s="32"/>
      <c r="R1226" s="32"/>
      <c r="S1226" s="32"/>
      <c r="T1226" s="32"/>
      <c r="U1226" s="29"/>
      <c r="V1226" s="29"/>
      <c r="W1226" s="24"/>
      <c r="X1226" s="18"/>
      <c r="Y1226" s="18"/>
      <c r="Z1226" s="18"/>
      <c r="AA1226" s="18"/>
      <c r="AB1226" s="18"/>
      <c r="AC1226" s="18"/>
      <c r="AD1226" s="18"/>
      <c r="AE1226" s="19"/>
      <c r="AF1226" s="20"/>
      <c r="AG1226" s="21"/>
      <c r="AH1226" s="21"/>
      <c r="AI1226" s="19"/>
      <c r="AJ1226" s="29"/>
      <c r="AK1226" s="29"/>
      <c r="AL1226" s="29"/>
    </row>
    <row r="1227" spans="2:38" s="28" customFormat="1" x14ac:dyDescent="0.3">
      <c r="B1227" s="24"/>
      <c r="C1227" s="37"/>
      <c r="D1227" s="37"/>
      <c r="E1227" s="37"/>
      <c r="F1227" s="35"/>
      <c r="G1227" s="35"/>
      <c r="H1227" s="35"/>
      <c r="I1227" s="35"/>
      <c r="J1227" s="35"/>
      <c r="K1227" s="35"/>
      <c r="L1227" s="35"/>
      <c r="M1227" s="31"/>
      <c r="N1227" s="32"/>
      <c r="O1227" s="32"/>
      <c r="P1227" s="32"/>
      <c r="Q1227" s="32"/>
      <c r="R1227" s="32"/>
      <c r="S1227" s="32"/>
      <c r="T1227" s="32"/>
      <c r="U1227" s="29"/>
      <c r="V1227" s="29"/>
      <c r="W1227" s="24"/>
      <c r="X1227" s="18"/>
      <c r="Y1227" s="18"/>
      <c r="Z1227" s="18"/>
      <c r="AA1227" s="18"/>
      <c r="AB1227" s="18"/>
      <c r="AC1227" s="18"/>
      <c r="AD1227" s="18"/>
      <c r="AE1227" s="19"/>
      <c r="AF1227" s="20"/>
      <c r="AG1227" s="21"/>
      <c r="AH1227" s="21"/>
      <c r="AI1227" s="19"/>
      <c r="AJ1227" s="29"/>
      <c r="AK1227" s="29"/>
      <c r="AL1227" s="29"/>
    </row>
    <row r="1228" spans="2:38" s="28" customFormat="1" x14ac:dyDescent="0.3">
      <c r="B1228" s="24"/>
      <c r="C1228" s="37"/>
      <c r="D1228" s="37"/>
      <c r="E1228" s="37"/>
      <c r="F1228" s="35"/>
      <c r="G1228" s="35"/>
      <c r="H1228" s="35"/>
      <c r="I1228" s="35"/>
      <c r="J1228" s="35"/>
      <c r="K1228" s="35"/>
      <c r="L1228" s="35"/>
      <c r="M1228" s="31"/>
      <c r="N1228" s="32"/>
      <c r="O1228" s="32"/>
      <c r="P1228" s="32"/>
      <c r="Q1228" s="32"/>
      <c r="R1228" s="32"/>
      <c r="S1228" s="32"/>
      <c r="T1228" s="32"/>
      <c r="U1228" s="29"/>
      <c r="V1228" s="29"/>
      <c r="W1228" s="24"/>
      <c r="X1228" s="18"/>
      <c r="Y1228" s="18"/>
      <c r="Z1228" s="18"/>
      <c r="AA1228" s="18"/>
      <c r="AB1228" s="18"/>
      <c r="AC1228" s="18"/>
      <c r="AD1228" s="18"/>
      <c r="AE1228" s="19"/>
      <c r="AF1228" s="20"/>
      <c r="AG1228" s="21"/>
      <c r="AH1228" s="21"/>
      <c r="AI1228" s="19"/>
      <c r="AJ1228" s="29"/>
      <c r="AK1228" s="29"/>
      <c r="AL1228" s="29"/>
    </row>
    <row r="1229" spans="2:38" s="28" customFormat="1" x14ac:dyDescent="0.3">
      <c r="B1229" s="24"/>
      <c r="C1229" s="37"/>
      <c r="D1229" s="37"/>
      <c r="E1229" s="37"/>
      <c r="F1229" s="35"/>
      <c r="G1229" s="35"/>
      <c r="H1229" s="35"/>
      <c r="I1229" s="35"/>
      <c r="J1229" s="35"/>
      <c r="K1229" s="35"/>
      <c r="L1229" s="35"/>
      <c r="M1229" s="31"/>
      <c r="N1229" s="32"/>
      <c r="O1229" s="32"/>
      <c r="P1229" s="32"/>
      <c r="Q1229" s="32"/>
      <c r="R1229" s="32"/>
      <c r="S1229" s="32"/>
      <c r="T1229" s="32"/>
      <c r="U1229" s="29"/>
      <c r="V1229" s="29"/>
      <c r="W1229" s="24"/>
      <c r="X1229" s="18"/>
      <c r="Y1229" s="18"/>
      <c r="Z1229" s="18"/>
      <c r="AA1229" s="18"/>
      <c r="AB1229" s="18"/>
      <c r="AC1229" s="18"/>
      <c r="AD1229" s="18"/>
      <c r="AE1229" s="19"/>
      <c r="AF1229" s="20"/>
      <c r="AG1229" s="21"/>
      <c r="AH1229" s="21"/>
      <c r="AI1229" s="19"/>
      <c r="AJ1229" s="29"/>
      <c r="AK1229" s="29"/>
      <c r="AL1229" s="29"/>
    </row>
    <row r="1230" spans="2:38" s="28" customFormat="1" x14ac:dyDescent="0.3">
      <c r="B1230" s="24"/>
      <c r="C1230" s="37"/>
      <c r="D1230" s="37"/>
      <c r="E1230" s="37"/>
      <c r="F1230" s="35"/>
      <c r="G1230" s="35"/>
      <c r="H1230" s="35"/>
      <c r="I1230" s="35"/>
      <c r="J1230" s="35"/>
      <c r="K1230" s="35"/>
      <c r="L1230" s="35"/>
      <c r="M1230" s="31"/>
      <c r="N1230" s="32"/>
      <c r="O1230" s="32"/>
      <c r="P1230" s="32"/>
      <c r="Q1230" s="32"/>
      <c r="R1230" s="32"/>
      <c r="S1230" s="32"/>
      <c r="T1230" s="32"/>
      <c r="U1230" s="29"/>
      <c r="V1230" s="29"/>
      <c r="W1230" s="24"/>
      <c r="X1230" s="18"/>
      <c r="Y1230" s="18"/>
      <c r="Z1230" s="18"/>
      <c r="AA1230" s="18"/>
      <c r="AB1230" s="18"/>
      <c r="AC1230" s="18"/>
      <c r="AD1230" s="18"/>
      <c r="AE1230" s="19"/>
      <c r="AF1230" s="20"/>
      <c r="AG1230" s="21"/>
      <c r="AH1230" s="21"/>
      <c r="AI1230" s="19"/>
      <c r="AJ1230" s="29"/>
      <c r="AK1230" s="29"/>
      <c r="AL1230" s="29"/>
    </row>
    <row r="1231" spans="2:38" s="28" customFormat="1" x14ac:dyDescent="0.3">
      <c r="B1231" s="24"/>
      <c r="C1231" s="37"/>
      <c r="D1231" s="37"/>
      <c r="E1231" s="37"/>
      <c r="F1231" s="35"/>
      <c r="G1231" s="35"/>
      <c r="H1231" s="35"/>
      <c r="I1231" s="35"/>
      <c r="J1231" s="35"/>
      <c r="K1231" s="35"/>
      <c r="L1231" s="35"/>
      <c r="M1231" s="31"/>
      <c r="N1231" s="32"/>
      <c r="O1231" s="32"/>
      <c r="P1231" s="32"/>
      <c r="Q1231" s="32"/>
      <c r="R1231" s="32"/>
      <c r="S1231" s="32"/>
      <c r="T1231" s="32"/>
      <c r="U1231" s="29"/>
      <c r="V1231" s="29"/>
      <c r="W1231" s="24"/>
      <c r="X1231" s="18"/>
      <c r="Y1231" s="18"/>
      <c r="Z1231" s="18"/>
      <c r="AA1231" s="18"/>
      <c r="AB1231" s="18"/>
      <c r="AC1231" s="18"/>
      <c r="AD1231" s="18"/>
      <c r="AE1231" s="19"/>
      <c r="AF1231" s="20"/>
      <c r="AG1231" s="21"/>
      <c r="AH1231" s="21"/>
      <c r="AI1231" s="19"/>
      <c r="AJ1231" s="29"/>
      <c r="AK1231" s="29"/>
      <c r="AL1231" s="29"/>
    </row>
    <row r="1232" spans="2:38" s="28" customFormat="1" x14ac:dyDescent="0.3">
      <c r="B1232" s="24"/>
      <c r="C1232" s="37"/>
      <c r="D1232" s="37"/>
      <c r="E1232" s="37"/>
      <c r="F1232" s="35"/>
      <c r="G1232" s="35"/>
      <c r="H1232" s="35"/>
      <c r="I1232" s="35"/>
      <c r="J1232" s="35"/>
      <c r="K1232" s="35"/>
      <c r="L1232" s="35"/>
      <c r="M1232" s="31"/>
      <c r="N1232" s="32"/>
      <c r="O1232" s="32"/>
      <c r="P1232" s="32"/>
      <c r="Q1232" s="32"/>
      <c r="R1232" s="32"/>
      <c r="S1232" s="32"/>
      <c r="T1232" s="32"/>
      <c r="U1232" s="29"/>
      <c r="V1232" s="29"/>
      <c r="W1232" s="24"/>
      <c r="X1232" s="18"/>
      <c r="Y1232" s="18"/>
      <c r="Z1232" s="18"/>
      <c r="AA1232" s="18"/>
      <c r="AB1232" s="18"/>
      <c r="AC1232" s="18"/>
      <c r="AD1232" s="18"/>
      <c r="AE1232" s="19"/>
      <c r="AF1232" s="20"/>
      <c r="AG1232" s="21"/>
      <c r="AH1232" s="21"/>
      <c r="AI1232" s="19"/>
      <c r="AJ1232" s="29"/>
      <c r="AK1232" s="29"/>
      <c r="AL1232" s="29"/>
    </row>
    <row r="1233" spans="2:38" s="28" customFormat="1" x14ac:dyDescent="0.3">
      <c r="B1233" s="24"/>
      <c r="C1233" s="37"/>
      <c r="D1233" s="37"/>
      <c r="E1233" s="37"/>
      <c r="F1233" s="35"/>
      <c r="G1233" s="35"/>
      <c r="H1233" s="35"/>
      <c r="I1233" s="35"/>
      <c r="J1233" s="35"/>
      <c r="K1233" s="35"/>
      <c r="L1233" s="35"/>
      <c r="M1233" s="31"/>
      <c r="N1233" s="32"/>
      <c r="O1233" s="32"/>
      <c r="P1233" s="32"/>
      <c r="Q1233" s="32"/>
      <c r="R1233" s="32"/>
      <c r="S1233" s="32"/>
      <c r="T1233" s="32"/>
      <c r="U1233" s="29"/>
      <c r="V1233" s="29"/>
      <c r="W1233" s="24"/>
      <c r="X1233" s="18"/>
      <c r="Y1233" s="18"/>
      <c r="Z1233" s="18"/>
      <c r="AA1233" s="18"/>
      <c r="AB1233" s="18"/>
      <c r="AC1233" s="18"/>
      <c r="AD1233" s="18"/>
      <c r="AE1233" s="19"/>
      <c r="AF1233" s="20"/>
      <c r="AG1233" s="21"/>
      <c r="AH1233" s="21"/>
      <c r="AI1233" s="19"/>
      <c r="AJ1233" s="29"/>
      <c r="AK1233" s="29"/>
      <c r="AL1233" s="29"/>
    </row>
    <row r="1234" spans="2:38" s="28" customFormat="1" x14ac:dyDescent="0.3">
      <c r="B1234" s="24"/>
      <c r="C1234" s="37"/>
      <c r="D1234" s="37"/>
      <c r="E1234" s="37"/>
      <c r="F1234" s="35"/>
      <c r="G1234" s="35"/>
      <c r="H1234" s="35"/>
      <c r="I1234" s="35"/>
      <c r="J1234" s="35"/>
      <c r="K1234" s="35"/>
      <c r="L1234" s="35"/>
      <c r="M1234" s="31"/>
      <c r="N1234" s="32"/>
      <c r="O1234" s="32"/>
      <c r="P1234" s="32"/>
      <c r="Q1234" s="32"/>
      <c r="R1234" s="32"/>
      <c r="S1234" s="32"/>
      <c r="T1234" s="32"/>
      <c r="U1234" s="29"/>
      <c r="V1234" s="29"/>
      <c r="W1234" s="24"/>
      <c r="X1234" s="18"/>
      <c r="Y1234" s="18"/>
      <c r="Z1234" s="18"/>
      <c r="AA1234" s="18"/>
      <c r="AB1234" s="18"/>
      <c r="AC1234" s="18"/>
      <c r="AD1234" s="18"/>
      <c r="AE1234" s="19"/>
      <c r="AF1234" s="20"/>
      <c r="AG1234" s="21"/>
      <c r="AH1234" s="21"/>
      <c r="AI1234" s="19"/>
      <c r="AJ1234" s="29"/>
      <c r="AK1234" s="29"/>
      <c r="AL1234" s="29"/>
    </row>
    <row r="1235" spans="2:38" s="28" customFormat="1" x14ac:dyDescent="0.3">
      <c r="B1235" s="24"/>
      <c r="C1235" s="37"/>
      <c r="D1235" s="37"/>
      <c r="E1235" s="37"/>
      <c r="F1235" s="35"/>
      <c r="G1235" s="35"/>
      <c r="H1235" s="35"/>
      <c r="I1235" s="35"/>
      <c r="J1235" s="35"/>
      <c r="K1235" s="35"/>
      <c r="L1235" s="35"/>
      <c r="M1235" s="31"/>
      <c r="N1235" s="32"/>
      <c r="O1235" s="32"/>
      <c r="P1235" s="32"/>
      <c r="Q1235" s="32"/>
      <c r="R1235" s="32"/>
      <c r="S1235" s="32"/>
      <c r="T1235" s="32"/>
      <c r="U1235" s="29"/>
      <c r="V1235" s="29"/>
      <c r="W1235" s="24"/>
      <c r="X1235" s="18"/>
      <c r="Y1235" s="18"/>
      <c r="Z1235" s="18"/>
      <c r="AA1235" s="18"/>
      <c r="AB1235" s="18"/>
      <c r="AC1235" s="18"/>
      <c r="AD1235" s="18"/>
      <c r="AE1235" s="19"/>
      <c r="AF1235" s="20"/>
      <c r="AG1235" s="21"/>
      <c r="AH1235" s="21"/>
      <c r="AI1235" s="19"/>
      <c r="AJ1235" s="29"/>
      <c r="AK1235" s="29"/>
      <c r="AL1235" s="29"/>
    </row>
    <row r="1236" spans="2:38" s="28" customFormat="1" x14ac:dyDescent="0.3">
      <c r="B1236" s="24"/>
      <c r="C1236" s="37"/>
      <c r="D1236" s="37"/>
      <c r="E1236" s="37"/>
      <c r="F1236" s="35"/>
      <c r="G1236" s="35"/>
      <c r="H1236" s="35"/>
      <c r="I1236" s="35"/>
      <c r="J1236" s="35"/>
      <c r="K1236" s="35"/>
      <c r="L1236" s="35"/>
      <c r="M1236" s="31"/>
      <c r="N1236" s="32"/>
      <c r="O1236" s="32"/>
      <c r="P1236" s="32"/>
      <c r="Q1236" s="32"/>
      <c r="R1236" s="32"/>
      <c r="S1236" s="32"/>
      <c r="T1236" s="32"/>
      <c r="U1236" s="29"/>
      <c r="V1236" s="29"/>
      <c r="W1236" s="24"/>
      <c r="X1236" s="18"/>
      <c r="Y1236" s="18"/>
      <c r="Z1236" s="18"/>
      <c r="AA1236" s="18"/>
      <c r="AB1236" s="18"/>
      <c r="AC1236" s="18"/>
      <c r="AD1236" s="18"/>
      <c r="AE1236" s="19"/>
      <c r="AF1236" s="20"/>
      <c r="AG1236" s="21"/>
      <c r="AH1236" s="21"/>
      <c r="AI1236" s="19"/>
      <c r="AJ1236" s="29"/>
      <c r="AK1236" s="29"/>
      <c r="AL1236" s="29"/>
    </row>
    <row r="1237" spans="2:38" s="28" customFormat="1" x14ac:dyDescent="0.3">
      <c r="B1237" s="24"/>
      <c r="C1237" s="37"/>
      <c r="D1237" s="37"/>
      <c r="E1237" s="37"/>
      <c r="F1237" s="35"/>
      <c r="G1237" s="35"/>
      <c r="H1237" s="35"/>
      <c r="I1237" s="35"/>
      <c r="J1237" s="35"/>
      <c r="K1237" s="35"/>
      <c r="L1237" s="35"/>
      <c r="M1237" s="31"/>
      <c r="N1237" s="32"/>
      <c r="O1237" s="32"/>
      <c r="P1237" s="32"/>
      <c r="Q1237" s="32"/>
      <c r="R1237" s="32"/>
      <c r="S1237" s="32"/>
      <c r="T1237" s="32"/>
      <c r="U1237" s="29"/>
      <c r="V1237" s="29"/>
      <c r="W1237" s="24"/>
      <c r="X1237" s="18"/>
      <c r="Y1237" s="18"/>
      <c r="Z1237" s="18"/>
      <c r="AA1237" s="18"/>
      <c r="AB1237" s="18"/>
      <c r="AC1237" s="18"/>
      <c r="AD1237" s="18"/>
      <c r="AE1237" s="19"/>
      <c r="AF1237" s="20"/>
      <c r="AG1237" s="21"/>
      <c r="AH1237" s="21"/>
      <c r="AI1237" s="19"/>
      <c r="AJ1237" s="29"/>
      <c r="AK1237" s="29"/>
      <c r="AL1237" s="29"/>
    </row>
    <row r="1238" spans="2:38" s="28" customFormat="1" x14ac:dyDescent="0.3">
      <c r="B1238" s="24"/>
      <c r="C1238" s="37"/>
      <c r="D1238" s="37"/>
      <c r="E1238" s="37"/>
      <c r="F1238" s="35"/>
      <c r="G1238" s="35"/>
      <c r="H1238" s="35"/>
      <c r="I1238" s="35"/>
      <c r="J1238" s="35"/>
      <c r="K1238" s="35"/>
      <c r="L1238" s="35"/>
      <c r="M1238" s="31"/>
      <c r="N1238" s="32"/>
      <c r="O1238" s="32"/>
      <c r="P1238" s="32"/>
      <c r="Q1238" s="32"/>
      <c r="R1238" s="32"/>
      <c r="S1238" s="32"/>
      <c r="T1238" s="32"/>
      <c r="U1238" s="29"/>
      <c r="V1238" s="29"/>
      <c r="W1238" s="24"/>
      <c r="X1238" s="18"/>
      <c r="Y1238" s="18"/>
      <c r="Z1238" s="18"/>
      <c r="AA1238" s="18"/>
      <c r="AB1238" s="18"/>
      <c r="AC1238" s="18"/>
      <c r="AD1238" s="18"/>
      <c r="AE1238" s="19"/>
      <c r="AF1238" s="20"/>
      <c r="AG1238" s="21"/>
      <c r="AH1238" s="21"/>
      <c r="AI1238" s="19"/>
      <c r="AJ1238" s="29"/>
      <c r="AK1238" s="29"/>
      <c r="AL1238" s="29"/>
    </row>
    <row r="1239" spans="2:38" s="28" customFormat="1" x14ac:dyDescent="0.3">
      <c r="B1239" s="24"/>
      <c r="C1239" s="37"/>
      <c r="D1239" s="37"/>
      <c r="E1239" s="37"/>
      <c r="F1239" s="35"/>
      <c r="G1239" s="35"/>
      <c r="H1239" s="35"/>
      <c r="I1239" s="35"/>
      <c r="J1239" s="35"/>
      <c r="K1239" s="35"/>
      <c r="L1239" s="35"/>
      <c r="M1239" s="31"/>
      <c r="N1239" s="32"/>
      <c r="O1239" s="32"/>
      <c r="P1239" s="32"/>
      <c r="Q1239" s="32"/>
      <c r="R1239" s="32"/>
      <c r="S1239" s="32"/>
      <c r="T1239" s="32"/>
      <c r="U1239" s="29"/>
      <c r="V1239" s="29"/>
      <c r="W1239" s="24"/>
      <c r="X1239" s="18"/>
      <c r="Y1239" s="18"/>
      <c r="Z1239" s="18"/>
      <c r="AA1239" s="18"/>
      <c r="AB1239" s="18"/>
      <c r="AC1239" s="18"/>
      <c r="AD1239" s="18"/>
      <c r="AE1239" s="19"/>
      <c r="AF1239" s="20"/>
      <c r="AG1239" s="21"/>
      <c r="AH1239" s="21"/>
      <c r="AI1239" s="19"/>
      <c r="AJ1239" s="29"/>
      <c r="AK1239" s="29"/>
      <c r="AL1239" s="29"/>
    </row>
    <row r="1240" spans="2:38" s="28" customFormat="1" x14ac:dyDescent="0.3">
      <c r="B1240" s="24"/>
      <c r="C1240" s="37"/>
      <c r="D1240" s="37"/>
      <c r="E1240" s="37"/>
      <c r="F1240" s="35"/>
      <c r="G1240" s="35"/>
      <c r="H1240" s="35"/>
      <c r="I1240" s="35"/>
      <c r="J1240" s="35"/>
      <c r="K1240" s="35"/>
      <c r="L1240" s="35"/>
      <c r="M1240" s="31"/>
      <c r="N1240" s="32"/>
      <c r="O1240" s="32"/>
      <c r="P1240" s="32"/>
      <c r="Q1240" s="32"/>
      <c r="R1240" s="32"/>
      <c r="S1240" s="32"/>
      <c r="T1240" s="32"/>
      <c r="U1240" s="29"/>
      <c r="V1240" s="29"/>
      <c r="W1240" s="24"/>
      <c r="X1240" s="18"/>
      <c r="Y1240" s="18"/>
      <c r="Z1240" s="18"/>
      <c r="AA1240" s="18"/>
      <c r="AB1240" s="18"/>
      <c r="AC1240" s="18"/>
      <c r="AD1240" s="18"/>
      <c r="AE1240" s="19"/>
      <c r="AF1240" s="20"/>
      <c r="AG1240" s="21"/>
      <c r="AH1240" s="21"/>
      <c r="AI1240" s="19"/>
      <c r="AJ1240" s="29"/>
      <c r="AK1240" s="29"/>
      <c r="AL1240" s="29"/>
    </row>
    <row r="1241" spans="2:38" s="28" customFormat="1" x14ac:dyDescent="0.3">
      <c r="B1241" s="24"/>
      <c r="C1241" s="37"/>
      <c r="D1241" s="37"/>
      <c r="E1241" s="37"/>
      <c r="F1241" s="35"/>
      <c r="G1241" s="35"/>
      <c r="H1241" s="35"/>
      <c r="I1241" s="35"/>
      <c r="J1241" s="35"/>
      <c r="K1241" s="35"/>
      <c r="L1241" s="35"/>
      <c r="M1241" s="31"/>
      <c r="N1241" s="32"/>
      <c r="O1241" s="32"/>
      <c r="P1241" s="32"/>
      <c r="Q1241" s="32"/>
      <c r="R1241" s="32"/>
      <c r="S1241" s="32"/>
      <c r="T1241" s="32"/>
      <c r="U1241" s="29"/>
      <c r="V1241" s="29"/>
      <c r="W1241" s="24"/>
      <c r="X1241" s="18"/>
      <c r="Y1241" s="18"/>
      <c r="Z1241" s="18"/>
      <c r="AA1241" s="18"/>
      <c r="AB1241" s="18"/>
      <c r="AC1241" s="18"/>
      <c r="AD1241" s="18"/>
      <c r="AE1241" s="19"/>
      <c r="AF1241" s="20"/>
      <c r="AG1241" s="21"/>
      <c r="AH1241" s="21"/>
      <c r="AI1241" s="19"/>
      <c r="AJ1241" s="29"/>
      <c r="AK1241" s="29"/>
      <c r="AL1241" s="29"/>
    </row>
    <row r="1242" spans="2:38" s="28" customFormat="1" x14ac:dyDescent="0.3">
      <c r="B1242" s="24"/>
      <c r="C1242" s="37"/>
      <c r="D1242" s="37"/>
      <c r="E1242" s="37"/>
      <c r="F1242" s="35"/>
      <c r="G1242" s="35"/>
      <c r="H1242" s="35"/>
      <c r="I1242" s="35"/>
      <c r="J1242" s="35"/>
      <c r="K1242" s="35"/>
      <c r="L1242" s="35"/>
      <c r="M1242" s="31"/>
      <c r="N1242" s="32"/>
      <c r="O1242" s="32"/>
      <c r="P1242" s="32"/>
      <c r="Q1242" s="32"/>
      <c r="R1242" s="32"/>
      <c r="S1242" s="32"/>
      <c r="T1242" s="32"/>
      <c r="U1242" s="29"/>
      <c r="V1242" s="29"/>
      <c r="W1242" s="24"/>
      <c r="X1242" s="18"/>
      <c r="Y1242" s="18"/>
      <c r="Z1242" s="18"/>
      <c r="AA1242" s="18"/>
      <c r="AB1242" s="18"/>
      <c r="AC1242" s="18"/>
      <c r="AD1242" s="18"/>
      <c r="AE1242" s="19"/>
      <c r="AF1242" s="20"/>
      <c r="AG1242" s="21"/>
      <c r="AH1242" s="21"/>
      <c r="AI1242" s="19"/>
      <c r="AJ1242" s="29"/>
      <c r="AK1242" s="29"/>
      <c r="AL1242" s="29"/>
    </row>
    <row r="1243" spans="2:38" s="28" customFormat="1" x14ac:dyDescent="0.3">
      <c r="B1243" s="24"/>
      <c r="C1243" s="37"/>
      <c r="D1243" s="37"/>
      <c r="E1243" s="37"/>
      <c r="F1243" s="35"/>
      <c r="G1243" s="35"/>
      <c r="H1243" s="35"/>
      <c r="I1243" s="35"/>
      <c r="J1243" s="35"/>
      <c r="K1243" s="35"/>
      <c r="L1243" s="35"/>
      <c r="M1243" s="31"/>
      <c r="N1243" s="32"/>
      <c r="O1243" s="32"/>
      <c r="P1243" s="32"/>
      <c r="Q1243" s="32"/>
      <c r="R1243" s="32"/>
      <c r="S1243" s="32"/>
      <c r="T1243" s="32"/>
      <c r="U1243" s="29"/>
      <c r="V1243" s="29"/>
      <c r="W1243" s="24"/>
      <c r="X1243" s="18"/>
      <c r="Y1243" s="18"/>
      <c r="Z1243" s="18"/>
      <c r="AA1243" s="18"/>
      <c r="AB1243" s="18"/>
      <c r="AC1243" s="18"/>
      <c r="AD1243" s="18"/>
      <c r="AE1243" s="19"/>
      <c r="AF1243" s="20"/>
      <c r="AG1243" s="21"/>
      <c r="AH1243" s="21"/>
      <c r="AI1243" s="19"/>
      <c r="AJ1243" s="29"/>
      <c r="AK1243" s="29"/>
      <c r="AL1243" s="29"/>
    </row>
    <row r="1244" spans="2:38" s="28" customFormat="1" x14ac:dyDescent="0.3">
      <c r="B1244" s="24"/>
      <c r="C1244" s="37"/>
      <c r="D1244" s="37"/>
      <c r="E1244" s="37"/>
      <c r="F1244" s="35"/>
      <c r="G1244" s="35"/>
      <c r="H1244" s="35"/>
      <c r="I1244" s="35"/>
      <c r="J1244" s="35"/>
      <c r="K1244" s="35"/>
      <c r="L1244" s="35"/>
      <c r="M1244" s="31"/>
      <c r="N1244" s="32"/>
      <c r="O1244" s="32"/>
      <c r="P1244" s="32"/>
      <c r="Q1244" s="32"/>
      <c r="R1244" s="32"/>
      <c r="S1244" s="32"/>
      <c r="T1244" s="32"/>
      <c r="U1244" s="29"/>
      <c r="V1244" s="29"/>
      <c r="W1244" s="24"/>
      <c r="X1244" s="18"/>
      <c r="Y1244" s="18"/>
      <c r="Z1244" s="18"/>
      <c r="AA1244" s="18"/>
      <c r="AB1244" s="18"/>
      <c r="AC1244" s="18"/>
      <c r="AD1244" s="18"/>
      <c r="AE1244" s="19"/>
      <c r="AF1244" s="20"/>
      <c r="AG1244" s="21"/>
      <c r="AH1244" s="21"/>
      <c r="AI1244" s="19"/>
      <c r="AJ1244" s="29"/>
      <c r="AK1244" s="29"/>
      <c r="AL1244" s="29"/>
    </row>
    <row r="1245" spans="2:38" s="28" customFormat="1" x14ac:dyDescent="0.3">
      <c r="B1245" s="24"/>
      <c r="C1245" s="37"/>
      <c r="D1245" s="37"/>
      <c r="E1245" s="37"/>
      <c r="F1245" s="35"/>
      <c r="G1245" s="35"/>
      <c r="H1245" s="35"/>
      <c r="I1245" s="35"/>
      <c r="J1245" s="35"/>
      <c r="K1245" s="35"/>
      <c r="L1245" s="35"/>
      <c r="M1245" s="31"/>
      <c r="N1245" s="32"/>
      <c r="O1245" s="32"/>
      <c r="P1245" s="32"/>
      <c r="Q1245" s="32"/>
      <c r="R1245" s="32"/>
      <c r="S1245" s="32"/>
      <c r="T1245" s="32"/>
      <c r="U1245" s="29"/>
      <c r="V1245" s="29"/>
      <c r="W1245" s="24"/>
      <c r="X1245" s="18"/>
      <c r="Y1245" s="18"/>
      <c r="Z1245" s="18"/>
      <c r="AA1245" s="18"/>
      <c r="AB1245" s="18"/>
      <c r="AC1245" s="18"/>
      <c r="AD1245" s="18"/>
      <c r="AE1245" s="19"/>
      <c r="AF1245" s="20"/>
      <c r="AG1245" s="21"/>
      <c r="AH1245" s="21"/>
      <c r="AI1245" s="19"/>
      <c r="AJ1245" s="29"/>
      <c r="AK1245" s="29"/>
      <c r="AL1245" s="29"/>
    </row>
    <row r="1246" spans="2:38" s="28" customFormat="1" x14ac:dyDescent="0.3">
      <c r="B1246" s="24"/>
      <c r="C1246" s="37"/>
      <c r="D1246" s="37"/>
      <c r="E1246" s="37"/>
      <c r="F1246" s="35"/>
      <c r="G1246" s="35"/>
      <c r="H1246" s="35"/>
      <c r="I1246" s="35"/>
      <c r="J1246" s="35"/>
      <c r="K1246" s="35"/>
      <c r="L1246" s="35"/>
      <c r="M1246" s="31"/>
      <c r="N1246" s="32"/>
      <c r="O1246" s="32"/>
      <c r="P1246" s="32"/>
      <c r="Q1246" s="32"/>
      <c r="R1246" s="32"/>
      <c r="S1246" s="32"/>
      <c r="T1246" s="32"/>
      <c r="U1246" s="29"/>
      <c r="V1246" s="29"/>
      <c r="W1246" s="24"/>
      <c r="X1246" s="18"/>
      <c r="Y1246" s="18"/>
      <c r="Z1246" s="18"/>
      <c r="AA1246" s="18"/>
      <c r="AB1246" s="18"/>
      <c r="AC1246" s="18"/>
      <c r="AD1246" s="18"/>
      <c r="AE1246" s="19"/>
      <c r="AF1246" s="20"/>
      <c r="AG1246" s="21"/>
      <c r="AH1246" s="21"/>
      <c r="AI1246" s="19"/>
      <c r="AJ1246" s="29"/>
      <c r="AK1246" s="29"/>
      <c r="AL1246" s="29"/>
    </row>
    <row r="1247" spans="2:38" s="28" customFormat="1" x14ac:dyDescent="0.3">
      <c r="B1247" s="24"/>
      <c r="C1247" s="37"/>
      <c r="D1247" s="37"/>
      <c r="E1247" s="37"/>
      <c r="F1247" s="35"/>
      <c r="G1247" s="35"/>
      <c r="H1247" s="35"/>
      <c r="I1247" s="35"/>
      <c r="J1247" s="35"/>
      <c r="K1247" s="35"/>
      <c r="L1247" s="35"/>
      <c r="M1247" s="31"/>
      <c r="N1247" s="32"/>
      <c r="O1247" s="32"/>
      <c r="P1247" s="32"/>
      <c r="Q1247" s="32"/>
      <c r="R1247" s="32"/>
      <c r="S1247" s="32"/>
      <c r="T1247" s="32"/>
      <c r="U1247" s="29"/>
      <c r="V1247" s="29"/>
      <c r="W1247" s="24"/>
      <c r="X1247" s="18"/>
      <c r="Y1247" s="18"/>
      <c r="Z1247" s="18"/>
      <c r="AA1247" s="18"/>
      <c r="AB1247" s="18"/>
      <c r="AC1247" s="18"/>
      <c r="AD1247" s="18"/>
      <c r="AE1247" s="19"/>
      <c r="AF1247" s="20"/>
      <c r="AG1247" s="21"/>
      <c r="AH1247" s="21"/>
      <c r="AI1247" s="19"/>
      <c r="AJ1247" s="29"/>
      <c r="AK1247" s="29"/>
      <c r="AL1247" s="29"/>
    </row>
    <row r="1248" spans="2:38" s="28" customFormat="1" x14ac:dyDescent="0.3">
      <c r="B1248" s="24"/>
      <c r="C1248" s="37"/>
      <c r="D1248" s="37"/>
      <c r="E1248" s="37"/>
      <c r="F1248" s="35"/>
      <c r="G1248" s="35"/>
      <c r="H1248" s="35"/>
      <c r="I1248" s="35"/>
      <c r="J1248" s="35"/>
      <c r="K1248" s="35"/>
      <c r="L1248" s="35"/>
      <c r="M1248" s="31"/>
      <c r="N1248" s="32"/>
      <c r="O1248" s="32"/>
      <c r="P1248" s="32"/>
      <c r="Q1248" s="32"/>
      <c r="R1248" s="32"/>
      <c r="S1248" s="32"/>
      <c r="T1248" s="32"/>
      <c r="U1248" s="29"/>
      <c r="V1248" s="29"/>
      <c r="W1248" s="24"/>
      <c r="X1248" s="18"/>
      <c r="Y1248" s="18"/>
      <c r="Z1248" s="18"/>
      <c r="AA1248" s="18"/>
      <c r="AB1248" s="18"/>
      <c r="AC1248" s="18"/>
      <c r="AD1248" s="18"/>
      <c r="AE1248" s="19"/>
      <c r="AF1248" s="20"/>
      <c r="AG1248" s="21"/>
      <c r="AH1248" s="21"/>
      <c r="AI1248" s="19"/>
      <c r="AJ1248" s="29"/>
      <c r="AK1248" s="29"/>
      <c r="AL1248" s="29"/>
    </row>
    <row r="1249" spans="2:38" s="28" customFormat="1" x14ac:dyDescent="0.3">
      <c r="B1249" s="24"/>
      <c r="C1249" s="37"/>
      <c r="D1249" s="37"/>
      <c r="E1249" s="37"/>
      <c r="F1249" s="35"/>
      <c r="G1249" s="35"/>
      <c r="H1249" s="35"/>
      <c r="I1249" s="35"/>
      <c r="J1249" s="35"/>
      <c r="K1249" s="35"/>
      <c r="L1249" s="35"/>
      <c r="M1249" s="31"/>
      <c r="N1249" s="32"/>
      <c r="O1249" s="32"/>
      <c r="P1249" s="32"/>
      <c r="Q1249" s="32"/>
      <c r="R1249" s="32"/>
      <c r="S1249" s="32"/>
      <c r="T1249" s="32"/>
      <c r="U1249" s="29"/>
      <c r="V1249" s="29"/>
      <c r="W1249" s="24"/>
      <c r="X1249" s="18"/>
      <c r="Y1249" s="18"/>
      <c r="Z1249" s="18"/>
      <c r="AA1249" s="18"/>
      <c r="AB1249" s="18"/>
      <c r="AC1249" s="18"/>
      <c r="AD1249" s="18"/>
      <c r="AE1249" s="19"/>
      <c r="AF1249" s="20"/>
      <c r="AG1249" s="21"/>
      <c r="AH1249" s="21"/>
      <c r="AI1249" s="19"/>
      <c r="AJ1249" s="29"/>
      <c r="AK1249" s="29"/>
      <c r="AL1249" s="29"/>
    </row>
    <row r="1250" spans="2:38" s="28" customFormat="1" x14ac:dyDescent="0.3">
      <c r="B1250" s="24"/>
      <c r="C1250" s="37"/>
      <c r="D1250" s="37"/>
      <c r="E1250" s="37"/>
      <c r="F1250" s="35"/>
      <c r="G1250" s="35"/>
      <c r="H1250" s="35"/>
      <c r="I1250" s="35"/>
      <c r="J1250" s="35"/>
      <c r="K1250" s="35"/>
      <c r="L1250" s="35"/>
      <c r="M1250" s="31"/>
      <c r="N1250" s="32"/>
      <c r="O1250" s="32"/>
      <c r="P1250" s="32"/>
      <c r="Q1250" s="32"/>
      <c r="R1250" s="32"/>
      <c r="S1250" s="32"/>
      <c r="T1250" s="32"/>
      <c r="U1250" s="29"/>
      <c r="V1250" s="29"/>
      <c r="W1250" s="24"/>
      <c r="X1250" s="18"/>
      <c r="Y1250" s="18"/>
      <c r="Z1250" s="18"/>
      <c r="AA1250" s="18"/>
      <c r="AB1250" s="18"/>
      <c r="AC1250" s="18"/>
      <c r="AD1250" s="18"/>
      <c r="AE1250" s="19"/>
      <c r="AF1250" s="20"/>
      <c r="AG1250" s="21"/>
      <c r="AH1250" s="21"/>
      <c r="AI1250" s="19"/>
      <c r="AJ1250" s="29"/>
      <c r="AK1250" s="29"/>
      <c r="AL1250" s="29"/>
    </row>
    <row r="1251" spans="2:38" s="28" customFormat="1" x14ac:dyDescent="0.3">
      <c r="B1251" s="24"/>
      <c r="C1251" s="37"/>
      <c r="D1251" s="37"/>
      <c r="E1251" s="37"/>
      <c r="F1251" s="35"/>
      <c r="G1251" s="35"/>
      <c r="H1251" s="35"/>
      <c r="I1251" s="35"/>
      <c r="J1251" s="35"/>
      <c r="K1251" s="35"/>
      <c r="L1251" s="35"/>
      <c r="M1251" s="31"/>
      <c r="N1251" s="32"/>
      <c r="O1251" s="32"/>
      <c r="P1251" s="32"/>
      <c r="Q1251" s="32"/>
      <c r="R1251" s="32"/>
      <c r="S1251" s="32"/>
      <c r="T1251" s="32"/>
      <c r="U1251" s="29"/>
      <c r="V1251" s="29"/>
      <c r="W1251" s="24"/>
      <c r="X1251" s="18"/>
      <c r="Y1251" s="18"/>
      <c r="Z1251" s="18"/>
      <c r="AA1251" s="18"/>
      <c r="AB1251" s="18"/>
      <c r="AC1251" s="18"/>
      <c r="AD1251" s="18"/>
      <c r="AE1251" s="19"/>
      <c r="AF1251" s="20"/>
      <c r="AG1251" s="21"/>
      <c r="AH1251" s="21"/>
      <c r="AI1251" s="19"/>
      <c r="AJ1251" s="29"/>
      <c r="AK1251" s="29"/>
      <c r="AL1251" s="29"/>
    </row>
    <row r="1252" spans="2:38" s="28" customFormat="1" x14ac:dyDescent="0.3">
      <c r="B1252" s="24"/>
      <c r="C1252" s="37"/>
      <c r="D1252" s="37"/>
      <c r="E1252" s="37"/>
      <c r="F1252" s="35"/>
      <c r="G1252" s="35"/>
      <c r="H1252" s="35"/>
      <c r="I1252" s="35"/>
      <c r="J1252" s="35"/>
      <c r="K1252" s="35"/>
      <c r="L1252" s="35"/>
      <c r="M1252" s="31"/>
      <c r="N1252" s="32"/>
      <c r="O1252" s="32"/>
      <c r="P1252" s="32"/>
      <c r="Q1252" s="32"/>
      <c r="R1252" s="32"/>
      <c r="S1252" s="32"/>
      <c r="T1252" s="32"/>
      <c r="U1252" s="29"/>
      <c r="V1252" s="29"/>
      <c r="W1252" s="24"/>
      <c r="X1252" s="18"/>
      <c r="Y1252" s="18"/>
      <c r="Z1252" s="18"/>
      <c r="AA1252" s="18"/>
      <c r="AB1252" s="18"/>
      <c r="AC1252" s="18"/>
      <c r="AD1252" s="18"/>
      <c r="AE1252" s="19"/>
      <c r="AF1252" s="20"/>
      <c r="AG1252" s="21"/>
      <c r="AH1252" s="21"/>
      <c r="AI1252" s="19"/>
      <c r="AJ1252" s="29"/>
      <c r="AK1252" s="29"/>
      <c r="AL1252" s="29"/>
    </row>
    <row r="1253" spans="2:38" s="28" customFormat="1" x14ac:dyDescent="0.3">
      <c r="B1253" s="24"/>
      <c r="C1253" s="37"/>
      <c r="D1253" s="37"/>
      <c r="E1253" s="37"/>
      <c r="F1253" s="35"/>
      <c r="G1253" s="35"/>
      <c r="H1253" s="35"/>
      <c r="I1253" s="35"/>
      <c r="J1253" s="35"/>
      <c r="K1253" s="35"/>
      <c r="L1253" s="35"/>
      <c r="M1253" s="31"/>
      <c r="N1253" s="32"/>
      <c r="O1253" s="32"/>
      <c r="P1253" s="32"/>
      <c r="Q1253" s="32"/>
      <c r="R1253" s="32"/>
      <c r="S1253" s="32"/>
      <c r="T1253" s="32"/>
      <c r="U1253" s="29"/>
      <c r="V1253" s="29"/>
      <c r="W1253" s="24"/>
      <c r="X1253" s="18"/>
      <c r="Y1253" s="18"/>
      <c r="Z1253" s="18"/>
      <c r="AA1253" s="18"/>
      <c r="AB1253" s="18"/>
      <c r="AC1253" s="18"/>
      <c r="AD1253" s="18"/>
      <c r="AE1253" s="19"/>
      <c r="AF1253" s="20"/>
      <c r="AG1253" s="21"/>
      <c r="AH1253" s="21"/>
      <c r="AI1253" s="19"/>
      <c r="AJ1253" s="29"/>
      <c r="AK1253" s="29"/>
      <c r="AL1253" s="29"/>
    </row>
    <row r="1254" spans="2:38" s="28" customFormat="1" x14ac:dyDescent="0.3">
      <c r="B1254" s="24"/>
      <c r="C1254" s="37"/>
      <c r="D1254" s="37"/>
      <c r="E1254" s="37"/>
      <c r="F1254" s="35"/>
      <c r="G1254" s="35"/>
      <c r="H1254" s="35"/>
      <c r="I1254" s="35"/>
      <c r="J1254" s="35"/>
      <c r="K1254" s="35"/>
      <c r="L1254" s="35"/>
      <c r="M1254" s="31"/>
      <c r="N1254" s="32"/>
      <c r="O1254" s="32"/>
      <c r="P1254" s="32"/>
      <c r="Q1254" s="32"/>
      <c r="R1254" s="32"/>
      <c r="S1254" s="32"/>
      <c r="T1254" s="32"/>
      <c r="U1254" s="29"/>
      <c r="V1254" s="29"/>
      <c r="W1254" s="24"/>
      <c r="X1254" s="18"/>
      <c r="Y1254" s="18"/>
      <c r="Z1254" s="18"/>
      <c r="AA1254" s="18"/>
      <c r="AB1254" s="18"/>
      <c r="AC1254" s="18"/>
      <c r="AD1254" s="18"/>
      <c r="AE1254" s="19"/>
      <c r="AF1254" s="20"/>
      <c r="AG1254" s="21"/>
      <c r="AH1254" s="21"/>
      <c r="AI1254" s="19"/>
      <c r="AJ1254" s="29"/>
      <c r="AK1254" s="29"/>
      <c r="AL1254" s="29"/>
    </row>
    <row r="1255" spans="2:38" s="28" customFormat="1" x14ac:dyDescent="0.3">
      <c r="B1255" s="24"/>
      <c r="C1255" s="37"/>
      <c r="D1255" s="37"/>
      <c r="E1255" s="37"/>
      <c r="F1255" s="35"/>
      <c r="G1255" s="35"/>
      <c r="H1255" s="35"/>
      <c r="I1255" s="35"/>
      <c r="J1255" s="35"/>
      <c r="K1255" s="35"/>
      <c r="L1255" s="35"/>
      <c r="M1255" s="31"/>
      <c r="N1255" s="32"/>
      <c r="O1255" s="32"/>
      <c r="P1255" s="32"/>
      <c r="Q1255" s="32"/>
      <c r="R1255" s="32"/>
      <c r="S1255" s="32"/>
      <c r="T1255" s="32"/>
      <c r="U1255" s="29"/>
      <c r="V1255" s="29"/>
      <c r="W1255" s="24"/>
      <c r="X1255" s="18"/>
      <c r="Y1255" s="18"/>
      <c r="Z1255" s="18"/>
      <c r="AA1255" s="18"/>
      <c r="AB1255" s="18"/>
      <c r="AC1255" s="18"/>
      <c r="AD1255" s="18"/>
      <c r="AE1255" s="19"/>
      <c r="AF1255" s="20"/>
      <c r="AG1255" s="21"/>
      <c r="AH1255" s="21"/>
      <c r="AI1255" s="19"/>
      <c r="AJ1255" s="29"/>
      <c r="AK1255" s="29"/>
      <c r="AL1255" s="29"/>
    </row>
    <row r="1256" spans="2:38" s="28" customFormat="1" x14ac:dyDescent="0.3">
      <c r="B1256" s="24"/>
      <c r="C1256" s="37"/>
      <c r="D1256" s="37"/>
      <c r="E1256" s="37"/>
      <c r="F1256" s="35"/>
      <c r="G1256" s="35"/>
      <c r="H1256" s="35"/>
      <c r="I1256" s="35"/>
      <c r="J1256" s="35"/>
      <c r="K1256" s="35"/>
      <c r="L1256" s="35"/>
      <c r="M1256" s="31"/>
      <c r="N1256" s="32"/>
      <c r="O1256" s="32"/>
      <c r="P1256" s="32"/>
      <c r="Q1256" s="32"/>
      <c r="R1256" s="32"/>
      <c r="S1256" s="32"/>
      <c r="T1256" s="32"/>
      <c r="U1256" s="29"/>
      <c r="V1256" s="29"/>
      <c r="W1256" s="24"/>
      <c r="X1256" s="18"/>
      <c r="Y1256" s="18"/>
      <c r="Z1256" s="18"/>
      <c r="AA1256" s="18"/>
      <c r="AB1256" s="18"/>
      <c r="AC1256" s="18"/>
      <c r="AD1256" s="18"/>
      <c r="AE1256" s="19"/>
      <c r="AF1256" s="20"/>
      <c r="AG1256" s="21"/>
      <c r="AH1256" s="21"/>
      <c r="AI1256" s="19"/>
      <c r="AJ1256" s="29"/>
      <c r="AK1256" s="29"/>
      <c r="AL1256" s="29"/>
    </row>
    <row r="1257" spans="2:38" s="28" customFormat="1" x14ac:dyDescent="0.3">
      <c r="B1257" s="24"/>
      <c r="C1257" s="37"/>
      <c r="D1257" s="37"/>
      <c r="E1257" s="37"/>
      <c r="F1257" s="35"/>
      <c r="G1257" s="35"/>
      <c r="H1257" s="35"/>
      <c r="I1257" s="35"/>
      <c r="J1257" s="35"/>
      <c r="K1257" s="35"/>
      <c r="L1257" s="35"/>
      <c r="M1257" s="31"/>
      <c r="N1257" s="32"/>
      <c r="O1257" s="32"/>
      <c r="P1257" s="32"/>
      <c r="Q1257" s="32"/>
      <c r="R1257" s="32"/>
      <c r="S1257" s="32"/>
      <c r="T1257" s="32"/>
      <c r="U1257" s="29"/>
      <c r="V1257" s="29"/>
      <c r="W1257" s="24"/>
      <c r="X1257" s="18"/>
      <c r="Y1257" s="18"/>
      <c r="Z1257" s="18"/>
      <c r="AA1257" s="18"/>
      <c r="AB1257" s="18"/>
      <c r="AC1257" s="18"/>
      <c r="AD1257" s="18"/>
      <c r="AE1257" s="19"/>
      <c r="AF1257" s="20"/>
      <c r="AG1257" s="21"/>
      <c r="AH1257" s="21"/>
      <c r="AI1257" s="19"/>
      <c r="AJ1257" s="29"/>
      <c r="AK1257" s="29"/>
      <c r="AL1257" s="29"/>
    </row>
    <row r="1258" spans="2:38" s="28" customFormat="1" x14ac:dyDescent="0.3">
      <c r="B1258" s="24"/>
      <c r="C1258" s="37"/>
      <c r="D1258" s="37"/>
      <c r="E1258" s="37"/>
      <c r="F1258" s="35"/>
      <c r="G1258" s="35"/>
      <c r="H1258" s="35"/>
      <c r="I1258" s="35"/>
      <c r="J1258" s="35"/>
      <c r="K1258" s="35"/>
      <c r="L1258" s="35"/>
      <c r="M1258" s="31"/>
      <c r="N1258" s="32"/>
      <c r="O1258" s="32"/>
      <c r="P1258" s="32"/>
      <c r="Q1258" s="32"/>
      <c r="R1258" s="32"/>
      <c r="S1258" s="32"/>
      <c r="T1258" s="32"/>
      <c r="U1258" s="29"/>
      <c r="V1258" s="29"/>
      <c r="W1258" s="24"/>
      <c r="X1258" s="18"/>
      <c r="Y1258" s="18"/>
      <c r="Z1258" s="18"/>
      <c r="AA1258" s="18"/>
      <c r="AB1258" s="18"/>
      <c r="AC1258" s="18"/>
      <c r="AD1258" s="18"/>
      <c r="AE1258" s="19"/>
      <c r="AF1258" s="20"/>
      <c r="AG1258" s="21"/>
      <c r="AH1258" s="21"/>
      <c r="AI1258" s="19"/>
      <c r="AJ1258" s="29"/>
      <c r="AK1258" s="29"/>
      <c r="AL1258" s="29"/>
    </row>
    <row r="1259" spans="2:38" s="28" customFormat="1" x14ac:dyDescent="0.3">
      <c r="B1259" s="24"/>
      <c r="C1259" s="37"/>
      <c r="D1259" s="37"/>
      <c r="E1259" s="37"/>
      <c r="F1259" s="35"/>
      <c r="G1259" s="35"/>
      <c r="H1259" s="35"/>
      <c r="I1259" s="35"/>
      <c r="J1259" s="35"/>
      <c r="K1259" s="35"/>
      <c r="L1259" s="35"/>
      <c r="M1259" s="31"/>
      <c r="N1259" s="32"/>
      <c r="O1259" s="32"/>
      <c r="P1259" s="32"/>
      <c r="Q1259" s="32"/>
      <c r="R1259" s="32"/>
      <c r="S1259" s="32"/>
      <c r="T1259" s="32"/>
      <c r="U1259" s="29"/>
      <c r="V1259" s="29"/>
      <c r="W1259" s="24"/>
      <c r="X1259" s="18"/>
      <c r="Y1259" s="18"/>
      <c r="Z1259" s="18"/>
      <c r="AA1259" s="18"/>
      <c r="AB1259" s="18"/>
      <c r="AC1259" s="18"/>
      <c r="AD1259" s="18"/>
      <c r="AE1259" s="19"/>
      <c r="AF1259" s="20"/>
      <c r="AG1259" s="21"/>
      <c r="AH1259" s="21"/>
      <c r="AI1259" s="19"/>
      <c r="AJ1259" s="29"/>
      <c r="AK1259" s="29"/>
      <c r="AL1259" s="29"/>
    </row>
    <row r="1260" spans="2:38" s="28" customFormat="1" x14ac:dyDescent="0.3">
      <c r="B1260" s="24"/>
      <c r="C1260" s="37"/>
      <c r="D1260" s="37"/>
      <c r="E1260" s="37"/>
      <c r="F1260" s="35"/>
      <c r="G1260" s="35"/>
      <c r="H1260" s="35"/>
      <c r="I1260" s="35"/>
      <c r="J1260" s="35"/>
      <c r="K1260" s="35"/>
      <c r="L1260" s="35"/>
      <c r="M1260" s="31"/>
      <c r="N1260" s="32"/>
      <c r="O1260" s="32"/>
      <c r="P1260" s="32"/>
      <c r="Q1260" s="32"/>
      <c r="R1260" s="32"/>
      <c r="S1260" s="32"/>
      <c r="T1260" s="32"/>
      <c r="U1260" s="29"/>
      <c r="V1260" s="29"/>
      <c r="W1260" s="24"/>
      <c r="X1260" s="18"/>
      <c r="Y1260" s="18"/>
      <c r="Z1260" s="18"/>
      <c r="AA1260" s="18"/>
      <c r="AB1260" s="18"/>
      <c r="AC1260" s="18"/>
      <c r="AD1260" s="18"/>
      <c r="AE1260" s="19"/>
      <c r="AF1260" s="20"/>
      <c r="AG1260" s="21"/>
      <c r="AH1260" s="21"/>
      <c r="AI1260" s="19"/>
      <c r="AJ1260" s="29"/>
      <c r="AK1260" s="29"/>
      <c r="AL1260" s="29"/>
    </row>
    <row r="1261" spans="2:38" s="28" customFormat="1" x14ac:dyDescent="0.3">
      <c r="B1261" s="24"/>
      <c r="C1261" s="37"/>
      <c r="D1261" s="37"/>
      <c r="E1261" s="37"/>
      <c r="F1261" s="35"/>
      <c r="G1261" s="35"/>
      <c r="H1261" s="35"/>
      <c r="I1261" s="35"/>
      <c r="J1261" s="35"/>
      <c r="K1261" s="35"/>
      <c r="L1261" s="35"/>
      <c r="M1261" s="31"/>
      <c r="N1261" s="32"/>
      <c r="O1261" s="32"/>
      <c r="P1261" s="32"/>
      <c r="Q1261" s="32"/>
      <c r="R1261" s="32"/>
      <c r="S1261" s="32"/>
      <c r="T1261" s="32"/>
      <c r="U1261" s="29"/>
      <c r="V1261" s="29"/>
      <c r="W1261" s="24"/>
      <c r="X1261" s="18"/>
      <c r="Y1261" s="18"/>
      <c r="Z1261" s="18"/>
      <c r="AA1261" s="18"/>
      <c r="AB1261" s="18"/>
      <c r="AC1261" s="18"/>
      <c r="AD1261" s="18"/>
      <c r="AE1261" s="19"/>
      <c r="AF1261" s="20"/>
      <c r="AG1261" s="21"/>
      <c r="AH1261" s="21"/>
      <c r="AI1261" s="19"/>
      <c r="AJ1261" s="29"/>
      <c r="AK1261" s="29"/>
      <c r="AL1261" s="29"/>
    </row>
    <row r="1262" spans="2:38" s="28" customFormat="1" x14ac:dyDescent="0.3">
      <c r="B1262" s="24"/>
      <c r="C1262" s="37"/>
      <c r="D1262" s="37"/>
      <c r="E1262" s="37"/>
      <c r="F1262" s="35"/>
      <c r="G1262" s="35"/>
      <c r="H1262" s="35"/>
      <c r="I1262" s="35"/>
      <c r="J1262" s="35"/>
      <c r="K1262" s="35"/>
      <c r="L1262" s="35"/>
      <c r="M1262" s="31"/>
      <c r="N1262" s="32"/>
      <c r="O1262" s="32"/>
      <c r="P1262" s="32"/>
      <c r="Q1262" s="32"/>
      <c r="R1262" s="32"/>
      <c r="S1262" s="32"/>
      <c r="T1262" s="32"/>
      <c r="U1262" s="29"/>
      <c r="V1262" s="29"/>
      <c r="W1262" s="24"/>
      <c r="X1262" s="18"/>
      <c r="Y1262" s="18"/>
      <c r="Z1262" s="18"/>
      <c r="AA1262" s="18"/>
      <c r="AB1262" s="18"/>
      <c r="AC1262" s="18"/>
      <c r="AD1262" s="18"/>
      <c r="AE1262" s="19"/>
      <c r="AF1262" s="20"/>
      <c r="AG1262" s="21"/>
      <c r="AH1262" s="21"/>
      <c r="AI1262" s="19"/>
      <c r="AJ1262" s="29"/>
      <c r="AK1262" s="29"/>
      <c r="AL1262" s="29"/>
    </row>
    <row r="1263" spans="2:38" s="28" customFormat="1" x14ac:dyDescent="0.3">
      <c r="B1263" s="24"/>
      <c r="C1263" s="37"/>
      <c r="D1263" s="37"/>
      <c r="E1263" s="37"/>
      <c r="F1263" s="35"/>
      <c r="G1263" s="35"/>
      <c r="H1263" s="35"/>
      <c r="I1263" s="35"/>
      <c r="J1263" s="35"/>
      <c r="K1263" s="35"/>
      <c r="L1263" s="35"/>
      <c r="M1263" s="31"/>
      <c r="N1263" s="32"/>
      <c r="O1263" s="32"/>
      <c r="P1263" s="32"/>
      <c r="Q1263" s="32"/>
      <c r="R1263" s="32"/>
      <c r="S1263" s="32"/>
      <c r="T1263" s="32"/>
      <c r="U1263" s="29"/>
      <c r="V1263" s="29"/>
      <c r="W1263" s="24"/>
      <c r="X1263" s="18"/>
      <c r="Y1263" s="18"/>
      <c r="Z1263" s="18"/>
      <c r="AA1263" s="18"/>
      <c r="AB1263" s="18"/>
      <c r="AC1263" s="18"/>
      <c r="AD1263" s="18"/>
      <c r="AE1263" s="19"/>
      <c r="AF1263" s="20"/>
      <c r="AG1263" s="21"/>
      <c r="AH1263" s="21"/>
      <c r="AI1263" s="19"/>
      <c r="AJ1263" s="29"/>
      <c r="AK1263" s="29"/>
      <c r="AL1263" s="29"/>
    </row>
    <row r="1264" spans="2:38" s="28" customFormat="1" x14ac:dyDescent="0.3">
      <c r="B1264" s="24"/>
      <c r="C1264" s="37"/>
      <c r="D1264" s="37"/>
      <c r="E1264" s="37"/>
      <c r="F1264" s="35"/>
      <c r="G1264" s="35"/>
      <c r="H1264" s="35"/>
      <c r="I1264" s="35"/>
      <c r="J1264" s="35"/>
      <c r="K1264" s="35"/>
      <c r="L1264" s="35"/>
      <c r="M1264" s="31"/>
      <c r="N1264" s="32"/>
      <c r="O1264" s="32"/>
      <c r="P1264" s="32"/>
      <c r="Q1264" s="32"/>
      <c r="R1264" s="32"/>
      <c r="S1264" s="32"/>
      <c r="T1264" s="32"/>
      <c r="U1264" s="29"/>
      <c r="V1264" s="29"/>
      <c r="W1264" s="24"/>
      <c r="X1264" s="18"/>
      <c r="Y1264" s="18"/>
      <c r="Z1264" s="18"/>
      <c r="AA1264" s="18"/>
      <c r="AB1264" s="18"/>
      <c r="AC1264" s="18"/>
      <c r="AD1264" s="18"/>
      <c r="AE1264" s="19"/>
      <c r="AF1264" s="20"/>
      <c r="AG1264" s="21"/>
      <c r="AH1264" s="21"/>
      <c r="AI1264" s="19"/>
      <c r="AJ1264" s="29"/>
      <c r="AK1264" s="29"/>
      <c r="AL1264" s="29"/>
    </row>
    <row r="1265" spans="2:38" s="28" customFormat="1" x14ac:dyDescent="0.3">
      <c r="B1265" s="24"/>
      <c r="C1265" s="37"/>
      <c r="D1265" s="37"/>
      <c r="E1265" s="37"/>
      <c r="F1265" s="35"/>
      <c r="G1265" s="35"/>
      <c r="H1265" s="35"/>
      <c r="I1265" s="35"/>
      <c r="J1265" s="35"/>
      <c r="K1265" s="35"/>
      <c r="L1265" s="35"/>
      <c r="M1265" s="31"/>
      <c r="N1265" s="32"/>
      <c r="O1265" s="32"/>
      <c r="P1265" s="32"/>
      <c r="Q1265" s="32"/>
      <c r="R1265" s="32"/>
      <c r="S1265" s="32"/>
      <c r="T1265" s="32"/>
      <c r="U1265" s="29"/>
      <c r="V1265" s="29"/>
      <c r="W1265" s="24"/>
      <c r="X1265" s="18"/>
      <c r="Y1265" s="18"/>
      <c r="Z1265" s="18"/>
      <c r="AA1265" s="18"/>
      <c r="AB1265" s="18"/>
      <c r="AC1265" s="18"/>
      <c r="AD1265" s="18"/>
      <c r="AE1265" s="19"/>
      <c r="AF1265" s="20"/>
      <c r="AG1265" s="21"/>
      <c r="AH1265" s="21"/>
      <c r="AI1265" s="19"/>
      <c r="AJ1265" s="29"/>
      <c r="AK1265" s="29"/>
      <c r="AL1265" s="29"/>
    </row>
    <row r="1266" spans="2:38" s="28" customFormat="1" x14ac:dyDescent="0.3">
      <c r="B1266" s="24"/>
      <c r="C1266" s="37"/>
      <c r="D1266" s="37"/>
      <c r="E1266" s="37"/>
      <c r="F1266" s="35"/>
      <c r="G1266" s="35"/>
      <c r="H1266" s="35"/>
      <c r="I1266" s="35"/>
      <c r="J1266" s="35"/>
      <c r="K1266" s="35"/>
      <c r="L1266" s="35"/>
      <c r="M1266" s="31"/>
      <c r="N1266" s="32"/>
      <c r="O1266" s="32"/>
      <c r="P1266" s="32"/>
      <c r="Q1266" s="32"/>
      <c r="R1266" s="32"/>
      <c r="S1266" s="32"/>
      <c r="T1266" s="32"/>
      <c r="U1266" s="29"/>
      <c r="V1266" s="29"/>
      <c r="W1266" s="24"/>
      <c r="X1266" s="18"/>
      <c r="Y1266" s="18"/>
      <c r="Z1266" s="18"/>
      <c r="AA1266" s="18"/>
      <c r="AB1266" s="18"/>
      <c r="AC1266" s="18"/>
      <c r="AD1266" s="18"/>
      <c r="AE1266" s="19"/>
      <c r="AF1266" s="20"/>
      <c r="AG1266" s="21"/>
      <c r="AH1266" s="21"/>
      <c r="AI1266" s="19"/>
      <c r="AJ1266" s="29"/>
      <c r="AK1266" s="29"/>
      <c r="AL1266" s="29"/>
    </row>
    <row r="1267" spans="2:38" s="28" customFormat="1" x14ac:dyDescent="0.3">
      <c r="B1267" s="24"/>
      <c r="C1267" s="37"/>
      <c r="D1267" s="37"/>
      <c r="E1267" s="37"/>
      <c r="F1267" s="35"/>
      <c r="G1267" s="35"/>
      <c r="H1267" s="35"/>
      <c r="I1267" s="35"/>
      <c r="J1267" s="35"/>
      <c r="K1267" s="35"/>
      <c r="L1267" s="35"/>
      <c r="M1267" s="31"/>
      <c r="N1267" s="32"/>
      <c r="O1267" s="32"/>
      <c r="P1267" s="32"/>
      <c r="Q1267" s="32"/>
      <c r="R1267" s="32"/>
      <c r="S1267" s="32"/>
      <c r="T1267" s="32"/>
      <c r="U1267" s="29"/>
      <c r="V1267" s="29"/>
      <c r="W1267" s="24"/>
      <c r="X1267" s="18"/>
      <c r="Y1267" s="18"/>
      <c r="Z1267" s="18"/>
      <c r="AA1267" s="18"/>
      <c r="AB1267" s="18"/>
      <c r="AC1267" s="18"/>
      <c r="AD1267" s="18"/>
      <c r="AE1267" s="19"/>
      <c r="AF1267" s="20"/>
      <c r="AG1267" s="21"/>
      <c r="AH1267" s="21"/>
      <c r="AI1267" s="19"/>
      <c r="AJ1267" s="29"/>
      <c r="AK1267" s="29"/>
      <c r="AL1267" s="29"/>
    </row>
    <row r="1268" spans="2:38" s="28" customFormat="1" x14ac:dyDescent="0.3">
      <c r="B1268" s="24"/>
      <c r="C1268" s="37"/>
      <c r="D1268" s="37"/>
      <c r="E1268" s="37"/>
      <c r="F1268" s="35"/>
      <c r="G1268" s="35"/>
      <c r="H1268" s="35"/>
      <c r="I1268" s="35"/>
      <c r="J1268" s="35"/>
      <c r="K1268" s="35"/>
      <c r="L1268" s="35"/>
      <c r="M1268" s="31"/>
      <c r="N1268" s="32"/>
      <c r="O1268" s="32"/>
      <c r="P1268" s="32"/>
      <c r="Q1268" s="32"/>
      <c r="R1268" s="32"/>
      <c r="S1268" s="32"/>
      <c r="T1268" s="32"/>
      <c r="U1268" s="29"/>
      <c r="V1268" s="29"/>
      <c r="W1268" s="24"/>
      <c r="X1268" s="18"/>
      <c r="Y1268" s="18"/>
      <c r="Z1268" s="18"/>
      <c r="AA1268" s="18"/>
      <c r="AB1268" s="18"/>
      <c r="AC1268" s="18"/>
      <c r="AD1268" s="18"/>
      <c r="AE1268" s="19"/>
      <c r="AF1268" s="20"/>
      <c r="AG1268" s="21"/>
      <c r="AH1268" s="21"/>
      <c r="AI1268" s="19"/>
      <c r="AJ1268" s="29"/>
      <c r="AK1268" s="29"/>
      <c r="AL1268" s="29"/>
    </row>
    <row r="1269" spans="2:38" s="28" customFormat="1" x14ac:dyDescent="0.3">
      <c r="B1269" s="24"/>
      <c r="C1269" s="37"/>
      <c r="D1269" s="37"/>
      <c r="E1269" s="37"/>
      <c r="F1269" s="35"/>
      <c r="G1269" s="35"/>
      <c r="H1269" s="35"/>
      <c r="I1269" s="35"/>
      <c r="J1269" s="35"/>
      <c r="K1269" s="35"/>
      <c r="L1269" s="35"/>
      <c r="M1269" s="31"/>
      <c r="N1269" s="32"/>
      <c r="O1269" s="32"/>
      <c r="P1269" s="32"/>
      <c r="Q1269" s="32"/>
      <c r="R1269" s="32"/>
      <c r="S1269" s="32"/>
      <c r="T1269" s="32"/>
      <c r="U1269" s="29"/>
      <c r="V1269" s="29"/>
      <c r="W1269" s="24"/>
      <c r="X1269" s="18"/>
      <c r="Y1269" s="18"/>
      <c r="Z1269" s="18"/>
      <c r="AA1269" s="18"/>
      <c r="AB1269" s="18"/>
      <c r="AC1269" s="18"/>
      <c r="AD1269" s="18"/>
      <c r="AE1269" s="19"/>
      <c r="AF1269" s="20"/>
      <c r="AG1269" s="21"/>
      <c r="AH1269" s="21"/>
      <c r="AI1269" s="19"/>
      <c r="AJ1269" s="29"/>
      <c r="AK1269" s="29"/>
      <c r="AL1269" s="29"/>
    </row>
    <row r="1270" spans="2:38" s="28" customFormat="1" x14ac:dyDescent="0.3">
      <c r="B1270" s="24"/>
      <c r="C1270" s="37"/>
      <c r="D1270" s="37"/>
      <c r="E1270" s="37"/>
      <c r="F1270" s="35"/>
      <c r="G1270" s="35"/>
      <c r="H1270" s="35"/>
      <c r="I1270" s="35"/>
      <c r="J1270" s="35"/>
      <c r="K1270" s="35"/>
      <c r="L1270" s="35"/>
      <c r="M1270" s="31"/>
      <c r="N1270" s="32"/>
      <c r="O1270" s="32"/>
      <c r="P1270" s="32"/>
      <c r="Q1270" s="32"/>
      <c r="R1270" s="32"/>
      <c r="S1270" s="32"/>
      <c r="T1270" s="32"/>
      <c r="U1270" s="29"/>
      <c r="V1270" s="29"/>
      <c r="W1270" s="24"/>
      <c r="X1270" s="18"/>
      <c r="Y1270" s="18"/>
      <c r="Z1270" s="18"/>
      <c r="AA1270" s="18"/>
      <c r="AB1270" s="18"/>
      <c r="AC1270" s="18"/>
      <c r="AD1270" s="18"/>
      <c r="AE1270" s="19"/>
      <c r="AF1270" s="20"/>
      <c r="AG1270" s="21"/>
      <c r="AH1270" s="21"/>
      <c r="AI1270" s="19"/>
      <c r="AJ1270" s="29"/>
      <c r="AK1270" s="29"/>
      <c r="AL1270" s="29"/>
    </row>
    <row r="1271" spans="2:38" s="28" customFormat="1" x14ac:dyDescent="0.3">
      <c r="B1271" s="24"/>
      <c r="C1271" s="37"/>
      <c r="D1271" s="37"/>
      <c r="E1271" s="37"/>
      <c r="F1271" s="35"/>
      <c r="G1271" s="35"/>
      <c r="H1271" s="35"/>
      <c r="I1271" s="35"/>
      <c r="J1271" s="35"/>
      <c r="K1271" s="35"/>
      <c r="L1271" s="35"/>
      <c r="M1271" s="31"/>
      <c r="N1271" s="32"/>
      <c r="O1271" s="32"/>
      <c r="P1271" s="32"/>
      <c r="Q1271" s="32"/>
      <c r="R1271" s="32"/>
      <c r="S1271" s="32"/>
      <c r="T1271" s="32"/>
      <c r="U1271" s="29"/>
      <c r="V1271" s="29"/>
      <c r="W1271" s="24"/>
      <c r="X1271" s="18"/>
      <c r="Y1271" s="18"/>
      <c r="Z1271" s="18"/>
      <c r="AA1271" s="18"/>
      <c r="AB1271" s="18"/>
      <c r="AC1271" s="18"/>
      <c r="AD1271" s="18"/>
      <c r="AE1271" s="19"/>
      <c r="AF1271" s="20"/>
      <c r="AG1271" s="21"/>
      <c r="AH1271" s="21"/>
      <c r="AI1271" s="19"/>
      <c r="AJ1271" s="29"/>
      <c r="AK1271" s="29"/>
      <c r="AL1271" s="29"/>
    </row>
    <row r="1272" spans="2:38" s="28" customFormat="1" x14ac:dyDescent="0.3">
      <c r="B1272" s="24"/>
      <c r="C1272" s="37"/>
      <c r="D1272" s="37"/>
      <c r="E1272" s="37"/>
      <c r="F1272" s="35"/>
      <c r="G1272" s="35"/>
      <c r="H1272" s="35"/>
      <c r="I1272" s="35"/>
      <c r="J1272" s="35"/>
      <c r="K1272" s="35"/>
      <c r="L1272" s="35"/>
      <c r="M1272" s="31"/>
      <c r="N1272" s="32"/>
      <c r="O1272" s="32"/>
      <c r="P1272" s="32"/>
      <c r="Q1272" s="32"/>
      <c r="R1272" s="32"/>
      <c r="S1272" s="32"/>
      <c r="T1272" s="32"/>
      <c r="U1272" s="29"/>
      <c r="V1272" s="29"/>
      <c r="W1272" s="24"/>
      <c r="X1272" s="18"/>
      <c r="Y1272" s="18"/>
      <c r="Z1272" s="18"/>
      <c r="AA1272" s="18"/>
      <c r="AB1272" s="18"/>
      <c r="AC1272" s="18"/>
      <c r="AD1272" s="18"/>
      <c r="AE1272" s="19"/>
      <c r="AF1272" s="20"/>
      <c r="AG1272" s="21"/>
      <c r="AH1272" s="21"/>
      <c r="AI1272" s="19"/>
      <c r="AJ1272" s="29"/>
      <c r="AK1272" s="29"/>
      <c r="AL1272" s="29"/>
    </row>
    <row r="1273" spans="2:38" s="28" customFormat="1" x14ac:dyDescent="0.3">
      <c r="B1273" s="24"/>
      <c r="C1273" s="37"/>
      <c r="D1273" s="37"/>
      <c r="E1273" s="37"/>
      <c r="F1273" s="35"/>
      <c r="G1273" s="35"/>
      <c r="H1273" s="35"/>
      <c r="I1273" s="35"/>
      <c r="J1273" s="35"/>
      <c r="K1273" s="35"/>
      <c r="L1273" s="35"/>
      <c r="M1273" s="31"/>
      <c r="N1273" s="32"/>
      <c r="O1273" s="32"/>
      <c r="P1273" s="32"/>
      <c r="Q1273" s="32"/>
      <c r="R1273" s="32"/>
      <c r="S1273" s="32"/>
      <c r="T1273" s="32"/>
      <c r="U1273" s="29"/>
      <c r="V1273" s="29"/>
      <c r="W1273" s="24"/>
      <c r="X1273" s="18"/>
      <c r="Y1273" s="18"/>
      <c r="Z1273" s="18"/>
      <c r="AA1273" s="18"/>
      <c r="AB1273" s="18"/>
      <c r="AC1273" s="18"/>
      <c r="AD1273" s="18"/>
      <c r="AE1273" s="19"/>
      <c r="AF1273" s="20"/>
      <c r="AG1273" s="21"/>
      <c r="AH1273" s="21"/>
      <c r="AI1273" s="19"/>
      <c r="AJ1273" s="29"/>
      <c r="AK1273" s="29"/>
      <c r="AL1273" s="29"/>
    </row>
    <row r="1274" spans="2:38" s="28" customFormat="1" x14ac:dyDescent="0.3">
      <c r="B1274" s="24"/>
      <c r="C1274" s="37"/>
      <c r="D1274" s="37"/>
      <c r="E1274" s="37"/>
      <c r="F1274" s="35"/>
      <c r="G1274" s="35"/>
      <c r="H1274" s="35"/>
      <c r="I1274" s="35"/>
      <c r="J1274" s="35"/>
      <c r="K1274" s="35"/>
      <c r="L1274" s="35"/>
      <c r="M1274" s="31"/>
      <c r="N1274" s="32"/>
      <c r="O1274" s="32"/>
      <c r="P1274" s="32"/>
      <c r="Q1274" s="32"/>
      <c r="R1274" s="32"/>
      <c r="S1274" s="32"/>
      <c r="T1274" s="32"/>
      <c r="U1274" s="29"/>
      <c r="V1274" s="29"/>
      <c r="W1274" s="24"/>
      <c r="X1274" s="18"/>
      <c r="Y1274" s="18"/>
      <c r="Z1274" s="18"/>
      <c r="AA1274" s="18"/>
      <c r="AB1274" s="18"/>
      <c r="AC1274" s="18"/>
      <c r="AD1274" s="18"/>
      <c r="AE1274" s="19"/>
      <c r="AF1274" s="20"/>
      <c r="AG1274" s="21"/>
      <c r="AH1274" s="21"/>
      <c r="AI1274" s="19"/>
      <c r="AJ1274" s="29"/>
      <c r="AK1274" s="29"/>
      <c r="AL1274" s="29"/>
    </row>
    <row r="1275" spans="2:38" s="28" customFormat="1" x14ac:dyDescent="0.3">
      <c r="B1275" s="24"/>
      <c r="C1275" s="37"/>
      <c r="D1275" s="37"/>
      <c r="E1275" s="37"/>
      <c r="F1275" s="35"/>
      <c r="G1275" s="35"/>
      <c r="H1275" s="35"/>
      <c r="I1275" s="35"/>
      <c r="J1275" s="35"/>
      <c r="K1275" s="35"/>
      <c r="L1275" s="35"/>
      <c r="M1275" s="31"/>
      <c r="N1275" s="32"/>
      <c r="O1275" s="32"/>
      <c r="P1275" s="32"/>
      <c r="Q1275" s="32"/>
      <c r="R1275" s="32"/>
      <c r="S1275" s="32"/>
      <c r="T1275" s="32"/>
      <c r="U1275" s="29"/>
      <c r="V1275" s="29"/>
      <c r="W1275" s="24"/>
      <c r="X1275" s="18"/>
      <c r="Y1275" s="18"/>
      <c r="Z1275" s="18"/>
      <c r="AA1275" s="18"/>
      <c r="AB1275" s="18"/>
      <c r="AC1275" s="18"/>
      <c r="AD1275" s="18"/>
      <c r="AE1275" s="19"/>
      <c r="AF1275" s="20"/>
      <c r="AG1275" s="21"/>
      <c r="AH1275" s="21"/>
      <c r="AI1275" s="19"/>
      <c r="AJ1275" s="29"/>
      <c r="AK1275" s="29"/>
      <c r="AL1275" s="29"/>
    </row>
    <row r="1276" spans="2:38" s="28" customFormat="1" x14ac:dyDescent="0.3">
      <c r="B1276" s="24"/>
      <c r="C1276" s="37"/>
      <c r="D1276" s="37"/>
      <c r="E1276" s="37"/>
      <c r="F1276" s="35"/>
      <c r="G1276" s="35"/>
      <c r="H1276" s="35"/>
      <c r="I1276" s="35"/>
      <c r="J1276" s="35"/>
      <c r="K1276" s="35"/>
      <c r="L1276" s="35"/>
      <c r="M1276" s="31"/>
      <c r="N1276" s="32"/>
      <c r="O1276" s="32"/>
      <c r="P1276" s="32"/>
      <c r="Q1276" s="32"/>
      <c r="R1276" s="32"/>
      <c r="S1276" s="32"/>
      <c r="T1276" s="32"/>
      <c r="U1276" s="29"/>
      <c r="V1276" s="29"/>
      <c r="W1276" s="24"/>
      <c r="X1276" s="18"/>
      <c r="Y1276" s="18"/>
      <c r="Z1276" s="18"/>
      <c r="AA1276" s="18"/>
      <c r="AB1276" s="18"/>
      <c r="AC1276" s="18"/>
      <c r="AD1276" s="18"/>
      <c r="AE1276" s="19"/>
      <c r="AF1276" s="20"/>
      <c r="AG1276" s="21"/>
      <c r="AH1276" s="21"/>
      <c r="AI1276" s="19"/>
      <c r="AJ1276" s="29"/>
      <c r="AK1276" s="29"/>
      <c r="AL1276" s="29"/>
    </row>
    <row r="1277" spans="2:38" s="28" customFormat="1" x14ac:dyDescent="0.3">
      <c r="B1277" s="24"/>
      <c r="C1277" s="37"/>
      <c r="D1277" s="37"/>
      <c r="E1277" s="37"/>
      <c r="F1277" s="35"/>
      <c r="G1277" s="35"/>
      <c r="H1277" s="35"/>
      <c r="I1277" s="35"/>
      <c r="J1277" s="35"/>
      <c r="K1277" s="35"/>
      <c r="L1277" s="35"/>
      <c r="M1277" s="31"/>
      <c r="N1277" s="32"/>
      <c r="O1277" s="32"/>
      <c r="P1277" s="32"/>
      <c r="Q1277" s="32"/>
      <c r="R1277" s="32"/>
      <c r="S1277" s="32"/>
      <c r="T1277" s="32"/>
      <c r="U1277" s="29"/>
      <c r="V1277" s="29"/>
      <c r="W1277" s="24"/>
      <c r="X1277" s="18"/>
      <c r="Y1277" s="18"/>
      <c r="Z1277" s="18"/>
      <c r="AA1277" s="18"/>
      <c r="AB1277" s="18"/>
      <c r="AC1277" s="18"/>
      <c r="AD1277" s="18"/>
      <c r="AE1277" s="19"/>
      <c r="AF1277" s="20"/>
      <c r="AG1277" s="21"/>
      <c r="AH1277" s="21"/>
      <c r="AI1277" s="19"/>
      <c r="AJ1277" s="29"/>
      <c r="AK1277" s="29"/>
      <c r="AL1277" s="29"/>
    </row>
    <row r="1278" spans="2:38" s="28" customFormat="1" x14ac:dyDescent="0.3">
      <c r="B1278" s="24"/>
      <c r="C1278" s="37"/>
      <c r="D1278" s="37"/>
      <c r="E1278" s="37"/>
      <c r="F1278" s="35"/>
      <c r="G1278" s="35"/>
      <c r="H1278" s="35"/>
      <c r="I1278" s="35"/>
      <c r="J1278" s="35"/>
      <c r="K1278" s="35"/>
      <c r="L1278" s="35"/>
      <c r="M1278" s="31"/>
      <c r="N1278" s="32"/>
      <c r="O1278" s="32"/>
      <c r="P1278" s="32"/>
      <c r="Q1278" s="32"/>
      <c r="R1278" s="32"/>
      <c r="S1278" s="32"/>
      <c r="T1278" s="32"/>
      <c r="U1278" s="29"/>
      <c r="V1278" s="29"/>
      <c r="W1278" s="24"/>
      <c r="X1278" s="18"/>
      <c r="Y1278" s="18"/>
      <c r="Z1278" s="18"/>
      <c r="AA1278" s="18"/>
      <c r="AB1278" s="18"/>
      <c r="AC1278" s="18"/>
      <c r="AD1278" s="18"/>
      <c r="AE1278" s="19"/>
      <c r="AF1278" s="20"/>
      <c r="AG1278" s="21"/>
      <c r="AH1278" s="21"/>
      <c r="AI1278" s="19"/>
      <c r="AJ1278" s="29"/>
      <c r="AK1278" s="29"/>
      <c r="AL1278" s="29"/>
    </row>
    <row r="1279" spans="2:38" s="28" customFormat="1" x14ac:dyDescent="0.3">
      <c r="B1279" s="24"/>
      <c r="C1279" s="37"/>
      <c r="D1279" s="37"/>
      <c r="E1279" s="37"/>
      <c r="F1279" s="35"/>
      <c r="G1279" s="35"/>
      <c r="H1279" s="35"/>
      <c r="I1279" s="35"/>
      <c r="J1279" s="35"/>
      <c r="K1279" s="35"/>
      <c r="L1279" s="35"/>
      <c r="M1279" s="31"/>
      <c r="N1279" s="32"/>
      <c r="O1279" s="32"/>
      <c r="P1279" s="32"/>
      <c r="Q1279" s="32"/>
      <c r="R1279" s="32"/>
      <c r="S1279" s="32"/>
      <c r="T1279" s="32"/>
      <c r="U1279" s="29"/>
      <c r="V1279" s="29"/>
      <c r="W1279" s="24"/>
      <c r="X1279" s="18"/>
      <c r="Y1279" s="18"/>
      <c r="Z1279" s="18"/>
      <c r="AA1279" s="18"/>
      <c r="AB1279" s="18"/>
      <c r="AC1279" s="18"/>
      <c r="AD1279" s="18"/>
      <c r="AE1279" s="19"/>
      <c r="AF1279" s="20"/>
      <c r="AG1279" s="21"/>
      <c r="AH1279" s="21"/>
      <c r="AI1279" s="19"/>
      <c r="AJ1279" s="29"/>
      <c r="AK1279" s="29"/>
      <c r="AL1279" s="29"/>
    </row>
    <row r="1280" spans="2:38" s="28" customFormat="1" x14ac:dyDescent="0.3">
      <c r="B1280" s="24"/>
      <c r="C1280" s="37"/>
      <c r="D1280" s="37"/>
      <c r="E1280" s="37"/>
      <c r="F1280" s="35"/>
      <c r="G1280" s="35"/>
      <c r="H1280" s="35"/>
      <c r="I1280" s="35"/>
      <c r="J1280" s="35"/>
      <c r="K1280" s="35"/>
      <c r="L1280" s="35"/>
      <c r="M1280" s="31"/>
      <c r="N1280" s="32"/>
      <c r="O1280" s="32"/>
      <c r="P1280" s="32"/>
      <c r="Q1280" s="32"/>
      <c r="R1280" s="32"/>
      <c r="S1280" s="32"/>
      <c r="T1280" s="32"/>
      <c r="U1280" s="29"/>
      <c r="V1280" s="29"/>
      <c r="W1280" s="24"/>
      <c r="X1280" s="18"/>
      <c r="Y1280" s="18"/>
      <c r="Z1280" s="18"/>
      <c r="AA1280" s="18"/>
      <c r="AB1280" s="18"/>
      <c r="AC1280" s="18"/>
      <c r="AD1280" s="18"/>
      <c r="AE1280" s="19"/>
      <c r="AF1280" s="20"/>
      <c r="AG1280" s="21"/>
      <c r="AH1280" s="21"/>
      <c r="AI1280" s="19"/>
      <c r="AJ1280" s="29"/>
      <c r="AK1280" s="29"/>
      <c r="AL1280" s="29"/>
    </row>
    <row r="1281" spans="2:38" s="28" customFormat="1" x14ac:dyDescent="0.3">
      <c r="B1281" s="24"/>
      <c r="C1281" s="37"/>
      <c r="D1281" s="37"/>
      <c r="E1281" s="37"/>
      <c r="F1281" s="35"/>
      <c r="G1281" s="35"/>
      <c r="H1281" s="35"/>
      <c r="I1281" s="35"/>
      <c r="J1281" s="35"/>
      <c r="K1281" s="35"/>
      <c r="L1281" s="35"/>
      <c r="M1281" s="31"/>
      <c r="N1281" s="32"/>
      <c r="O1281" s="32"/>
      <c r="P1281" s="32"/>
      <c r="Q1281" s="32"/>
      <c r="R1281" s="32"/>
      <c r="S1281" s="32"/>
      <c r="T1281" s="32"/>
      <c r="U1281" s="29"/>
      <c r="V1281" s="29"/>
      <c r="W1281" s="24"/>
      <c r="X1281" s="18"/>
      <c r="Y1281" s="18"/>
      <c r="Z1281" s="18"/>
      <c r="AA1281" s="18"/>
      <c r="AB1281" s="18"/>
      <c r="AC1281" s="18"/>
      <c r="AD1281" s="18"/>
      <c r="AE1281" s="19"/>
      <c r="AF1281" s="20"/>
      <c r="AG1281" s="21"/>
      <c r="AH1281" s="21"/>
      <c r="AI1281" s="19"/>
      <c r="AJ1281" s="29"/>
      <c r="AK1281" s="29"/>
      <c r="AL1281" s="29"/>
    </row>
    <row r="1282" spans="2:38" s="28" customFormat="1" x14ac:dyDescent="0.3">
      <c r="B1282" s="24"/>
      <c r="C1282" s="37"/>
      <c r="D1282" s="37"/>
      <c r="E1282" s="37"/>
      <c r="F1282" s="35"/>
      <c r="G1282" s="35"/>
      <c r="H1282" s="35"/>
      <c r="I1282" s="35"/>
      <c r="J1282" s="35"/>
      <c r="K1282" s="35"/>
      <c r="L1282" s="35"/>
      <c r="M1282" s="31"/>
      <c r="N1282" s="32"/>
      <c r="O1282" s="32"/>
      <c r="P1282" s="32"/>
      <c r="Q1282" s="32"/>
      <c r="R1282" s="32"/>
      <c r="S1282" s="32"/>
      <c r="T1282" s="32"/>
      <c r="U1282" s="29"/>
      <c r="V1282" s="29"/>
      <c r="W1282" s="24"/>
      <c r="X1282" s="18"/>
      <c r="Y1282" s="18"/>
      <c r="Z1282" s="18"/>
      <c r="AA1282" s="18"/>
      <c r="AB1282" s="18"/>
      <c r="AC1282" s="18"/>
      <c r="AD1282" s="18"/>
      <c r="AE1282" s="19"/>
      <c r="AF1282" s="20"/>
      <c r="AG1282" s="21"/>
      <c r="AH1282" s="21"/>
      <c r="AI1282" s="19"/>
      <c r="AJ1282" s="29"/>
      <c r="AK1282" s="29"/>
      <c r="AL1282" s="29"/>
    </row>
    <row r="1283" spans="2:38" s="28" customFormat="1" x14ac:dyDescent="0.3">
      <c r="B1283" s="24"/>
      <c r="C1283" s="37"/>
      <c r="D1283" s="37"/>
      <c r="E1283" s="37"/>
      <c r="F1283" s="35"/>
      <c r="G1283" s="35"/>
      <c r="H1283" s="35"/>
      <c r="I1283" s="35"/>
      <c r="J1283" s="35"/>
      <c r="K1283" s="35"/>
      <c r="L1283" s="35"/>
      <c r="M1283" s="31"/>
      <c r="N1283" s="32"/>
      <c r="O1283" s="32"/>
      <c r="P1283" s="32"/>
      <c r="Q1283" s="32"/>
      <c r="R1283" s="32"/>
      <c r="S1283" s="32"/>
      <c r="T1283" s="32"/>
      <c r="U1283" s="29"/>
      <c r="V1283" s="29"/>
      <c r="W1283" s="24"/>
      <c r="X1283" s="18"/>
      <c r="Y1283" s="18"/>
      <c r="Z1283" s="18"/>
      <c r="AA1283" s="18"/>
      <c r="AB1283" s="18"/>
      <c r="AC1283" s="18"/>
      <c r="AD1283" s="18"/>
      <c r="AE1283" s="19"/>
      <c r="AF1283" s="20"/>
      <c r="AG1283" s="21"/>
      <c r="AH1283" s="21"/>
      <c r="AI1283" s="19"/>
      <c r="AJ1283" s="29"/>
      <c r="AK1283" s="29"/>
      <c r="AL1283" s="29"/>
    </row>
    <row r="1284" spans="2:38" s="28" customFormat="1" x14ac:dyDescent="0.3">
      <c r="B1284" s="24"/>
      <c r="C1284" s="37"/>
      <c r="D1284" s="37"/>
      <c r="E1284" s="37"/>
      <c r="F1284" s="35"/>
      <c r="G1284" s="35"/>
      <c r="H1284" s="35"/>
      <c r="I1284" s="35"/>
      <c r="J1284" s="35"/>
      <c r="K1284" s="35"/>
      <c r="L1284" s="35"/>
      <c r="M1284" s="31"/>
      <c r="N1284" s="32"/>
      <c r="O1284" s="32"/>
      <c r="P1284" s="32"/>
      <c r="Q1284" s="32"/>
      <c r="R1284" s="32"/>
      <c r="S1284" s="32"/>
      <c r="T1284" s="32"/>
      <c r="U1284" s="29"/>
      <c r="V1284" s="29"/>
      <c r="W1284" s="24"/>
      <c r="X1284" s="18"/>
      <c r="Y1284" s="18"/>
      <c r="Z1284" s="18"/>
      <c r="AA1284" s="18"/>
      <c r="AB1284" s="18"/>
      <c r="AC1284" s="18"/>
      <c r="AD1284" s="18"/>
      <c r="AE1284" s="19"/>
      <c r="AF1284" s="20"/>
      <c r="AG1284" s="21"/>
      <c r="AH1284" s="21"/>
      <c r="AI1284" s="19"/>
      <c r="AJ1284" s="29"/>
      <c r="AK1284" s="29"/>
      <c r="AL1284" s="29"/>
    </row>
    <row r="1285" spans="2:38" s="28" customFormat="1" x14ac:dyDescent="0.3">
      <c r="B1285" s="24"/>
      <c r="C1285" s="37"/>
      <c r="D1285" s="37"/>
      <c r="E1285" s="37"/>
      <c r="F1285" s="35"/>
      <c r="G1285" s="35"/>
      <c r="H1285" s="35"/>
      <c r="I1285" s="35"/>
      <c r="J1285" s="35"/>
      <c r="K1285" s="35"/>
      <c r="L1285" s="35"/>
      <c r="M1285" s="31"/>
      <c r="N1285" s="32"/>
      <c r="O1285" s="32"/>
      <c r="P1285" s="32"/>
      <c r="Q1285" s="32"/>
      <c r="R1285" s="32"/>
      <c r="S1285" s="32"/>
      <c r="T1285" s="32"/>
      <c r="U1285" s="29"/>
      <c r="V1285" s="29"/>
      <c r="W1285" s="24"/>
      <c r="X1285" s="18"/>
      <c r="Y1285" s="18"/>
      <c r="Z1285" s="18"/>
      <c r="AA1285" s="18"/>
      <c r="AB1285" s="18"/>
      <c r="AC1285" s="18"/>
      <c r="AD1285" s="18"/>
      <c r="AE1285" s="19"/>
      <c r="AF1285" s="20"/>
      <c r="AG1285" s="21"/>
      <c r="AH1285" s="21"/>
      <c r="AI1285" s="19"/>
      <c r="AJ1285" s="29"/>
      <c r="AK1285" s="29"/>
      <c r="AL1285" s="29"/>
    </row>
    <row r="1286" spans="2:38" s="28" customFormat="1" x14ac:dyDescent="0.3">
      <c r="B1286" s="24"/>
      <c r="C1286" s="37"/>
      <c r="D1286" s="37"/>
      <c r="E1286" s="37"/>
      <c r="F1286" s="35"/>
      <c r="G1286" s="35"/>
      <c r="H1286" s="35"/>
      <c r="I1286" s="35"/>
      <c r="J1286" s="35"/>
      <c r="K1286" s="35"/>
      <c r="L1286" s="35"/>
      <c r="M1286" s="31"/>
      <c r="N1286" s="32"/>
      <c r="O1286" s="32"/>
      <c r="P1286" s="32"/>
      <c r="Q1286" s="32"/>
      <c r="R1286" s="32"/>
      <c r="S1286" s="32"/>
      <c r="T1286" s="32"/>
      <c r="U1286" s="29"/>
      <c r="V1286" s="29"/>
      <c r="W1286" s="24"/>
      <c r="X1286" s="18"/>
      <c r="Y1286" s="18"/>
      <c r="Z1286" s="18"/>
      <c r="AA1286" s="18"/>
      <c r="AB1286" s="18"/>
      <c r="AC1286" s="18"/>
      <c r="AD1286" s="18"/>
      <c r="AE1286" s="19"/>
      <c r="AF1286" s="20"/>
      <c r="AG1286" s="21"/>
      <c r="AH1286" s="21"/>
      <c r="AI1286" s="19"/>
      <c r="AJ1286" s="29"/>
      <c r="AK1286" s="29"/>
      <c r="AL1286" s="29"/>
    </row>
    <row r="1287" spans="2:38" s="28" customFormat="1" x14ac:dyDescent="0.3">
      <c r="B1287" s="24"/>
      <c r="C1287" s="37"/>
      <c r="D1287" s="37"/>
      <c r="E1287" s="37"/>
      <c r="F1287" s="35"/>
      <c r="G1287" s="35"/>
      <c r="H1287" s="35"/>
      <c r="I1287" s="35"/>
      <c r="J1287" s="35"/>
      <c r="K1287" s="35"/>
      <c r="L1287" s="35"/>
      <c r="M1287" s="31"/>
      <c r="N1287" s="32"/>
      <c r="O1287" s="32"/>
      <c r="P1287" s="32"/>
      <c r="Q1287" s="32"/>
      <c r="R1287" s="32"/>
      <c r="S1287" s="32"/>
      <c r="T1287" s="32"/>
      <c r="U1287" s="29"/>
      <c r="V1287" s="29"/>
      <c r="W1287" s="24"/>
      <c r="X1287" s="18"/>
      <c r="Y1287" s="18"/>
      <c r="Z1287" s="18"/>
      <c r="AA1287" s="18"/>
      <c r="AB1287" s="18"/>
      <c r="AC1287" s="18"/>
      <c r="AD1287" s="18"/>
      <c r="AE1287" s="19"/>
      <c r="AF1287" s="20"/>
      <c r="AG1287" s="21"/>
      <c r="AH1287" s="21"/>
      <c r="AI1287" s="19"/>
      <c r="AJ1287" s="29"/>
      <c r="AK1287" s="29"/>
      <c r="AL1287" s="29"/>
    </row>
    <row r="1288" spans="2:38" s="28" customFormat="1" x14ac:dyDescent="0.3">
      <c r="B1288" s="24"/>
      <c r="C1288" s="37"/>
      <c r="D1288" s="37"/>
      <c r="E1288" s="37"/>
      <c r="F1288" s="35"/>
      <c r="G1288" s="35"/>
      <c r="H1288" s="35"/>
      <c r="I1288" s="35"/>
      <c r="J1288" s="35"/>
      <c r="K1288" s="35"/>
      <c r="L1288" s="35"/>
      <c r="M1288" s="31"/>
      <c r="N1288" s="32"/>
      <c r="O1288" s="32"/>
      <c r="P1288" s="32"/>
      <c r="Q1288" s="32"/>
      <c r="R1288" s="32"/>
      <c r="S1288" s="32"/>
      <c r="T1288" s="32"/>
      <c r="U1288" s="29"/>
      <c r="V1288" s="29"/>
      <c r="W1288" s="24"/>
      <c r="X1288" s="18"/>
      <c r="Y1288" s="18"/>
      <c r="Z1288" s="18"/>
      <c r="AA1288" s="18"/>
      <c r="AB1288" s="18"/>
      <c r="AC1288" s="18"/>
      <c r="AD1288" s="18"/>
      <c r="AE1288" s="19"/>
      <c r="AF1288" s="20"/>
      <c r="AG1288" s="21"/>
      <c r="AH1288" s="21"/>
      <c r="AI1288" s="19"/>
      <c r="AJ1288" s="29"/>
      <c r="AK1288" s="29"/>
      <c r="AL1288" s="29"/>
    </row>
    <row r="1289" spans="2:38" s="28" customFormat="1" x14ac:dyDescent="0.3">
      <c r="B1289" s="24"/>
      <c r="C1289" s="37"/>
      <c r="D1289" s="37"/>
      <c r="E1289" s="37"/>
      <c r="F1289" s="35"/>
      <c r="G1289" s="35"/>
      <c r="H1289" s="35"/>
      <c r="I1289" s="35"/>
      <c r="J1289" s="35"/>
      <c r="K1289" s="35"/>
      <c r="L1289" s="35"/>
      <c r="M1289" s="31"/>
      <c r="N1289" s="32"/>
      <c r="O1289" s="32"/>
      <c r="P1289" s="32"/>
      <c r="Q1289" s="32"/>
      <c r="R1289" s="32"/>
      <c r="S1289" s="32"/>
      <c r="T1289" s="32"/>
      <c r="U1289" s="29"/>
      <c r="V1289" s="29"/>
      <c r="W1289" s="24"/>
      <c r="X1289" s="18"/>
      <c r="Y1289" s="18"/>
      <c r="Z1289" s="18"/>
      <c r="AA1289" s="18"/>
      <c r="AB1289" s="18"/>
      <c r="AC1289" s="18"/>
      <c r="AD1289" s="18"/>
      <c r="AE1289" s="19"/>
      <c r="AF1289" s="20"/>
      <c r="AG1289" s="21"/>
      <c r="AH1289" s="21"/>
      <c r="AI1289" s="19"/>
      <c r="AJ1289" s="29"/>
      <c r="AK1289" s="29"/>
      <c r="AL1289" s="29"/>
    </row>
    <row r="1290" spans="2:38" s="28" customFormat="1" x14ac:dyDescent="0.3">
      <c r="B1290" s="24"/>
      <c r="C1290" s="37"/>
      <c r="D1290" s="37"/>
      <c r="E1290" s="37"/>
      <c r="F1290" s="35"/>
      <c r="G1290" s="35"/>
      <c r="H1290" s="35"/>
      <c r="I1290" s="35"/>
      <c r="J1290" s="35"/>
      <c r="K1290" s="35"/>
      <c r="L1290" s="35"/>
      <c r="M1290" s="31"/>
      <c r="N1290" s="32"/>
      <c r="O1290" s="32"/>
      <c r="P1290" s="32"/>
      <c r="Q1290" s="32"/>
      <c r="R1290" s="32"/>
      <c r="S1290" s="32"/>
      <c r="T1290" s="32"/>
      <c r="U1290" s="29"/>
      <c r="V1290" s="29"/>
      <c r="W1290" s="24"/>
      <c r="X1290" s="18"/>
      <c r="Y1290" s="18"/>
      <c r="Z1290" s="18"/>
      <c r="AA1290" s="18"/>
      <c r="AB1290" s="18"/>
      <c r="AC1290" s="18"/>
      <c r="AD1290" s="18"/>
      <c r="AE1290" s="19"/>
      <c r="AF1290" s="20"/>
      <c r="AG1290" s="21"/>
      <c r="AH1290" s="21"/>
      <c r="AI1290" s="19"/>
      <c r="AJ1290" s="29"/>
      <c r="AK1290" s="29"/>
      <c r="AL1290" s="29"/>
    </row>
    <row r="1291" spans="2:38" s="28" customFormat="1" x14ac:dyDescent="0.3">
      <c r="B1291" s="24"/>
      <c r="C1291" s="37"/>
      <c r="D1291" s="37"/>
      <c r="E1291" s="37"/>
      <c r="F1291" s="35"/>
      <c r="G1291" s="35"/>
      <c r="H1291" s="35"/>
      <c r="I1291" s="35"/>
      <c r="J1291" s="35"/>
      <c r="K1291" s="35"/>
      <c r="L1291" s="35"/>
      <c r="M1291" s="31"/>
      <c r="N1291" s="32"/>
      <c r="O1291" s="32"/>
      <c r="P1291" s="32"/>
      <c r="Q1291" s="32"/>
      <c r="R1291" s="32"/>
      <c r="S1291" s="32"/>
      <c r="T1291" s="32"/>
      <c r="U1291" s="29"/>
      <c r="V1291" s="29"/>
      <c r="W1291" s="24"/>
      <c r="X1291" s="18"/>
      <c r="Y1291" s="18"/>
      <c r="Z1291" s="18"/>
      <c r="AA1291" s="18"/>
      <c r="AB1291" s="18"/>
      <c r="AC1291" s="18"/>
      <c r="AD1291" s="18"/>
      <c r="AE1291" s="19"/>
      <c r="AF1291" s="20"/>
      <c r="AG1291" s="21"/>
      <c r="AH1291" s="21"/>
      <c r="AI1291" s="19"/>
      <c r="AJ1291" s="29"/>
      <c r="AK1291" s="29"/>
      <c r="AL1291" s="29"/>
    </row>
    <row r="1292" spans="2:38" s="28" customFormat="1" x14ac:dyDescent="0.3">
      <c r="B1292" s="24"/>
      <c r="C1292" s="37"/>
      <c r="D1292" s="37"/>
      <c r="E1292" s="37"/>
      <c r="F1292" s="35"/>
      <c r="G1292" s="35"/>
      <c r="H1292" s="35"/>
      <c r="I1292" s="35"/>
      <c r="J1292" s="35"/>
      <c r="K1292" s="35"/>
      <c r="L1292" s="35"/>
      <c r="M1292" s="31"/>
      <c r="N1292" s="32"/>
      <c r="O1292" s="32"/>
      <c r="P1292" s="32"/>
      <c r="Q1292" s="32"/>
      <c r="R1292" s="32"/>
      <c r="S1292" s="32"/>
      <c r="T1292" s="32"/>
      <c r="U1292" s="29"/>
      <c r="V1292" s="29"/>
      <c r="W1292" s="24"/>
      <c r="X1292" s="18"/>
      <c r="Y1292" s="18"/>
      <c r="Z1292" s="18"/>
      <c r="AA1292" s="18"/>
      <c r="AB1292" s="18"/>
      <c r="AC1292" s="18"/>
      <c r="AD1292" s="18"/>
      <c r="AE1292" s="19"/>
      <c r="AF1292" s="20"/>
      <c r="AG1292" s="21"/>
      <c r="AH1292" s="21"/>
      <c r="AI1292" s="19"/>
      <c r="AJ1292" s="29"/>
      <c r="AK1292" s="29"/>
      <c r="AL1292" s="29"/>
    </row>
    <row r="1293" spans="2:38" s="28" customFormat="1" x14ac:dyDescent="0.3">
      <c r="B1293" s="24"/>
      <c r="C1293" s="37"/>
      <c r="D1293" s="37"/>
      <c r="E1293" s="37"/>
      <c r="F1293" s="35"/>
      <c r="G1293" s="35"/>
      <c r="H1293" s="35"/>
      <c r="I1293" s="35"/>
      <c r="J1293" s="35"/>
      <c r="K1293" s="35"/>
      <c r="L1293" s="35"/>
      <c r="M1293" s="31"/>
      <c r="N1293" s="32"/>
      <c r="O1293" s="32"/>
      <c r="P1293" s="32"/>
      <c r="Q1293" s="32"/>
      <c r="R1293" s="32"/>
      <c r="S1293" s="32"/>
      <c r="T1293" s="32"/>
      <c r="U1293" s="29"/>
      <c r="V1293" s="29"/>
      <c r="W1293" s="24"/>
      <c r="X1293" s="18"/>
      <c r="Y1293" s="18"/>
      <c r="Z1293" s="18"/>
      <c r="AA1293" s="18"/>
      <c r="AB1293" s="18"/>
      <c r="AC1293" s="18"/>
      <c r="AD1293" s="18"/>
      <c r="AE1293" s="19"/>
      <c r="AF1293" s="20"/>
      <c r="AG1293" s="21"/>
      <c r="AH1293" s="21"/>
      <c r="AI1293" s="19"/>
      <c r="AJ1293" s="29"/>
      <c r="AK1293" s="29"/>
      <c r="AL1293" s="29"/>
    </row>
    <row r="1294" spans="2:38" s="28" customFormat="1" x14ac:dyDescent="0.3">
      <c r="B1294" s="24"/>
      <c r="C1294" s="37"/>
      <c r="D1294" s="37"/>
      <c r="E1294" s="37"/>
      <c r="F1294" s="35"/>
      <c r="G1294" s="35"/>
      <c r="H1294" s="35"/>
      <c r="I1294" s="35"/>
      <c r="J1294" s="35"/>
      <c r="K1294" s="35"/>
      <c r="L1294" s="35"/>
      <c r="M1294" s="31"/>
      <c r="N1294" s="32"/>
      <c r="O1294" s="32"/>
      <c r="P1294" s="32"/>
      <c r="Q1294" s="32"/>
      <c r="R1294" s="32"/>
      <c r="S1294" s="32"/>
      <c r="T1294" s="32"/>
      <c r="U1294" s="29"/>
      <c r="V1294" s="29"/>
      <c r="W1294" s="24"/>
      <c r="X1294" s="18"/>
      <c r="Y1294" s="18"/>
      <c r="Z1294" s="18"/>
      <c r="AA1294" s="18"/>
      <c r="AB1294" s="18"/>
      <c r="AC1294" s="18"/>
      <c r="AD1294" s="18"/>
      <c r="AE1294" s="19"/>
      <c r="AF1294" s="20"/>
      <c r="AG1294" s="21"/>
      <c r="AH1294" s="21"/>
      <c r="AI1294" s="19"/>
      <c r="AJ1294" s="29"/>
      <c r="AK1294" s="29"/>
      <c r="AL1294" s="29"/>
    </row>
    <row r="1295" spans="2:38" s="28" customFormat="1" x14ac:dyDescent="0.3">
      <c r="B1295" s="24"/>
      <c r="C1295" s="37"/>
      <c r="D1295" s="37"/>
      <c r="E1295" s="37"/>
      <c r="F1295" s="35"/>
      <c r="G1295" s="35"/>
      <c r="H1295" s="35"/>
      <c r="I1295" s="35"/>
      <c r="J1295" s="35"/>
      <c r="K1295" s="35"/>
      <c r="L1295" s="35"/>
      <c r="M1295" s="31"/>
      <c r="N1295" s="32"/>
      <c r="O1295" s="32"/>
      <c r="P1295" s="32"/>
      <c r="Q1295" s="32"/>
      <c r="R1295" s="32"/>
      <c r="S1295" s="32"/>
      <c r="T1295" s="32"/>
      <c r="U1295" s="29"/>
      <c r="V1295" s="29"/>
      <c r="W1295" s="24"/>
      <c r="X1295" s="18"/>
      <c r="Y1295" s="18"/>
      <c r="Z1295" s="18"/>
      <c r="AA1295" s="18"/>
      <c r="AB1295" s="18"/>
      <c r="AC1295" s="18"/>
      <c r="AD1295" s="18"/>
      <c r="AE1295" s="19"/>
      <c r="AF1295" s="20"/>
      <c r="AG1295" s="21"/>
      <c r="AH1295" s="21"/>
      <c r="AI1295" s="19"/>
      <c r="AJ1295" s="29"/>
      <c r="AK1295" s="29"/>
      <c r="AL1295" s="29"/>
    </row>
    <row r="1296" spans="2:38" s="28" customFormat="1" x14ac:dyDescent="0.3">
      <c r="B1296" s="24"/>
      <c r="C1296" s="37"/>
      <c r="D1296" s="37"/>
      <c r="E1296" s="37"/>
      <c r="F1296" s="35"/>
      <c r="G1296" s="35"/>
      <c r="H1296" s="35"/>
      <c r="I1296" s="35"/>
      <c r="J1296" s="35"/>
      <c r="K1296" s="35"/>
      <c r="L1296" s="35"/>
      <c r="M1296" s="31"/>
      <c r="N1296" s="32"/>
      <c r="O1296" s="32"/>
      <c r="P1296" s="32"/>
      <c r="Q1296" s="32"/>
      <c r="R1296" s="32"/>
      <c r="S1296" s="32"/>
      <c r="T1296" s="32"/>
      <c r="U1296" s="29"/>
      <c r="V1296" s="29"/>
      <c r="W1296" s="24"/>
      <c r="X1296" s="18"/>
      <c r="Y1296" s="18"/>
      <c r="Z1296" s="18"/>
      <c r="AA1296" s="18"/>
      <c r="AB1296" s="18"/>
      <c r="AC1296" s="18"/>
      <c r="AD1296" s="18"/>
      <c r="AE1296" s="19"/>
      <c r="AF1296" s="20"/>
      <c r="AG1296" s="21"/>
      <c r="AH1296" s="21"/>
      <c r="AI1296" s="19"/>
      <c r="AJ1296" s="29"/>
      <c r="AK1296" s="29"/>
      <c r="AL1296" s="29"/>
    </row>
    <row r="1297" spans="2:38" s="28" customFormat="1" x14ac:dyDescent="0.3">
      <c r="B1297" s="24"/>
      <c r="C1297" s="37"/>
      <c r="D1297" s="37"/>
      <c r="E1297" s="37"/>
      <c r="F1297" s="35"/>
      <c r="G1297" s="35"/>
      <c r="H1297" s="35"/>
      <c r="I1297" s="35"/>
      <c r="J1297" s="35"/>
      <c r="K1297" s="35"/>
      <c r="L1297" s="35"/>
      <c r="M1297" s="31"/>
      <c r="N1297" s="32"/>
      <c r="O1297" s="32"/>
      <c r="P1297" s="32"/>
      <c r="Q1297" s="32"/>
      <c r="R1297" s="32"/>
      <c r="S1297" s="32"/>
      <c r="T1297" s="32"/>
      <c r="U1297" s="29"/>
      <c r="V1297" s="29"/>
      <c r="W1297" s="24"/>
      <c r="X1297" s="18"/>
      <c r="Y1297" s="18"/>
      <c r="Z1297" s="18"/>
      <c r="AA1297" s="18"/>
      <c r="AB1297" s="18"/>
      <c r="AC1297" s="18"/>
      <c r="AD1297" s="18"/>
      <c r="AE1297" s="19"/>
      <c r="AF1297" s="20"/>
      <c r="AG1297" s="21"/>
      <c r="AH1297" s="21"/>
      <c r="AI1297" s="19"/>
      <c r="AJ1297" s="29"/>
      <c r="AK1297" s="29"/>
      <c r="AL1297" s="29"/>
    </row>
    <row r="1298" spans="2:38" s="28" customFormat="1" x14ac:dyDescent="0.3">
      <c r="B1298" s="24"/>
      <c r="C1298" s="37"/>
      <c r="D1298" s="37"/>
      <c r="E1298" s="37"/>
      <c r="F1298" s="35"/>
      <c r="G1298" s="35"/>
      <c r="H1298" s="35"/>
      <c r="I1298" s="35"/>
      <c r="J1298" s="35"/>
      <c r="K1298" s="35"/>
      <c r="L1298" s="35"/>
      <c r="M1298" s="31"/>
      <c r="N1298" s="32"/>
      <c r="O1298" s="32"/>
      <c r="P1298" s="32"/>
      <c r="Q1298" s="32"/>
      <c r="R1298" s="32"/>
      <c r="S1298" s="32"/>
      <c r="T1298" s="32"/>
      <c r="U1298" s="29"/>
      <c r="V1298" s="29"/>
      <c r="W1298" s="24"/>
      <c r="X1298" s="18"/>
      <c r="Y1298" s="18"/>
      <c r="Z1298" s="18"/>
      <c r="AA1298" s="18"/>
      <c r="AB1298" s="18"/>
      <c r="AC1298" s="18"/>
      <c r="AD1298" s="18"/>
      <c r="AE1298" s="19"/>
      <c r="AF1298" s="20"/>
      <c r="AG1298" s="21"/>
      <c r="AH1298" s="21"/>
      <c r="AI1298" s="19"/>
      <c r="AJ1298" s="29"/>
      <c r="AK1298" s="29"/>
      <c r="AL1298" s="29"/>
    </row>
    <row r="1299" spans="2:38" s="28" customFormat="1" x14ac:dyDescent="0.3">
      <c r="B1299" s="24"/>
      <c r="C1299" s="37"/>
      <c r="D1299" s="37"/>
      <c r="E1299" s="37"/>
      <c r="F1299" s="35"/>
      <c r="G1299" s="35"/>
      <c r="H1299" s="35"/>
      <c r="I1299" s="35"/>
      <c r="J1299" s="35"/>
      <c r="K1299" s="35"/>
      <c r="L1299" s="35"/>
      <c r="M1299" s="31"/>
      <c r="N1299" s="32"/>
      <c r="O1299" s="32"/>
      <c r="P1299" s="32"/>
      <c r="Q1299" s="32"/>
      <c r="R1299" s="32"/>
      <c r="S1299" s="32"/>
      <c r="T1299" s="32"/>
      <c r="U1299" s="29"/>
      <c r="V1299" s="29"/>
      <c r="W1299" s="24"/>
      <c r="X1299" s="18"/>
      <c r="Y1299" s="18"/>
      <c r="Z1299" s="18"/>
      <c r="AA1299" s="18"/>
      <c r="AB1299" s="18"/>
      <c r="AC1299" s="18"/>
      <c r="AD1299" s="18"/>
      <c r="AE1299" s="19"/>
      <c r="AF1299" s="20"/>
      <c r="AG1299" s="21"/>
      <c r="AH1299" s="21"/>
      <c r="AI1299" s="19"/>
      <c r="AJ1299" s="29"/>
      <c r="AK1299" s="29"/>
      <c r="AL1299" s="29"/>
    </row>
    <row r="1300" spans="2:38" s="28" customFormat="1" x14ac:dyDescent="0.3">
      <c r="B1300" s="24"/>
      <c r="C1300" s="37"/>
      <c r="D1300" s="37"/>
      <c r="E1300" s="37"/>
      <c r="F1300" s="35"/>
      <c r="G1300" s="35"/>
      <c r="H1300" s="35"/>
      <c r="I1300" s="35"/>
      <c r="J1300" s="35"/>
      <c r="K1300" s="35"/>
      <c r="L1300" s="35"/>
      <c r="M1300" s="31"/>
      <c r="N1300" s="32"/>
      <c r="O1300" s="32"/>
      <c r="P1300" s="32"/>
      <c r="Q1300" s="32"/>
      <c r="R1300" s="32"/>
      <c r="S1300" s="32"/>
      <c r="T1300" s="32"/>
      <c r="U1300" s="29"/>
      <c r="V1300" s="29"/>
      <c r="W1300" s="24"/>
      <c r="X1300" s="18"/>
      <c r="Y1300" s="18"/>
      <c r="Z1300" s="18"/>
      <c r="AA1300" s="18"/>
      <c r="AB1300" s="18"/>
      <c r="AC1300" s="18"/>
      <c r="AD1300" s="18"/>
      <c r="AE1300" s="19"/>
      <c r="AF1300" s="20"/>
      <c r="AG1300" s="21"/>
      <c r="AH1300" s="21"/>
      <c r="AI1300" s="19"/>
      <c r="AJ1300" s="29"/>
      <c r="AK1300" s="29"/>
      <c r="AL1300" s="29"/>
    </row>
    <row r="1301" spans="2:38" s="28" customFormat="1" x14ac:dyDescent="0.3">
      <c r="B1301" s="24"/>
      <c r="C1301" s="37"/>
      <c r="D1301" s="37"/>
      <c r="E1301" s="37"/>
      <c r="F1301" s="35"/>
      <c r="G1301" s="35"/>
      <c r="H1301" s="35"/>
      <c r="I1301" s="35"/>
      <c r="J1301" s="35"/>
      <c r="K1301" s="35"/>
      <c r="L1301" s="35"/>
      <c r="M1301" s="31"/>
      <c r="N1301" s="32"/>
      <c r="O1301" s="32"/>
      <c r="P1301" s="32"/>
      <c r="Q1301" s="32"/>
      <c r="R1301" s="32"/>
      <c r="S1301" s="32"/>
      <c r="T1301" s="32"/>
      <c r="U1301" s="29"/>
      <c r="V1301" s="29"/>
      <c r="W1301" s="24"/>
      <c r="X1301" s="18"/>
      <c r="Y1301" s="18"/>
      <c r="Z1301" s="18"/>
      <c r="AA1301" s="18"/>
      <c r="AB1301" s="18"/>
      <c r="AC1301" s="18"/>
      <c r="AD1301" s="18"/>
      <c r="AE1301" s="19"/>
      <c r="AF1301" s="20"/>
      <c r="AG1301" s="21"/>
      <c r="AH1301" s="21"/>
      <c r="AI1301" s="19"/>
      <c r="AJ1301" s="29"/>
      <c r="AK1301" s="29"/>
      <c r="AL1301" s="29"/>
    </row>
    <row r="1302" spans="2:38" s="28" customFormat="1" x14ac:dyDescent="0.3">
      <c r="B1302" s="24"/>
      <c r="C1302" s="37"/>
      <c r="D1302" s="37"/>
      <c r="E1302" s="37"/>
      <c r="F1302" s="35"/>
      <c r="G1302" s="35"/>
      <c r="H1302" s="35"/>
      <c r="I1302" s="35"/>
      <c r="J1302" s="35"/>
      <c r="K1302" s="35"/>
      <c r="L1302" s="35"/>
      <c r="M1302" s="31"/>
      <c r="N1302" s="32"/>
      <c r="O1302" s="32"/>
      <c r="P1302" s="32"/>
      <c r="Q1302" s="32"/>
      <c r="R1302" s="32"/>
      <c r="S1302" s="32"/>
      <c r="T1302" s="32"/>
      <c r="U1302" s="29"/>
      <c r="V1302" s="29"/>
      <c r="W1302" s="24"/>
      <c r="X1302" s="18"/>
      <c r="Y1302" s="18"/>
      <c r="Z1302" s="18"/>
      <c r="AA1302" s="18"/>
      <c r="AB1302" s="18"/>
      <c r="AC1302" s="18"/>
      <c r="AD1302" s="18"/>
      <c r="AE1302" s="19"/>
      <c r="AF1302" s="20"/>
      <c r="AG1302" s="21"/>
      <c r="AH1302" s="21"/>
      <c r="AI1302" s="19"/>
      <c r="AJ1302" s="29"/>
      <c r="AK1302" s="29"/>
      <c r="AL1302" s="29"/>
    </row>
    <row r="1303" spans="2:38" s="28" customFormat="1" x14ac:dyDescent="0.3">
      <c r="B1303" s="24"/>
      <c r="C1303" s="37"/>
      <c r="D1303" s="37"/>
      <c r="E1303" s="37"/>
      <c r="F1303" s="35"/>
      <c r="G1303" s="35"/>
      <c r="H1303" s="35"/>
      <c r="I1303" s="35"/>
      <c r="J1303" s="35"/>
      <c r="K1303" s="35"/>
      <c r="L1303" s="35"/>
      <c r="M1303" s="31"/>
      <c r="N1303" s="32"/>
      <c r="O1303" s="32"/>
      <c r="P1303" s="32"/>
      <c r="Q1303" s="32"/>
      <c r="R1303" s="32"/>
      <c r="S1303" s="32"/>
      <c r="T1303" s="32"/>
      <c r="U1303" s="29"/>
      <c r="V1303" s="29"/>
      <c r="W1303" s="24"/>
      <c r="X1303" s="18"/>
      <c r="Y1303" s="18"/>
      <c r="Z1303" s="18"/>
      <c r="AA1303" s="18"/>
      <c r="AB1303" s="18"/>
      <c r="AC1303" s="18"/>
      <c r="AD1303" s="18"/>
      <c r="AE1303" s="19"/>
      <c r="AF1303" s="20"/>
      <c r="AG1303" s="21"/>
      <c r="AH1303" s="21"/>
      <c r="AI1303" s="19"/>
      <c r="AJ1303" s="29"/>
      <c r="AK1303" s="29"/>
      <c r="AL1303" s="29"/>
    </row>
    <row r="1304" spans="2:38" s="28" customFormat="1" x14ac:dyDescent="0.3">
      <c r="B1304" s="24"/>
      <c r="C1304" s="37"/>
      <c r="D1304" s="37"/>
      <c r="E1304" s="37"/>
      <c r="F1304" s="35"/>
      <c r="G1304" s="35"/>
      <c r="H1304" s="35"/>
      <c r="I1304" s="35"/>
      <c r="J1304" s="35"/>
      <c r="K1304" s="35"/>
      <c r="L1304" s="35"/>
      <c r="M1304" s="31"/>
      <c r="N1304" s="32"/>
      <c r="O1304" s="32"/>
      <c r="P1304" s="32"/>
      <c r="Q1304" s="32"/>
      <c r="R1304" s="32"/>
      <c r="S1304" s="32"/>
      <c r="T1304" s="32"/>
      <c r="U1304" s="29"/>
      <c r="V1304" s="29"/>
      <c r="W1304" s="24"/>
      <c r="X1304" s="18"/>
      <c r="Y1304" s="18"/>
      <c r="Z1304" s="18"/>
      <c r="AA1304" s="18"/>
      <c r="AB1304" s="18"/>
      <c r="AC1304" s="18"/>
      <c r="AD1304" s="18"/>
      <c r="AE1304" s="19"/>
      <c r="AF1304" s="20"/>
      <c r="AG1304" s="21"/>
      <c r="AH1304" s="21"/>
      <c r="AI1304" s="19"/>
      <c r="AJ1304" s="29"/>
      <c r="AK1304" s="29"/>
      <c r="AL1304" s="29"/>
    </row>
    <row r="1305" spans="2:38" s="28" customFormat="1" x14ac:dyDescent="0.3">
      <c r="B1305" s="24"/>
      <c r="C1305" s="37"/>
      <c r="D1305" s="37"/>
      <c r="E1305" s="37"/>
      <c r="F1305" s="35"/>
      <c r="G1305" s="35"/>
      <c r="H1305" s="35"/>
      <c r="I1305" s="35"/>
      <c r="J1305" s="35"/>
      <c r="K1305" s="35"/>
      <c r="L1305" s="35"/>
      <c r="M1305" s="31"/>
      <c r="N1305" s="32"/>
      <c r="O1305" s="32"/>
      <c r="P1305" s="32"/>
      <c r="Q1305" s="32"/>
      <c r="R1305" s="32"/>
      <c r="S1305" s="32"/>
      <c r="T1305" s="32"/>
      <c r="U1305" s="29"/>
      <c r="V1305" s="29"/>
      <c r="W1305" s="24"/>
      <c r="X1305" s="18"/>
      <c r="Y1305" s="18"/>
      <c r="Z1305" s="18"/>
      <c r="AA1305" s="18"/>
      <c r="AB1305" s="18"/>
      <c r="AC1305" s="18"/>
      <c r="AD1305" s="18"/>
      <c r="AE1305" s="19"/>
      <c r="AF1305" s="20"/>
      <c r="AG1305" s="21"/>
      <c r="AH1305" s="21"/>
      <c r="AI1305" s="19"/>
      <c r="AJ1305" s="29"/>
      <c r="AK1305" s="29"/>
      <c r="AL1305" s="29"/>
    </row>
    <row r="1306" spans="2:38" s="28" customFormat="1" x14ac:dyDescent="0.3">
      <c r="B1306" s="24"/>
      <c r="C1306" s="37"/>
      <c r="D1306" s="37"/>
      <c r="E1306" s="37"/>
      <c r="F1306" s="35"/>
      <c r="G1306" s="35"/>
      <c r="H1306" s="35"/>
      <c r="I1306" s="35"/>
      <c r="J1306" s="35"/>
      <c r="K1306" s="35"/>
      <c r="L1306" s="35"/>
      <c r="M1306" s="31"/>
      <c r="N1306" s="32"/>
      <c r="O1306" s="32"/>
      <c r="P1306" s="32"/>
      <c r="Q1306" s="32"/>
      <c r="R1306" s="32"/>
      <c r="S1306" s="32"/>
      <c r="T1306" s="32"/>
      <c r="U1306" s="29"/>
      <c r="V1306" s="29"/>
      <c r="W1306" s="24"/>
      <c r="X1306" s="18"/>
      <c r="Y1306" s="18"/>
      <c r="Z1306" s="18"/>
      <c r="AA1306" s="18"/>
      <c r="AB1306" s="18"/>
      <c r="AC1306" s="18"/>
      <c r="AD1306" s="18"/>
      <c r="AE1306" s="19"/>
      <c r="AF1306" s="20"/>
      <c r="AG1306" s="21"/>
      <c r="AH1306" s="21"/>
      <c r="AI1306" s="19"/>
      <c r="AJ1306" s="29"/>
      <c r="AK1306" s="29"/>
      <c r="AL1306" s="29"/>
    </row>
    <row r="1307" spans="2:38" s="28" customFormat="1" x14ac:dyDescent="0.3">
      <c r="B1307" s="24"/>
      <c r="C1307" s="37"/>
      <c r="D1307" s="37"/>
      <c r="E1307" s="37"/>
      <c r="F1307" s="35"/>
      <c r="G1307" s="35"/>
      <c r="H1307" s="35"/>
      <c r="I1307" s="35"/>
      <c r="J1307" s="35"/>
      <c r="K1307" s="35"/>
      <c r="L1307" s="35"/>
      <c r="M1307" s="31"/>
      <c r="N1307" s="32"/>
      <c r="O1307" s="32"/>
      <c r="P1307" s="32"/>
      <c r="Q1307" s="32"/>
      <c r="R1307" s="32"/>
      <c r="S1307" s="32"/>
      <c r="T1307" s="32"/>
      <c r="U1307" s="29"/>
      <c r="V1307" s="29"/>
      <c r="W1307" s="24"/>
      <c r="X1307" s="18"/>
      <c r="Y1307" s="18"/>
      <c r="Z1307" s="18"/>
      <c r="AA1307" s="18"/>
      <c r="AB1307" s="18"/>
      <c r="AC1307" s="18"/>
      <c r="AD1307" s="18"/>
      <c r="AE1307" s="19"/>
      <c r="AF1307" s="20"/>
      <c r="AG1307" s="21"/>
      <c r="AH1307" s="21"/>
      <c r="AI1307" s="19"/>
      <c r="AJ1307" s="29"/>
      <c r="AK1307" s="29"/>
      <c r="AL1307" s="29"/>
    </row>
    <row r="1308" spans="2:38" s="28" customFormat="1" x14ac:dyDescent="0.3">
      <c r="B1308" s="24"/>
      <c r="C1308" s="37"/>
      <c r="D1308" s="37"/>
      <c r="E1308" s="37"/>
      <c r="F1308" s="35"/>
      <c r="G1308" s="35"/>
      <c r="H1308" s="35"/>
      <c r="I1308" s="35"/>
      <c r="J1308" s="35"/>
      <c r="K1308" s="35"/>
      <c r="L1308" s="35"/>
      <c r="M1308" s="31"/>
      <c r="N1308" s="32"/>
      <c r="O1308" s="32"/>
      <c r="P1308" s="32"/>
      <c r="Q1308" s="32"/>
      <c r="R1308" s="32"/>
      <c r="S1308" s="32"/>
      <c r="T1308" s="32"/>
      <c r="U1308" s="29"/>
      <c r="V1308" s="29"/>
      <c r="W1308" s="24"/>
      <c r="X1308" s="18"/>
      <c r="Y1308" s="18"/>
      <c r="Z1308" s="18"/>
      <c r="AA1308" s="18"/>
      <c r="AB1308" s="18"/>
      <c r="AC1308" s="18"/>
      <c r="AD1308" s="18"/>
      <c r="AE1308" s="19"/>
      <c r="AF1308" s="20"/>
      <c r="AG1308" s="21"/>
      <c r="AH1308" s="21"/>
      <c r="AI1308" s="19"/>
      <c r="AJ1308" s="29"/>
      <c r="AK1308" s="29"/>
      <c r="AL1308" s="29"/>
    </row>
    <row r="1309" spans="2:38" s="28" customFormat="1" x14ac:dyDescent="0.3">
      <c r="B1309" s="24"/>
      <c r="C1309" s="37"/>
      <c r="D1309" s="37"/>
      <c r="E1309" s="37"/>
      <c r="F1309" s="35"/>
      <c r="G1309" s="35"/>
      <c r="H1309" s="35"/>
      <c r="I1309" s="35"/>
      <c r="J1309" s="35"/>
      <c r="K1309" s="35"/>
      <c r="L1309" s="35"/>
      <c r="M1309" s="31"/>
      <c r="N1309" s="32"/>
      <c r="O1309" s="32"/>
      <c r="P1309" s="32"/>
      <c r="Q1309" s="32"/>
      <c r="R1309" s="32"/>
      <c r="S1309" s="32"/>
      <c r="T1309" s="32"/>
      <c r="U1309" s="29"/>
      <c r="V1309" s="29"/>
      <c r="W1309" s="24"/>
      <c r="X1309" s="18"/>
      <c r="Y1309" s="18"/>
      <c r="Z1309" s="18"/>
      <c r="AA1309" s="18"/>
      <c r="AB1309" s="18"/>
      <c r="AC1309" s="18"/>
      <c r="AD1309" s="18"/>
      <c r="AE1309" s="19"/>
      <c r="AF1309" s="20"/>
      <c r="AG1309" s="21"/>
      <c r="AH1309" s="21"/>
      <c r="AI1309" s="19"/>
      <c r="AJ1309" s="29"/>
      <c r="AK1309" s="29"/>
      <c r="AL1309" s="29"/>
    </row>
    <row r="1310" spans="2:38" s="28" customFormat="1" x14ac:dyDescent="0.3">
      <c r="B1310" s="24"/>
      <c r="C1310" s="37"/>
      <c r="D1310" s="37"/>
      <c r="E1310" s="37"/>
      <c r="F1310" s="35"/>
      <c r="G1310" s="35"/>
      <c r="H1310" s="35"/>
      <c r="I1310" s="35"/>
      <c r="J1310" s="35"/>
      <c r="K1310" s="35"/>
      <c r="L1310" s="35"/>
      <c r="M1310" s="31"/>
      <c r="N1310" s="32"/>
      <c r="O1310" s="32"/>
      <c r="P1310" s="32"/>
      <c r="Q1310" s="32"/>
      <c r="R1310" s="32"/>
      <c r="S1310" s="32"/>
      <c r="T1310" s="32"/>
      <c r="U1310" s="29"/>
      <c r="V1310" s="29"/>
      <c r="W1310" s="24"/>
      <c r="X1310" s="18"/>
      <c r="Y1310" s="18"/>
      <c r="Z1310" s="18"/>
      <c r="AA1310" s="18"/>
      <c r="AB1310" s="18"/>
      <c r="AC1310" s="18"/>
      <c r="AD1310" s="18"/>
      <c r="AE1310" s="19"/>
      <c r="AF1310" s="20"/>
      <c r="AG1310" s="21"/>
      <c r="AH1310" s="21"/>
      <c r="AI1310" s="19"/>
      <c r="AJ1310" s="29"/>
      <c r="AK1310" s="29"/>
      <c r="AL1310" s="29"/>
    </row>
    <row r="1311" spans="2:38" s="28" customFormat="1" x14ac:dyDescent="0.3">
      <c r="B1311" s="24"/>
      <c r="C1311" s="37"/>
      <c r="D1311" s="37"/>
      <c r="E1311" s="37"/>
      <c r="F1311" s="35"/>
      <c r="G1311" s="35"/>
      <c r="H1311" s="35"/>
      <c r="I1311" s="35"/>
      <c r="J1311" s="35"/>
      <c r="K1311" s="35"/>
      <c r="L1311" s="35"/>
      <c r="M1311" s="31"/>
      <c r="N1311" s="32"/>
      <c r="O1311" s="32"/>
      <c r="P1311" s="32"/>
      <c r="Q1311" s="32"/>
      <c r="R1311" s="32"/>
      <c r="S1311" s="32"/>
      <c r="T1311" s="32"/>
      <c r="U1311" s="29"/>
      <c r="V1311" s="29"/>
      <c r="W1311" s="24"/>
      <c r="X1311" s="18"/>
      <c r="Y1311" s="18"/>
      <c r="Z1311" s="18"/>
      <c r="AA1311" s="18"/>
      <c r="AB1311" s="18"/>
      <c r="AC1311" s="18"/>
      <c r="AD1311" s="18"/>
      <c r="AE1311" s="19"/>
      <c r="AF1311" s="20"/>
      <c r="AG1311" s="21"/>
      <c r="AH1311" s="21"/>
      <c r="AI1311" s="19"/>
      <c r="AJ1311" s="29"/>
      <c r="AK1311" s="29"/>
      <c r="AL1311" s="29"/>
    </row>
    <row r="1312" spans="2:38" s="28" customFormat="1" x14ac:dyDescent="0.3">
      <c r="B1312" s="24"/>
      <c r="C1312" s="37"/>
      <c r="D1312" s="37"/>
      <c r="E1312" s="37"/>
      <c r="F1312" s="35"/>
      <c r="G1312" s="35"/>
      <c r="H1312" s="35"/>
      <c r="I1312" s="35"/>
      <c r="J1312" s="35"/>
      <c r="K1312" s="35"/>
      <c r="L1312" s="35"/>
      <c r="M1312" s="31"/>
      <c r="N1312" s="32"/>
      <c r="O1312" s="32"/>
      <c r="P1312" s="32"/>
      <c r="Q1312" s="32"/>
      <c r="R1312" s="32"/>
      <c r="S1312" s="32"/>
      <c r="T1312" s="32"/>
      <c r="U1312" s="29"/>
      <c r="V1312" s="29"/>
      <c r="W1312" s="24"/>
      <c r="X1312" s="18"/>
      <c r="Y1312" s="18"/>
      <c r="Z1312" s="18"/>
      <c r="AA1312" s="18"/>
      <c r="AB1312" s="18"/>
      <c r="AC1312" s="18"/>
      <c r="AD1312" s="18"/>
      <c r="AE1312" s="19"/>
      <c r="AF1312" s="20"/>
      <c r="AG1312" s="21"/>
      <c r="AH1312" s="21"/>
      <c r="AI1312" s="19"/>
      <c r="AJ1312" s="29"/>
      <c r="AK1312" s="29"/>
      <c r="AL1312" s="29"/>
    </row>
    <row r="1313" spans="2:38" s="28" customFormat="1" x14ac:dyDescent="0.3">
      <c r="B1313" s="24"/>
      <c r="C1313" s="37"/>
      <c r="D1313" s="37"/>
      <c r="E1313" s="37"/>
      <c r="F1313" s="35"/>
      <c r="G1313" s="35"/>
      <c r="H1313" s="35"/>
      <c r="I1313" s="35"/>
      <c r="J1313" s="35"/>
      <c r="K1313" s="35"/>
      <c r="L1313" s="35"/>
      <c r="M1313" s="31"/>
      <c r="N1313" s="32"/>
      <c r="O1313" s="32"/>
      <c r="P1313" s="32"/>
      <c r="Q1313" s="32"/>
      <c r="R1313" s="32"/>
      <c r="S1313" s="32"/>
      <c r="T1313" s="32"/>
      <c r="U1313" s="29"/>
      <c r="V1313" s="29"/>
      <c r="W1313" s="24"/>
      <c r="X1313" s="18"/>
      <c r="Y1313" s="18"/>
      <c r="Z1313" s="18"/>
      <c r="AA1313" s="18"/>
      <c r="AB1313" s="18"/>
      <c r="AC1313" s="18"/>
      <c r="AD1313" s="18"/>
      <c r="AE1313" s="19"/>
      <c r="AF1313" s="20"/>
      <c r="AG1313" s="21"/>
      <c r="AH1313" s="21"/>
      <c r="AI1313" s="19"/>
      <c r="AJ1313" s="29"/>
      <c r="AK1313" s="29"/>
      <c r="AL1313" s="29"/>
    </row>
    <row r="1314" spans="2:38" s="28" customFormat="1" x14ac:dyDescent="0.3">
      <c r="B1314" s="24"/>
      <c r="C1314" s="37"/>
      <c r="D1314" s="37"/>
      <c r="E1314" s="37"/>
      <c r="F1314" s="35"/>
      <c r="G1314" s="35"/>
      <c r="H1314" s="35"/>
      <c r="I1314" s="35"/>
      <c r="J1314" s="35"/>
      <c r="K1314" s="35"/>
      <c r="L1314" s="35"/>
      <c r="M1314" s="31"/>
      <c r="N1314" s="32"/>
      <c r="O1314" s="32"/>
      <c r="P1314" s="32"/>
      <c r="Q1314" s="32"/>
      <c r="R1314" s="32"/>
      <c r="S1314" s="32"/>
      <c r="T1314" s="32"/>
      <c r="U1314" s="29"/>
      <c r="V1314" s="29"/>
      <c r="W1314" s="24"/>
      <c r="X1314" s="18"/>
      <c r="Y1314" s="18"/>
      <c r="Z1314" s="18"/>
      <c r="AA1314" s="18"/>
      <c r="AB1314" s="18"/>
      <c r="AC1314" s="18"/>
      <c r="AD1314" s="18"/>
      <c r="AE1314" s="19"/>
      <c r="AF1314" s="20"/>
      <c r="AG1314" s="21"/>
      <c r="AH1314" s="21"/>
      <c r="AI1314" s="19"/>
      <c r="AJ1314" s="29"/>
      <c r="AK1314" s="29"/>
      <c r="AL1314" s="29"/>
    </row>
    <row r="1315" spans="2:38" s="28" customFormat="1" x14ac:dyDescent="0.3">
      <c r="B1315" s="24"/>
      <c r="C1315" s="37"/>
      <c r="D1315" s="37"/>
      <c r="E1315" s="37"/>
      <c r="F1315" s="35"/>
      <c r="G1315" s="35"/>
      <c r="H1315" s="35"/>
      <c r="I1315" s="35"/>
      <c r="J1315" s="35"/>
      <c r="K1315" s="35"/>
      <c r="L1315" s="35"/>
      <c r="M1315" s="31"/>
      <c r="N1315" s="32"/>
      <c r="O1315" s="32"/>
      <c r="P1315" s="32"/>
      <c r="Q1315" s="32"/>
      <c r="R1315" s="32"/>
      <c r="S1315" s="32"/>
      <c r="T1315" s="32"/>
      <c r="U1315" s="29"/>
      <c r="V1315" s="29"/>
      <c r="W1315" s="24"/>
      <c r="X1315" s="18"/>
      <c r="Y1315" s="18"/>
      <c r="Z1315" s="18"/>
      <c r="AA1315" s="18"/>
      <c r="AB1315" s="18"/>
      <c r="AC1315" s="18"/>
      <c r="AD1315" s="18"/>
      <c r="AE1315" s="19"/>
      <c r="AF1315" s="20"/>
      <c r="AG1315" s="21"/>
      <c r="AH1315" s="21"/>
      <c r="AI1315" s="19"/>
      <c r="AJ1315" s="29"/>
      <c r="AK1315" s="29"/>
      <c r="AL1315" s="29"/>
    </row>
    <row r="1316" spans="2:38" s="28" customFormat="1" x14ac:dyDescent="0.3">
      <c r="B1316" s="24"/>
      <c r="C1316" s="37"/>
      <c r="D1316" s="37"/>
      <c r="E1316" s="37"/>
      <c r="F1316" s="35"/>
      <c r="G1316" s="35"/>
      <c r="H1316" s="35"/>
      <c r="I1316" s="35"/>
      <c r="J1316" s="35"/>
      <c r="K1316" s="35"/>
      <c r="L1316" s="35"/>
      <c r="M1316" s="31"/>
      <c r="N1316" s="32"/>
      <c r="O1316" s="32"/>
      <c r="P1316" s="32"/>
      <c r="Q1316" s="32"/>
      <c r="R1316" s="32"/>
      <c r="S1316" s="32"/>
      <c r="T1316" s="32"/>
      <c r="U1316" s="29"/>
      <c r="V1316" s="29"/>
      <c r="W1316" s="24"/>
      <c r="X1316" s="18"/>
      <c r="Y1316" s="18"/>
      <c r="Z1316" s="18"/>
      <c r="AA1316" s="18"/>
      <c r="AB1316" s="18"/>
      <c r="AC1316" s="18"/>
      <c r="AD1316" s="18"/>
      <c r="AE1316" s="19"/>
      <c r="AF1316" s="20"/>
      <c r="AG1316" s="21"/>
      <c r="AH1316" s="21"/>
      <c r="AI1316" s="19"/>
      <c r="AJ1316" s="29"/>
      <c r="AK1316" s="29"/>
      <c r="AL1316" s="29"/>
    </row>
    <row r="1317" spans="2:38" s="28" customFormat="1" x14ac:dyDescent="0.3">
      <c r="B1317" s="24"/>
      <c r="C1317" s="37"/>
      <c r="D1317" s="37"/>
      <c r="E1317" s="37"/>
      <c r="F1317" s="35"/>
      <c r="G1317" s="35"/>
      <c r="H1317" s="35"/>
      <c r="I1317" s="35"/>
      <c r="J1317" s="35"/>
      <c r="K1317" s="35"/>
      <c r="L1317" s="35"/>
      <c r="M1317" s="31"/>
      <c r="N1317" s="32"/>
      <c r="O1317" s="32"/>
      <c r="P1317" s="32"/>
      <c r="Q1317" s="32"/>
      <c r="R1317" s="32"/>
      <c r="S1317" s="32"/>
      <c r="T1317" s="32"/>
      <c r="U1317" s="29"/>
      <c r="V1317" s="29"/>
      <c r="W1317" s="24"/>
      <c r="X1317" s="18"/>
      <c r="Y1317" s="18"/>
      <c r="Z1317" s="18"/>
      <c r="AA1317" s="18"/>
      <c r="AB1317" s="18"/>
      <c r="AC1317" s="18"/>
      <c r="AD1317" s="18"/>
      <c r="AE1317" s="19"/>
      <c r="AF1317" s="20"/>
      <c r="AG1317" s="21"/>
      <c r="AH1317" s="21"/>
      <c r="AI1317" s="19"/>
      <c r="AJ1317" s="29"/>
      <c r="AK1317" s="29"/>
      <c r="AL1317" s="29"/>
    </row>
    <row r="1318" spans="2:38" s="28" customFormat="1" x14ac:dyDescent="0.3">
      <c r="B1318" s="24"/>
      <c r="C1318" s="37"/>
      <c r="D1318" s="37"/>
      <c r="E1318" s="37"/>
      <c r="F1318" s="35"/>
      <c r="G1318" s="35"/>
      <c r="H1318" s="35"/>
      <c r="I1318" s="35"/>
      <c r="J1318" s="35"/>
      <c r="K1318" s="35"/>
      <c r="L1318" s="35"/>
      <c r="M1318" s="31"/>
      <c r="N1318" s="32"/>
      <c r="O1318" s="32"/>
      <c r="P1318" s="32"/>
      <c r="Q1318" s="32"/>
      <c r="R1318" s="32"/>
      <c r="S1318" s="32"/>
      <c r="T1318" s="32"/>
      <c r="U1318" s="29"/>
      <c r="V1318" s="29"/>
      <c r="W1318" s="24"/>
      <c r="X1318" s="18"/>
      <c r="Y1318" s="18"/>
      <c r="Z1318" s="18"/>
      <c r="AA1318" s="18"/>
      <c r="AB1318" s="18"/>
      <c r="AC1318" s="18"/>
      <c r="AD1318" s="18"/>
      <c r="AE1318" s="19"/>
      <c r="AF1318" s="20"/>
      <c r="AG1318" s="21"/>
      <c r="AH1318" s="21"/>
      <c r="AI1318" s="19"/>
      <c r="AJ1318" s="29"/>
      <c r="AK1318" s="29"/>
      <c r="AL1318" s="29"/>
    </row>
    <row r="1319" spans="2:38" s="28" customFormat="1" x14ac:dyDescent="0.3">
      <c r="B1319" s="24"/>
      <c r="C1319" s="37"/>
      <c r="D1319" s="37"/>
      <c r="E1319" s="37"/>
      <c r="F1319" s="35"/>
      <c r="G1319" s="35"/>
      <c r="H1319" s="35"/>
      <c r="I1319" s="35"/>
      <c r="J1319" s="35"/>
      <c r="K1319" s="35"/>
      <c r="L1319" s="35"/>
      <c r="M1319" s="31"/>
      <c r="N1319" s="32"/>
      <c r="O1319" s="32"/>
      <c r="P1319" s="32"/>
      <c r="Q1319" s="32"/>
      <c r="R1319" s="32"/>
      <c r="S1319" s="32"/>
      <c r="T1319" s="32"/>
      <c r="U1319" s="29"/>
      <c r="V1319" s="29"/>
      <c r="W1319" s="24"/>
      <c r="X1319" s="18"/>
      <c r="Y1319" s="18"/>
      <c r="Z1319" s="18"/>
      <c r="AA1319" s="18"/>
      <c r="AB1319" s="18"/>
      <c r="AC1319" s="18"/>
      <c r="AD1319" s="18"/>
      <c r="AE1319" s="19"/>
      <c r="AF1319" s="20"/>
      <c r="AG1319" s="21"/>
      <c r="AH1319" s="21"/>
      <c r="AI1319" s="19"/>
      <c r="AJ1319" s="29"/>
      <c r="AK1319" s="29"/>
      <c r="AL1319" s="29"/>
    </row>
    <row r="1320" spans="2:38" s="28" customFormat="1" x14ac:dyDescent="0.3">
      <c r="B1320" s="24"/>
      <c r="C1320" s="37"/>
      <c r="D1320" s="37"/>
      <c r="E1320" s="37"/>
      <c r="F1320" s="35"/>
      <c r="G1320" s="35"/>
      <c r="H1320" s="35"/>
      <c r="I1320" s="35"/>
      <c r="J1320" s="35"/>
      <c r="K1320" s="35"/>
      <c r="L1320" s="35"/>
      <c r="M1320" s="31"/>
      <c r="N1320" s="32"/>
      <c r="O1320" s="32"/>
      <c r="P1320" s="32"/>
      <c r="Q1320" s="32"/>
      <c r="R1320" s="32"/>
      <c r="S1320" s="32"/>
      <c r="T1320" s="32"/>
      <c r="U1320" s="29"/>
      <c r="V1320" s="29"/>
      <c r="W1320" s="24"/>
      <c r="X1320" s="18"/>
      <c r="Y1320" s="18"/>
      <c r="Z1320" s="18"/>
      <c r="AA1320" s="18"/>
      <c r="AB1320" s="18"/>
      <c r="AC1320" s="18"/>
      <c r="AD1320" s="18"/>
      <c r="AE1320" s="19"/>
      <c r="AF1320" s="20"/>
      <c r="AG1320" s="21"/>
      <c r="AH1320" s="21"/>
      <c r="AI1320" s="19"/>
      <c r="AJ1320" s="29"/>
      <c r="AK1320" s="29"/>
      <c r="AL1320" s="29"/>
    </row>
    <row r="1321" spans="2:38" s="28" customFormat="1" x14ac:dyDescent="0.3">
      <c r="B1321" s="24"/>
      <c r="C1321" s="37"/>
      <c r="D1321" s="37"/>
      <c r="E1321" s="37"/>
      <c r="F1321" s="35"/>
      <c r="G1321" s="35"/>
      <c r="H1321" s="35"/>
      <c r="I1321" s="35"/>
      <c r="J1321" s="35"/>
      <c r="K1321" s="35"/>
      <c r="L1321" s="35"/>
      <c r="M1321" s="31"/>
      <c r="N1321" s="32"/>
      <c r="O1321" s="32"/>
      <c r="P1321" s="32"/>
      <c r="Q1321" s="32"/>
      <c r="R1321" s="32"/>
      <c r="S1321" s="32"/>
      <c r="T1321" s="32"/>
      <c r="U1321" s="29"/>
      <c r="V1321" s="29"/>
      <c r="W1321" s="24"/>
      <c r="X1321" s="18"/>
      <c r="Y1321" s="18"/>
      <c r="Z1321" s="18"/>
      <c r="AA1321" s="18"/>
      <c r="AB1321" s="18"/>
      <c r="AC1321" s="18"/>
      <c r="AD1321" s="18"/>
      <c r="AE1321" s="19"/>
      <c r="AF1321" s="20"/>
      <c r="AG1321" s="21"/>
      <c r="AH1321" s="21"/>
      <c r="AI1321" s="19"/>
      <c r="AJ1321" s="29"/>
      <c r="AK1321" s="29"/>
      <c r="AL1321" s="29"/>
    </row>
    <row r="1322" spans="2:38" s="28" customFormat="1" x14ac:dyDescent="0.3">
      <c r="B1322" s="24"/>
      <c r="C1322" s="37"/>
      <c r="D1322" s="37"/>
      <c r="E1322" s="37"/>
      <c r="F1322" s="35"/>
      <c r="G1322" s="35"/>
      <c r="H1322" s="35"/>
      <c r="I1322" s="35"/>
      <c r="J1322" s="35"/>
      <c r="K1322" s="35"/>
      <c r="L1322" s="35"/>
      <c r="M1322" s="31"/>
      <c r="N1322" s="32"/>
      <c r="O1322" s="32"/>
      <c r="P1322" s="32"/>
      <c r="Q1322" s="32"/>
      <c r="R1322" s="32"/>
      <c r="S1322" s="32"/>
      <c r="T1322" s="32"/>
      <c r="U1322" s="29"/>
      <c r="V1322" s="29"/>
      <c r="W1322" s="24"/>
      <c r="X1322" s="18"/>
      <c r="Y1322" s="18"/>
      <c r="Z1322" s="18"/>
      <c r="AA1322" s="18"/>
      <c r="AB1322" s="18"/>
      <c r="AC1322" s="18"/>
      <c r="AD1322" s="18"/>
      <c r="AE1322" s="19"/>
      <c r="AF1322" s="20"/>
      <c r="AG1322" s="21"/>
      <c r="AH1322" s="21"/>
      <c r="AI1322" s="19"/>
      <c r="AJ1322" s="29"/>
      <c r="AK1322" s="29"/>
      <c r="AL1322" s="29"/>
    </row>
    <row r="1323" spans="2:38" s="28" customFormat="1" x14ac:dyDescent="0.3">
      <c r="B1323" s="24"/>
      <c r="C1323" s="37"/>
      <c r="D1323" s="37"/>
      <c r="E1323" s="37"/>
      <c r="F1323" s="35"/>
      <c r="G1323" s="35"/>
      <c r="H1323" s="35"/>
      <c r="I1323" s="35"/>
      <c r="J1323" s="35"/>
      <c r="K1323" s="35"/>
      <c r="L1323" s="35"/>
      <c r="M1323" s="31"/>
      <c r="N1323" s="32"/>
      <c r="O1323" s="32"/>
      <c r="P1323" s="32"/>
      <c r="Q1323" s="32"/>
      <c r="R1323" s="32"/>
      <c r="S1323" s="32"/>
      <c r="T1323" s="32"/>
      <c r="U1323" s="29"/>
      <c r="V1323" s="29"/>
      <c r="W1323" s="24"/>
      <c r="X1323" s="18"/>
      <c r="Y1323" s="18"/>
      <c r="Z1323" s="18"/>
      <c r="AA1323" s="18"/>
      <c r="AB1323" s="18"/>
      <c r="AC1323" s="18"/>
      <c r="AD1323" s="18"/>
      <c r="AE1323" s="19"/>
      <c r="AF1323" s="20"/>
      <c r="AG1323" s="21"/>
      <c r="AH1323" s="21"/>
      <c r="AI1323" s="19"/>
      <c r="AJ1323" s="29"/>
      <c r="AK1323" s="29"/>
      <c r="AL1323" s="29"/>
    </row>
    <row r="1324" spans="2:38" s="28" customFormat="1" x14ac:dyDescent="0.3">
      <c r="B1324" s="24"/>
      <c r="C1324" s="37"/>
      <c r="D1324" s="37"/>
      <c r="E1324" s="37"/>
      <c r="F1324" s="35"/>
      <c r="G1324" s="35"/>
      <c r="H1324" s="35"/>
      <c r="I1324" s="35"/>
      <c r="J1324" s="35"/>
      <c r="K1324" s="35"/>
      <c r="L1324" s="35"/>
      <c r="M1324" s="31"/>
      <c r="N1324" s="32"/>
      <c r="O1324" s="32"/>
      <c r="P1324" s="32"/>
      <c r="Q1324" s="32"/>
      <c r="R1324" s="32"/>
      <c r="S1324" s="32"/>
      <c r="T1324" s="32"/>
      <c r="U1324" s="29"/>
      <c r="V1324" s="29"/>
      <c r="W1324" s="24"/>
      <c r="X1324" s="18"/>
      <c r="Y1324" s="18"/>
      <c r="Z1324" s="18"/>
      <c r="AA1324" s="18"/>
      <c r="AB1324" s="18"/>
      <c r="AC1324" s="18"/>
      <c r="AD1324" s="18"/>
      <c r="AE1324" s="19"/>
      <c r="AF1324" s="20"/>
      <c r="AG1324" s="21"/>
      <c r="AH1324" s="21"/>
      <c r="AI1324" s="19"/>
      <c r="AJ1324" s="29"/>
      <c r="AK1324" s="29"/>
      <c r="AL1324" s="29"/>
    </row>
    <row r="1325" spans="2:38" s="28" customFormat="1" x14ac:dyDescent="0.3">
      <c r="B1325" s="24"/>
      <c r="C1325" s="37"/>
      <c r="D1325" s="37"/>
      <c r="E1325" s="37"/>
      <c r="F1325" s="35"/>
      <c r="G1325" s="35"/>
      <c r="H1325" s="35"/>
      <c r="I1325" s="35"/>
      <c r="J1325" s="35"/>
      <c r="K1325" s="35"/>
      <c r="L1325" s="35"/>
      <c r="M1325" s="31"/>
      <c r="N1325" s="32"/>
      <c r="O1325" s="32"/>
      <c r="P1325" s="32"/>
      <c r="Q1325" s="32"/>
      <c r="R1325" s="32"/>
      <c r="S1325" s="32"/>
      <c r="T1325" s="32"/>
      <c r="U1325" s="29"/>
      <c r="V1325" s="29"/>
      <c r="W1325" s="24"/>
      <c r="X1325" s="18"/>
      <c r="Y1325" s="18"/>
      <c r="Z1325" s="18"/>
      <c r="AA1325" s="18"/>
      <c r="AB1325" s="18"/>
      <c r="AC1325" s="18"/>
      <c r="AD1325" s="18"/>
      <c r="AE1325" s="19"/>
      <c r="AF1325" s="20"/>
      <c r="AG1325" s="21"/>
      <c r="AH1325" s="21"/>
      <c r="AI1325" s="19"/>
      <c r="AJ1325" s="29"/>
      <c r="AK1325" s="29"/>
      <c r="AL1325" s="29"/>
    </row>
    <row r="1326" spans="2:38" s="28" customFormat="1" x14ac:dyDescent="0.3">
      <c r="B1326" s="24"/>
      <c r="C1326" s="37"/>
      <c r="D1326" s="37"/>
      <c r="E1326" s="37"/>
      <c r="F1326" s="35"/>
      <c r="G1326" s="35"/>
      <c r="H1326" s="35"/>
      <c r="I1326" s="35"/>
      <c r="J1326" s="35"/>
      <c r="K1326" s="35"/>
      <c r="L1326" s="35"/>
      <c r="M1326" s="31"/>
      <c r="N1326" s="32"/>
      <c r="O1326" s="32"/>
      <c r="P1326" s="32"/>
      <c r="Q1326" s="32"/>
      <c r="R1326" s="32"/>
      <c r="S1326" s="32"/>
      <c r="T1326" s="32"/>
      <c r="U1326" s="29"/>
      <c r="V1326" s="29"/>
      <c r="W1326" s="24"/>
      <c r="X1326" s="18"/>
      <c r="Y1326" s="18"/>
      <c r="Z1326" s="18"/>
      <c r="AA1326" s="18"/>
      <c r="AB1326" s="18"/>
      <c r="AC1326" s="18"/>
      <c r="AD1326" s="18"/>
      <c r="AE1326" s="19"/>
      <c r="AF1326" s="20"/>
      <c r="AG1326" s="21"/>
      <c r="AH1326" s="21"/>
      <c r="AI1326" s="19"/>
      <c r="AJ1326" s="29"/>
      <c r="AK1326" s="29"/>
      <c r="AL1326" s="29"/>
    </row>
    <row r="1327" spans="2:38" s="28" customFormat="1" x14ac:dyDescent="0.3">
      <c r="B1327" s="24"/>
      <c r="C1327" s="37"/>
      <c r="D1327" s="37"/>
      <c r="E1327" s="37"/>
      <c r="F1327" s="35"/>
      <c r="G1327" s="35"/>
      <c r="H1327" s="35"/>
      <c r="I1327" s="35"/>
      <c r="J1327" s="35"/>
      <c r="K1327" s="35"/>
      <c r="L1327" s="35"/>
      <c r="M1327" s="31"/>
      <c r="N1327" s="32"/>
      <c r="O1327" s="32"/>
      <c r="P1327" s="32"/>
      <c r="Q1327" s="32"/>
      <c r="R1327" s="32"/>
      <c r="S1327" s="32"/>
      <c r="T1327" s="32"/>
      <c r="U1327" s="29"/>
      <c r="V1327" s="29"/>
      <c r="W1327" s="24"/>
      <c r="X1327" s="18"/>
      <c r="Y1327" s="18"/>
      <c r="Z1327" s="18"/>
      <c r="AA1327" s="18"/>
      <c r="AB1327" s="18"/>
      <c r="AC1327" s="18"/>
      <c r="AD1327" s="18"/>
      <c r="AE1327" s="19"/>
      <c r="AF1327" s="20"/>
      <c r="AG1327" s="21"/>
      <c r="AH1327" s="21"/>
      <c r="AI1327" s="19"/>
      <c r="AJ1327" s="29"/>
      <c r="AK1327" s="29"/>
      <c r="AL1327" s="29"/>
    </row>
    <row r="1328" spans="2:38" s="28" customFormat="1" x14ac:dyDescent="0.3">
      <c r="B1328" s="24"/>
      <c r="C1328" s="37"/>
      <c r="D1328" s="37"/>
      <c r="E1328" s="37"/>
      <c r="F1328" s="35"/>
      <c r="G1328" s="35"/>
      <c r="H1328" s="35"/>
      <c r="I1328" s="35"/>
      <c r="J1328" s="35"/>
      <c r="K1328" s="35"/>
      <c r="L1328" s="35"/>
      <c r="M1328" s="31"/>
      <c r="N1328" s="32"/>
      <c r="O1328" s="32"/>
      <c r="P1328" s="32"/>
      <c r="Q1328" s="32"/>
      <c r="R1328" s="32"/>
      <c r="S1328" s="32"/>
      <c r="T1328" s="32"/>
      <c r="U1328" s="29"/>
      <c r="V1328" s="29"/>
      <c r="W1328" s="24"/>
      <c r="X1328" s="18"/>
      <c r="Y1328" s="18"/>
      <c r="Z1328" s="18"/>
      <c r="AA1328" s="18"/>
      <c r="AB1328" s="18"/>
      <c r="AC1328" s="18"/>
      <c r="AD1328" s="18"/>
      <c r="AE1328" s="19"/>
      <c r="AF1328" s="20"/>
      <c r="AG1328" s="21"/>
      <c r="AH1328" s="21"/>
      <c r="AI1328" s="19"/>
      <c r="AJ1328" s="29"/>
      <c r="AK1328" s="29"/>
      <c r="AL1328" s="29"/>
    </row>
    <row r="1329" spans="2:38" s="28" customFormat="1" x14ac:dyDescent="0.3">
      <c r="B1329" s="24"/>
      <c r="C1329" s="37"/>
      <c r="D1329" s="37"/>
      <c r="E1329" s="37"/>
      <c r="F1329" s="35"/>
      <c r="G1329" s="35"/>
      <c r="H1329" s="35"/>
      <c r="I1329" s="35"/>
      <c r="J1329" s="35"/>
      <c r="K1329" s="35"/>
      <c r="L1329" s="35"/>
      <c r="M1329" s="31"/>
      <c r="N1329" s="32"/>
      <c r="O1329" s="32"/>
      <c r="P1329" s="32"/>
      <c r="Q1329" s="32"/>
      <c r="R1329" s="32"/>
      <c r="S1329" s="32"/>
      <c r="T1329" s="32"/>
      <c r="U1329" s="29"/>
      <c r="V1329" s="29"/>
      <c r="W1329" s="24"/>
      <c r="X1329" s="18"/>
      <c r="Y1329" s="18"/>
      <c r="Z1329" s="18"/>
      <c r="AA1329" s="18"/>
      <c r="AB1329" s="18"/>
      <c r="AC1329" s="18"/>
      <c r="AD1329" s="18"/>
      <c r="AE1329" s="19"/>
      <c r="AF1329" s="20"/>
      <c r="AG1329" s="21"/>
      <c r="AH1329" s="21"/>
      <c r="AI1329" s="19"/>
      <c r="AJ1329" s="29"/>
      <c r="AK1329" s="29"/>
      <c r="AL1329" s="29"/>
    </row>
    <row r="1330" spans="2:38" s="28" customFormat="1" x14ac:dyDescent="0.3">
      <c r="B1330" s="24"/>
      <c r="C1330" s="37"/>
      <c r="D1330" s="37"/>
      <c r="E1330" s="37"/>
      <c r="F1330" s="35"/>
      <c r="G1330" s="35"/>
      <c r="H1330" s="35"/>
      <c r="I1330" s="35"/>
      <c r="J1330" s="35"/>
      <c r="K1330" s="35"/>
      <c r="L1330" s="35"/>
      <c r="M1330" s="31"/>
      <c r="N1330" s="32"/>
      <c r="O1330" s="32"/>
      <c r="P1330" s="32"/>
      <c r="Q1330" s="32"/>
      <c r="R1330" s="32"/>
      <c r="S1330" s="32"/>
      <c r="T1330" s="32"/>
      <c r="U1330" s="29"/>
      <c r="V1330" s="29"/>
      <c r="W1330" s="24"/>
      <c r="X1330" s="18"/>
      <c r="Y1330" s="18"/>
      <c r="Z1330" s="18"/>
      <c r="AA1330" s="18"/>
      <c r="AB1330" s="18"/>
      <c r="AC1330" s="18"/>
      <c r="AD1330" s="18"/>
      <c r="AE1330" s="19"/>
      <c r="AF1330" s="20"/>
      <c r="AG1330" s="21"/>
      <c r="AH1330" s="21"/>
      <c r="AI1330" s="19"/>
      <c r="AJ1330" s="29"/>
      <c r="AK1330" s="29"/>
      <c r="AL1330" s="29"/>
    </row>
    <row r="1331" spans="2:38" s="28" customFormat="1" x14ac:dyDescent="0.3">
      <c r="B1331" s="24"/>
      <c r="C1331" s="37"/>
      <c r="D1331" s="37"/>
      <c r="E1331" s="37"/>
      <c r="F1331" s="35"/>
      <c r="G1331" s="35"/>
      <c r="H1331" s="35"/>
      <c r="I1331" s="35"/>
      <c r="J1331" s="35"/>
      <c r="K1331" s="35"/>
      <c r="L1331" s="35"/>
      <c r="M1331" s="31"/>
      <c r="N1331" s="32"/>
      <c r="O1331" s="32"/>
      <c r="P1331" s="32"/>
      <c r="Q1331" s="32"/>
      <c r="R1331" s="32"/>
      <c r="S1331" s="32"/>
      <c r="T1331" s="32"/>
      <c r="U1331" s="29"/>
      <c r="V1331" s="29"/>
      <c r="W1331" s="24"/>
      <c r="X1331" s="18"/>
      <c r="Y1331" s="18"/>
      <c r="Z1331" s="18"/>
      <c r="AA1331" s="18"/>
      <c r="AB1331" s="18"/>
      <c r="AC1331" s="18"/>
      <c r="AD1331" s="18"/>
      <c r="AE1331" s="19"/>
      <c r="AF1331" s="20"/>
      <c r="AG1331" s="21"/>
      <c r="AH1331" s="21"/>
      <c r="AI1331" s="19"/>
      <c r="AJ1331" s="29"/>
      <c r="AK1331" s="29"/>
      <c r="AL1331" s="29"/>
    </row>
    <row r="1332" spans="2:38" s="28" customFormat="1" x14ac:dyDescent="0.3">
      <c r="B1332" s="24"/>
      <c r="C1332" s="37"/>
      <c r="D1332" s="37"/>
      <c r="E1332" s="37"/>
      <c r="F1332" s="35"/>
      <c r="G1332" s="35"/>
      <c r="H1332" s="35"/>
      <c r="I1332" s="35"/>
      <c r="J1332" s="35"/>
      <c r="K1332" s="35"/>
      <c r="L1332" s="35"/>
      <c r="M1332" s="31"/>
      <c r="N1332" s="32"/>
      <c r="O1332" s="32"/>
      <c r="P1332" s="32"/>
      <c r="Q1332" s="32"/>
      <c r="R1332" s="32"/>
      <c r="S1332" s="32"/>
      <c r="T1332" s="32"/>
      <c r="U1332" s="29"/>
      <c r="V1332" s="29"/>
      <c r="W1332" s="24"/>
      <c r="X1332" s="18"/>
      <c r="Y1332" s="18"/>
      <c r="Z1332" s="18"/>
      <c r="AA1332" s="18"/>
      <c r="AB1332" s="18"/>
      <c r="AC1332" s="18"/>
      <c r="AD1332" s="18"/>
      <c r="AE1332" s="19"/>
      <c r="AF1332" s="20"/>
      <c r="AG1332" s="21"/>
      <c r="AH1332" s="21"/>
      <c r="AI1332" s="19"/>
      <c r="AJ1332" s="29"/>
      <c r="AK1332" s="29"/>
      <c r="AL1332" s="29"/>
    </row>
    <row r="1333" spans="2:38" s="28" customFormat="1" x14ac:dyDescent="0.3">
      <c r="B1333" s="24"/>
      <c r="C1333" s="37"/>
      <c r="D1333" s="37"/>
      <c r="E1333" s="37"/>
      <c r="F1333" s="35"/>
      <c r="G1333" s="35"/>
      <c r="H1333" s="35"/>
      <c r="I1333" s="35"/>
      <c r="J1333" s="35"/>
      <c r="K1333" s="35"/>
      <c r="L1333" s="35"/>
      <c r="M1333" s="31"/>
      <c r="N1333" s="32"/>
      <c r="O1333" s="32"/>
      <c r="P1333" s="32"/>
      <c r="Q1333" s="32"/>
      <c r="R1333" s="32"/>
      <c r="S1333" s="32"/>
      <c r="T1333" s="32"/>
      <c r="U1333" s="29"/>
      <c r="V1333" s="29"/>
      <c r="W1333" s="24"/>
      <c r="X1333" s="18"/>
      <c r="Y1333" s="18"/>
      <c r="Z1333" s="18"/>
      <c r="AA1333" s="18"/>
      <c r="AB1333" s="18"/>
      <c r="AC1333" s="18"/>
      <c r="AD1333" s="18"/>
      <c r="AE1333" s="19"/>
      <c r="AF1333" s="20"/>
      <c r="AG1333" s="21"/>
      <c r="AH1333" s="21"/>
      <c r="AI1333" s="19"/>
      <c r="AJ1333" s="29"/>
      <c r="AK1333" s="29"/>
      <c r="AL1333" s="29"/>
    </row>
    <row r="1334" spans="2:38" s="28" customFormat="1" x14ac:dyDescent="0.3">
      <c r="B1334" s="24"/>
      <c r="C1334" s="37"/>
      <c r="D1334" s="37"/>
      <c r="E1334" s="37"/>
      <c r="F1334" s="35"/>
      <c r="G1334" s="35"/>
      <c r="H1334" s="35"/>
      <c r="I1334" s="35"/>
      <c r="J1334" s="35"/>
      <c r="K1334" s="35"/>
      <c r="L1334" s="35"/>
      <c r="M1334" s="31"/>
      <c r="N1334" s="32"/>
      <c r="O1334" s="32"/>
      <c r="P1334" s="32"/>
      <c r="Q1334" s="32"/>
      <c r="R1334" s="32"/>
      <c r="S1334" s="32"/>
      <c r="T1334" s="32"/>
      <c r="U1334" s="29"/>
      <c r="V1334" s="29"/>
      <c r="W1334" s="24"/>
      <c r="X1334" s="18"/>
      <c r="Y1334" s="18"/>
      <c r="Z1334" s="18"/>
      <c r="AA1334" s="18"/>
      <c r="AB1334" s="18"/>
      <c r="AC1334" s="18"/>
      <c r="AD1334" s="18"/>
      <c r="AE1334" s="19"/>
      <c r="AF1334" s="20"/>
      <c r="AG1334" s="21"/>
      <c r="AH1334" s="21"/>
      <c r="AI1334" s="19"/>
      <c r="AJ1334" s="29"/>
      <c r="AK1334" s="29"/>
      <c r="AL1334" s="29"/>
    </row>
    <row r="1335" spans="2:38" s="28" customFormat="1" x14ac:dyDescent="0.3">
      <c r="B1335" s="24"/>
      <c r="C1335" s="37"/>
      <c r="D1335" s="37"/>
      <c r="E1335" s="37"/>
      <c r="F1335" s="35"/>
      <c r="G1335" s="35"/>
      <c r="H1335" s="35"/>
      <c r="I1335" s="35"/>
      <c r="J1335" s="35"/>
      <c r="K1335" s="35"/>
      <c r="L1335" s="35"/>
      <c r="M1335" s="31"/>
      <c r="N1335" s="32"/>
      <c r="O1335" s="32"/>
      <c r="P1335" s="32"/>
      <c r="Q1335" s="32"/>
      <c r="R1335" s="32"/>
      <c r="S1335" s="32"/>
      <c r="T1335" s="32"/>
      <c r="U1335" s="29"/>
      <c r="V1335" s="29"/>
      <c r="W1335" s="24"/>
      <c r="X1335" s="18"/>
      <c r="Y1335" s="18"/>
      <c r="Z1335" s="18"/>
      <c r="AA1335" s="18"/>
      <c r="AB1335" s="18"/>
      <c r="AC1335" s="18"/>
      <c r="AD1335" s="18"/>
      <c r="AE1335" s="19"/>
      <c r="AF1335" s="20"/>
      <c r="AG1335" s="21"/>
      <c r="AH1335" s="21"/>
      <c r="AI1335" s="19"/>
      <c r="AJ1335" s="29"/>
      <c r="AK1335" s="29"/>
      <c r="AL1335" s="29"/>
    </row>
    <row r="1336" spans="2:38" s="28" customFormat="1" x14ac:dyDescent="0.3">
      <c r="B1336" s="24"/>
      <c r="C1336" s="37"/>
      <c r="D1336" s="37"/>
      <c r="E1336" s="37"/>
      <c r="F1336" s="35"/>
      <c r="G1336" s="35"/>
      <c r="H1336" s="35"/>
      <c r="I1336" s="35"/>
      <c r="J1336" s="35"/>
      <c r="K1336" s="35"/>
      <c r="L1336" s="35"/>
      <c r="M1336" s="31"/>
      <c r="N1336" s="32"/>
      <c r="O1336" s="32"/>
      <c r="P1336" s="32"/>
      <c r="Q1336" s="32"/>
      <c r="R1336" s="32"/>
      <c r="S1336" s="32"/>
      <c r="T1336" s="32"/>
      <c r="U1336" s="29"/>
      <c r="V1336" s="29"/>
      <c r="W1336" s="24"/>
      <c r="X1336" s="18"/>
      <c r="Y1336" s="18"/>
      <c r="Z1336" s="18"/>
      <c r="AA1336" s="18"/>
      <c r="AB1336" s="18"/>
      <c r="AC1336" s="18"/>
      <c r="AD1336" s="18"/>
      <c r="AE1336" s="19"/>
      <c r="AF1336" s="20"/>
      <c r="AG1336" s="21"/>
      <c r="AH1336" s="21"/>
      <c r="AI1336" s="19"/>
      <c r="AJ1336" s="29"/>
      <c r="AK1336" s="29"/>
      <c r="AL1336" s="29"/>
    </row>
    <row r="1337" spans="2:38" s="28" customFormat="1" x14ac:dyDescent="0.3">
      <c r="B1337" s="24"/>
      <c r="C1337" s="37"/>
      <c r="D1337" s="37"/>
      <c r="E1337" s="37"/>
      <c r="F1337" s="35"/>
      <c r="G1337" s="35"/>
      <c r="H1337" s="35"/>
      <c r="I1337" s="35"/>
      <c r="J1337" s="35"/>
      <c r="K1337" s="35"/>
      <c r="L1337" s="35"/>
      <c r="M1337" s="31"/>
      <c r="N1337" s="32"/>
      <c r="O1337" s="32"/>
      <c r="P1337" s="32"/>
      <c r="Q1337" s="32"/>
      <c r="R1337" s="32"/>
      <c r="S1337" s="32"/>
      <c r="T1337" s="32"/>
      <c r="U1337" s="29"/>
      <c r="V1337" s="29"/>
      <c r="W1337" s="24"/>
      <c r="X1337" s="18"/>
      <c r="Y1337" s="18"/>
      <c r="Z1337" s="18"/>
      <c r="AA1337" s="18"/>
      <c r="AB1337" s="18"/>
      <c r="AC1337" s="18"/>
      <c r="AD1337" s="18"/>
      <c r="AE1337" s="19"/>
      <c r="AF1337" s="20"/>
      <c r="AG1337" s="21"/>
      <c r="AH1337" s="21"/>
      <c r="AI1337" s="19"/>
      <c r="AJ1337" s="29"/>
      <c r="AK1337" s="29"/>
      <c r="AL1337" s="29"/>
    </row>
    <row r="1338" spans="2:38" s="28" customFormat="1" x14ac:dyDescent="0.3">
      <c r="B1338" s="24"/>
      <c r="C1338" s="37"/>
      <c r="D1338" s="37"/>
      <c r="E1338" s="37"/>
      <c r="F1338" s="35"/>
      <c r="G1338" s="35"/>
      <c r="H1338" s="35"/>
      <c r="I1338" s="35"/>
      <c r="J1338" s="35"/>
      <c r="K1338" s="35"/>
      <c r="L1338" s="35"/>
      <c r="M1338" s="31"/>
      <c r="N1338" s="32"/>
      <c r="O1338" s="32"/>
      <c r="P1338" s="32"/>
      <c r="Q1338" s="32"/>
      <c r="R1338" s="32"/>
      <c r="S1338" s="32"/>
      <c r="T1338" s="32"/>
      <c r="U1338" s="29"/>
      <c r="V1338" s="29"/>
      <c r="W1338" s="24"/>
      <c r="X1338" s="18"/>
      <c r="Y1338" s="18"/>
      <c r="Z1338" s="18"/>
      <c r="AA1338" s="18"/>
      <c r="AB1338" s="18"/>
      <c r="AC1338" s="18"/>
      <c r="AD1338" s="18"/>
      <c r="AE1338" s="19"/>
      <c r="AF1338" s="20"/>
      <c r="AG1338" s="21"/>
      <c r="AH1338" s="21"/>
      <c r="AI1338" s="19"/>
      <c r="AJ1338" s="29"/>
      <c r="AK1338" s="29"/>
      <c r="AL1338" s="29"/>
    </row>
    <row r="1339" spans="2:38" s="28" customFormat="1" x14ac:dyDescent="0.3">
      <c r="B1339" s="24"/>
      <c r="C1339" s="37"/>
      <c r="D1339" s="37"/>
      <c r="E1339" s="37"/>
      <c r="F1339" s="35"/>
      <c r="G1339" s="35"/>
      <c r="H1339" s="35"/>
      <c r="I1339" s="35"/>
      <c r="J1339" s="35"/>
      <c r="K1339" s="35"/>
      <c r="L1339" s="35"/>
      <c r="M1339" s="31"/>
      <c r="N1339" s="32"/>
      <c r="O1339" s="32"/>
      <c r="P1339" s="32"/>
      <c r="Q1339" s="32"/>
      <c r="R1339" s="32"/>
      <c r="S1339" s="32"/>
      <c r="T1339" s="32"/>
      <c r="U1339" s="29"/>
      <c r="V1339" s="29"/>
      <c r="W1339" s="24"/>
      <c r="X1339" s="18"/>
      <c r="Y1339" s="18"/>
      <c r="Z1339" s="18"/>
      <c r="AA1339" s="18"/>
      <c r="AB1339" s="18"/>
      <c r="AC1339" s="18"/>
      <c r="AD1339" s="18"/>
      <c r="AE1339" s="19"/>
      <c r="AF1339" s="20"/>
      <c r="AG1339" s="21"/>
      <c r="AH1339" s="21"/>
      <c r="AI1339" s="19"/>
      <c r="AJ1339" s="29"/>
      <c r="AK1339" s="29"/>
      <c r="AL1339" s="29"/>
    </row>
    <row r="1340" spans="2:38" s="28" customFormat="1" x14ac:dyDescent="0.3">
      <c r="B1340" s="24"/>
      <c r="C1340" s="37"/>
      <c r="D1340" s="37"/>
      <c r="E1340" s="37"/>
      <c r="F1340" s="35"/>
      <c r="G1340" s="35"/>
      <c r="H1340" s="35"/>
      <c r="I1340" s="35"/>
      <c r="J1340" s="35"/>
      <c r="K1340" s="35"/>
      <c r="L1340" s="35"/>
      <c r="M1340" s="31"/>
      <c r="N1340" s="32"/>
      <c r="O1340" s="32"/>
      <c r="P1340" s="32"/>
      <c r="Q1340" s="32"/>
      <c r="R1340" s="32"/>
      <c r="S1340" s="32"/>
      <c r="T1340" s="32"/>
      <c r="U1340" s="29"/>
      <c r="V1340" s="29"/>
      <c r="W1340" s="24"/>
      <c r="X1340" s="18"/>
      <c r="Y1340" s="18"/>
      <c r="Z1340" s="18"/>
      <c r="AA1340" s="18"/>
      <c r="AB1340" s="18"/>
      <c r="AC1340" s="18"/>
      <c r="AD1340" s="18"/>
      <c r="AE1340" s="19"/>
      <c r="AF1340" s="20"/>
      <c r="AG1340" s="21"/>
      <c r="AH1340" s="21"/>
      <c r="AI1340" s="19"/>
      <c r="AJ1340" s="29"/>
      <c r="AK1340" s="29"/>
      <c r="AL1340" s="29"/>
    </row>
    <row r="1341" spans="2:38" s="28" customFormat="1" x14ac:dyDescent="0.3">
      <c r="B1341" s="24"/>
      <c r="C1341" s="37"/>
      <c r="D1341" s="37"/>
      <c r="E1341" s="37"/>
      <c r="F1341" s="35"/>
      <c r="G1341" s="35"/>
      <c r="H1341" s="35"/>
      <c r="I1341" s="35"/>
      <c r="J1341" s="35"/>
      <c r="K1341" s="35"/>
      <c r="L1341" s="35"/>
      <c r="M1341" s="31"/>
      <c r="N1341" s="32"/>
      <c r="O1341" s="32"/>
      <c r="P1341" s="32"/>
      <c r="Q1341" s="32"/>
      <c r="R1341" s="32"/>
      <c r="S1341" s="32"/>
      <c r="T1341" s="32"/>
      <c r="U1341" s="29"/>
      <c r="V1341" s="29"/>
      <c r="W1341" s="24"/>
      <c r="X1341" s="18"/>
      <c r="Y1341" s="18"/>
      <c r="Z1341" s="18"/>
      <c r="AA1341" s="18"/>
      <c r="AB1341" s="18"/>
      <c r="AC1341" s="18"/>
      <c r="AD1341" s="18"/>
      <c r="AE1341" s="19"/>
      <c r="AF1341" s="20"/>
      <c r="AG1341" s="21"/>
      <c r="AH1341" s="21"/>
      <c r="AI1341" s="19"/>
      <c r="AJ1341" s="29"/>
      <c r="AK1341" s="29"/>
      <c r="AL1341" s="29"/>
    </row>
    <row r="1342" spans="2:38" s="28" customFormat="1" x14ac:dyDescent="0.3">
      <c r="B1342" s="24"/>
      <c r="C1342" s="37"/>
      <c r="D1342" s="37"/>
      <c r="E1342" s="37"/>
      <c r="F1342" s="35"/>
      <c r="G1342" s="35"/>
      <c r="H1342" s="35"/>
      <c r="I1342" s="35"/>
      <c r="J1342" s="35"/>
      <c r="K1342" s="35"/>
      <c r="L1342" s="35"/>
      <c r="M1342" s="31"/>
      <c r="N1342" s="32"/>
      <c r="O1342" s="32"/>
      <c r="P1342" s="32"/>
      <c r="Q1342" s="32"/>
      <c r="R1342" s="32"/>
      <c r="S1342" s="32"/>
      <c r="T1342" s="32"/>
      <c r="U1342" s="29"/>
      <c r="V1342" s="29"/>
      <c r="W1342" s="24"/>
      <c r="X1342" s="18"/>
      <c r="Y1342" s="18"/>
      <c r="Z1342" s="18"/>
      <c r="AA1342" s="18"/>
      <c r="AB1342" s="18"/>
      <c r="AC1342" s="18"/>
      <c r="AD1342" s="18"/>
      <c r="AE1342" s="19"/>
      <c r="AF1342" s="20"/>
      <c r="AG1342" s="21"/>
      <c r="AH1342" s="21"/>
      <c r="AI1342" s="19"/>
      <c r="AJ1342" s="29"/>
      <c r="AK1342" s="29"/>
      <c r="AL1342" s="29"/>
    </row>
    <row r="1343" spans="2:38" s="28" customFormat="1" x14ac:dyDescent="0.3">
      <c r="B1343" s="24"/>
      <c r="C1343" s="37"/>
      <c r="D1343" s="37"/>
      <c r="E1343" s="37"/>
      <c r="F1343" s="35"/>
      <c r="G1343" s="35"/>
      <c r="H1343" s="35"/>
      <c r="I1343" s="35"/>
      <c r="J1343" s="35"/>
      <c r="K1343" s="35"/>
      <c r="L1343" s="35"/>
      <c r="M1343" s="31"/>
      <c r="N1343" s="32"/>
      <c r="O1343" s="32"/>
      <c r="P1343" s="32"/>
      <c r="Q1343" s="32"/>
      <c r="R1343" s="32"/>
      <c r="S1343" s="32"/>
      <c r="T1343" s="32"/>
      <c r="U1343" s="29"/>
      <c r="V1343" s="29"/>
      <c r="W1343" s="24"/>
      <c r="X1343" s="18"/>
      <c r="Y1343" s="18"/>
      <c r="Z1343" s="18"/>
      <c r="AA1343" s="18"/>
      <c r="AB1343" s="18"/>
      <c r="AC1343" s="18"/>
      <c r="AD1343" s="18"/>
      <c r="AE1343" s="19"/>
      <c r="AF1343" s="20"/>
      <c r="AG1343" s="21"/>
      <c r="AH1343" s="21"/>
      <c r="AI1343" s="19"/>
      <c r="AJ1343" s="29"/>
      <c r="AK1343" s="29"/>
      <c r="AL1343" s="29"/>
    </row>
    <row r="1344" spans="2:38" s="28" customFormat="1" x14ac:dyDescent="0.3">
      <c r="B1344" s="24"/>
      <c r="C1344" s="37"/>
      <c r="D1344" s="37"/>
      <c r="E1344" s="37"/>
      <c r="F1344" s="35"/>
      <c r="G1344" s="35"/>
      <c r="H1344" s="35"/>
      <c r="I1344" s="35"/>
      <c r="J1344" s="35"/>
      <c r="K1344" s="35"/>
      <c r="L1344" s="35"/>
      <c r="M1344" s="31"/>
      <c r="N1344" s="32"/>
      <c r="O1344" s="32"/>
      <c r="P1344" s="32"/>
      <c r="Q1344" s="32"/>
      <c r="R1344" s="32"/>
      <c r="S1344" s="32"/>
      <c r="T1344" s="32"/>
      <c r="U1344" s="29"/>
      <c r="V1344" s="29"/>
      <c r="W1344" s="24"/>
      <c r="X1344" s="18"/>
      <c r="Y1344" s="18"/>
      <c r="Z1344" s="18"/>
      <c r="AA1344" s="18"/>
      <c r="AB1344" s="18"/>
      <c r="AC1344" s="18"/>
      <c r="AD1344" s="18"/>
      <c r="AE1344" s="19"/>
      <c r="AF1344" s="20"/>
      <c r="AG1344" s="21"/>
      <c r="AH1344" s="21"/>
      <c r="AI1344" s="19"/>
      <c r="AJ1344" s="29"/>
      <c r="AK1344" s="29"/>
      <c r="AL1344" s="29"/>
    </row>
    <row r="1345" spans="2:38" s="28" customFormat="1" x14ac:dyDescent="0.3">
      <c r="B1345" s="24"/>
      <c r="C1345" s="37"/>
      <c r="D1345" s="37"/>
      <c r="E1345" s="37"/>
      <c r="F1345" s="35"/>
      <c r="G1345" s="35"/>
      <c r="H1345" s="35"/>
      <c r="I1345" s="35"/>
      <c r="J1345" s="35"/>
      <c r="K1345" s="35"/>
      <c r="L1345" s="35"/>
      <c r="M1345" s="31"/>
      <c r="N1345" s="32"/>
      <c r="O1345" s="32"/>
      <c r="P1345" s="32"/>
      <c r="Q1345" s="32"/>
      <c r="R1345" s="32"/>
      <c r="S1345" s="32"/>
      <c r="T1345" s="32"/>
      <c r="U1345" s="29"/>
      <c r="V1345" s="29"/>
      <c r="W1345" s="24"/>
      <c r="X1345" s="18"/>
      <c r="Y1345" s="18"/>
      <c r="Z1345" s="18"/>
      <c r="AA1345" s="18"/>
      <c r="AB1345" s="18"/>
      <c r="AC1345" s="18"/>
      <c r="AD1345" s="18"/>
      <c r="AE1345" s="19"/>
      <c r="AF1345" s="20"/>
      <c r="AG1345" s="21"/>
      <c r="AH1345" s="21"/>
      <c r="AI1345" s="19"/>
      <c r="AJ1345" s="29"/>
      <c r="AK1345" s="29"/>
      <c r="AL1345" s="29"/>
    </row>
    <row r="1346" spans="2:38" s="28" customFormat="1" x14ac:dyDescent="0.3">
      <c r="B1346" s="24"/>
      <c r="C1346" s="37"/>
      <c r="D1346" s="37"/>
      <c r="E1346" s="37"/>
      <c r="F1346" s="35"/>
      <c r="G1346" s="35"/>
      <c r="H1346" s="35"/>
      <c r="I1346" s="35"/>
      <c r="J1346" s="35"/>
      <c r="K1346" s="35"/>
      <c r="L1346" s="35"/>
      <c r="M1346" s="31"/>
      <c r="N1346" s="32"/>
      <c r="O1346" s="32"/>
      <c r="P1346" s="32"/>
      <c r="Q1346" s="32"/>
      <c r="R1346" s="32"/>
      <c r="S1346" s="32"/>
      <c r="T1346" s="32"/>
      <c r="U1346" s="29"/>
      <c r="V1346" s="29"/>
      <c r="W1346" s="24"/>
      <c r="X1346" s="18"/>
      <c r="Y1346" s="18"/>
      <c r="Z1346" s="18"/>
      <c r="AA1346" s="18"/>
      <c r="AB1346" s="18"/>
      <c r="AC1346" s="18"/>
      <c r="AD1346" s="18"/>
      <c r="AE1346" s="19"/>
      <c r="AF1346" s="20"/>
      <c r="AG1346" s="21"/>
      <c r="AH1346" s="21"/>
      <c r="AI1346" s="19"/>
      <c r="AJ1346" s="29"/>
      <c r="AK1346" s="29"/>
      <c r="AL1346" s="29"/>
    </row>
    <row r="1347" spans="2:38" s="28" customFormat="1" x14ac:dyDescent="0.3">
      <c r="B1347" s="24"/>
      <c r="C1347" s="37"/>
      <c r="D1347" s="37"/>
      <c r="E1347" s="37"/>
      <c r="F1347" s="35"/>
      <c r="G1347" s="35"/>
      <c r="H1347" s="35"/>
      <c r="I1347" s="35"/>
      <c r="J1347" s="35"/>
      <c r="K1347" s="35"/>
      <c r="L1347" s="35"/>
      <c r="M1347" s="31"/>
      <c r="N1347" s="32"/>
      <c r="O1347" s="32"/>
      <c r="P1347" s="32"/>
      <c r="Q1347" s="32"/>
      <c r="R1347" s="32"/>
      <c r="S1347" s="32"/>
      <c r="T1347" s="32"/>
      <c r="U1347" s="29"/>
      <c r="V1347" s="29"/>
      <c r="W1347" s="24"/>
      <c r="X1347" s="18"/>
      <c r="Y1347" s="18"/>
      <c r="Z1347" s="18"/>
      <c r="AA1347" s="18"/>
      <c r="AB1347" s="18"/>
      <c r="AC1347" s="18"/>
      <c r="AD1347" s="18"/>
      <c r="AE1347" s="19"/>
      <c r="AF1347" s="20"/>
      <c r="AG1347" s="21"/>
      <c r="AH1347" s="21"/>
      <c r="AI1347" s="19"/>
      <c r="AJ1347" s="29"/>
      <c r="AK1347" s="29"/>
      <c r="AL1347" s="29"/>
    </row>
    <row r="1348" spans="2:38" s="28" customFormat="1" x14ac:dyDescent="0.3">
      <c r="B1348" s="24"/>
      <c r="C1348" s="37"/>
      <c r="D1348" s="37"/>
      <c r="E1348" s="37"/>
      <c r="F1348" s="35"/>
      <c r="G1348" s="35"/>
      <c r="H1348" s="35"/>
      <c r="I1348" s="35"/>
      <c r="J1348" s="35"/>
      <c r="K1348" s="35"/>
      <c r="L1348" s="35"/>
      <c r="M1348" s="31"/>
      <c r="N1348" s="32"/>
      <c r="O1348" s="32"/>
      <c r="P1348" s="32"/>
      <c r="Q1348" s="32"/>
      <c r="R1348" s="32"/>
      <c r="S1348" s="32"/>
      <c r="T1348" s="32"/>
      <c r="U1348" s="29"/>
      <c r="V1348" s="29"/>
      <c r="W1348" s="24"/>
      <c r="X1348" s="18"/>
      <c r="Y1348" s="18"/>
      <c r="Z1348" s="18"/>
      <c r="AA1348" s="18"/>
      <c r="AB1348" s="18"/>
      <c r="AC1348" s="18"/>
      <c r="AD1348" s="18"/>
      <c r="AE1348" s="19"/>
      <c r="AF1348" s="20"/>
      <c r="AG1348" s="21"/>
      <c r="AH1348" s="21"/>
      <c r="AI1348" s="19"/>
      <c r="AJ1348" s="29"/>
      <c r="AK1348" s="29"/>
      <c r="AL1348" s="29"/>
    </row>
    <row r="1349" spans="2:38" s="28" customFormat="1" x14ac:dyDescent="0.3">
      <c r="B1349" s="24"/>
      <c r="C1349" s="37"/>
      <c r="D1349" s="37"/>
      <c r="E1349" s="37"/>
      <c r="F1349" s="35"/>
      <c r="G1349" s="35"/>
      <c r="H1349" s="35"/>
      <c r="I1349" s="35"/>
      <c r="J1349" s="35"/>
      <c r="K1349" s="35"/>
      <c r="L1349" s="35"/>
      <c r="M1349" s="31"/>
      <c r="N1349" s="32"/>
      <c r="O1349" s="32"/>
      <c r="P1349" s="32"/>
      <c r="Q1349" s="32"/>
      <c r="R1349" s="32"/>
      <c r="S1349" s="32"/>
      <c r="T1349" s="32"/>
      <c r="U1349" s="29"/>
      <c r="V1349" s="29"/>
      <c r="W1349" s="24"/>
      <c r="X1349" s="18"/>
      <c r="Y1349" s="18"/>
      <c r="Z1349" s="18"/>
      <c r="AA1349" s="18"/>
      <c r="AB1349" s="18"/>
      <c r="AC1349" s="18"/>
      <c r="AD1349" s="18"/>
      <c r="AE1349" s="19"/>
      <c r="AF1349" s="20"/>
      <c r="AG1349" s="21"/>
      <c r="AH1349" s="21"/>
      <c r="AI1349" s="19"/>
      <c r="AJ1349" s="29"/>
      <c r="AK1349" s="29"/>
      <c r="AL1349" s="29"/>
    </row>
    <row r="1350" spans="2:38" s="28" customFormat="1" x14ac:dyDescent="0.3">
      <c r="B1350" s="24"/>
      <c r="C1350" s="37"/>
      <c r="D1350" s="37"/>
      <c r="E1350" s="37"/>
      <c r="F1350" s="35"/>
      <c r="G1350" s="35"/>
      <c r="H1350" s="35"/>
      <c r="I1350" s="35"/>
      <c r="J1350" s="35"/>
      <c r="K1350" s="35"/>
      <c r="L1350" s="35"/>
      <c r="M1350" s="31"/>
      <c r="N1350" s="32"/>
      <c r="O1350" s="32"/>
      <c r="P1350" s="32"/>
      <c r="Q1350" s="32"/>
      <c r="R1350" s="32"/>
      <c r="S1350" s="32"/>
      <c r="T1350" s="32"/>
      <c r="U1350" s="29"/>
      <c r="V1350" s="29"/>
      <c r="W1350" s="24"/>
      <c r="X1350" s="18"/>
      <c r="Y1350" s="18"/>
      <c r="Z1350" s="18"/>
      <c r="AA1350" s="18"/>
      <c r="AB1350" s="18"/>
      <c r="AC1350" s="18"/>
      <c r="AD1350" s="18"/>
      <c r="AE1350" s="19"/>
      <c r="AF1350" s="20"/>
      <c r="AG1350" s="21"/>
      <c r="AH1350" s="21"/>
      <c r="AI1350" s="19"/>
      <c r="AJ1350" s="29"/>
      <c r="AK1350" s="29"/>
      <c r="AL1350" s="29"/>
    </row>
    <row r="1351" spans="2:38" s="28" customFormat="1" x14ac:dyDescent="0.3">
      <c r="B1351" s="24"/>
      <c r="C1351" s="37"/>
      <c r="D1351" s="37"/>
      <c r="E1351" s="37"/>
      <c r="F1351" s="35"/>
      <c r="G1351" s="35"/>
      <c r="H1351" s="35"/>
      <c r="I1351" s="35"/>
      <c r="J1351" s="35"/>
      <c r="K1351" s="35"/>
      <c r="L1351" s="35"/>
      <c r="M1351" s="31"/>
      <c r="N1351" s="32"/>
      <c r="O1351" s="32"/>
      <c r="P1351" s="32"/>
      <c r="Q1351" s="32"/>
      <c r="R1351" s="32"/>
      <c r="S1351" s="32"/>
      <c r="T1351" s="32"/>
      <c r="U1351" s="29"/>
      <c r="V1351" s="29"/>
      <c r="W1351" s="24"/>
      <c r="X1351" s="18"/>
      <c r="Y1351" s="18"/>
      <c r="Z1351" s="18"/>
      <c r="AA1351" s="18"/>
      <c r="AB1351" s="18"/>
      <c r="AC1351" s="18"/>
      <c r="AD1351" s="18"/>
      <c r="AE1351" s="19"/>
      <c r="AF1351" s="20"/>
      <c r="AG1351" s="21"/>
      <c r="AH1351" s="21"/>
      <c r="AI1351" s="19"/>
      <c r="AJ1351" s="29"/>
      <c r="AK1351" s="29"/>
      <c r="AL1351" s="29"/>
    </row>
    <row r="1352" spans="2:38" s="28" customFormat="1" x14ac:dyDescent="0.3">
      <c r="B1352" s="24"/>
      <c r="C1352" s="37"/>
      <c r="D1352" s="37"/>
      <c r="E1352" s="37"/>
      <c r="F1352" s="35"/>
      <c r="G1352" s="35"/>
      <c r="H1352" s="35"/>
      <c r="I1352" s="35"/>
      <c r="J1352" s="35"/>
      <c r="K1352" s="35"/>
      <c r="L1352" s="35"/>
      <c r="M1352" s="31"/>
      <c r="N1352" s="32"/>
      <c r="O1352" s="32"/>
      <c r="P1352" s="32"/>
      <c r="Q1352" s="32"/>
      <c r="R1352" s="32"/>
      <c r="S1352" s="32"/>
      <c r="T1352" s="32"/>
      <c r="U1352" s="29"/>
      <c r="V1352" s="29"/>
      <c r="W1352" s="24"/>
      <c r="X1352" s="18"/>
      <c r="Y1352" s="18"/>
      <c r="Z1352" s="18"/>
      <c r="AA1352" s="18"/>
      <c r="AB1352" s="18"/>
      <c r="AC1352" s="18"/>
      <c r="AD1352" s="18"/>
      <c r="AE1352" s="19"/>
      <c r="AF1352" s="20"/>
      <c r="AG1352" s="21"/>
      <c r="AH1352" s="21"/>
      <c r="AI1352" s="19"/>
      <c r="AJ1352" s="29"/>
      <c r="AK1352" s="29"/>
      <c r="AL1352" s="29"/>
    </row>
    <row r="1353" spans="2:38" s="28" customFormat="1" x14ac:dyDescent="0.3">
      <c r="B1353" s="24"/>
      <c r="C1353" s="37"/>
      <c r="D1353" s="37"/>
      <c r="E1353" s="37"/>
      <c r="F1353" s="35"/>
      <c r="G1353" s="35"/>
      <c r="H1353" s="35"/>
      <c r="I1353" s="35"/>
      <c r="J1353" s="35"/>
      <c r="K1353" s="35"/>
      <c r="L1353" s="35"/>
      <c r="M1353" s="31"/>
      <c r="N1353" s="32"/>
      <c r="O1353" s="32"/>
      <c r="P1353" s="32"/>
      <c r="Q1353" s="32"/>
      <c r="R1353" s="32"/>
      <c r="S1353" s="32"/>
      <c r="T1353" s="32"/>
      <c r="U1353" s="29"/>
      <c r="V1353" s="29"/>
      <c r="W1353" s="24"/>
      <c r="X1353" s="18"/>
      <c r="Y1353" s="18"/>
      <c r="Z1353" s="18"/>
      <c r="AA1353" s="18"/>
      <c r="AB1353" s="18"/>
      <c r="AC1353" s="18"/>
      <c r="AD1353" s="18"/>
      <c r="AE1353" s="19"/>
      <c r="AF1353" s="20"/>
      <c r="AG1353" s="21"/>
      <c r="AH1353" s="21"/>
      <c r="AI1353" s="19"/>
      <c r="AJ1353" s="29"/>
      <c r="AK1353" s="29"/>
      <c r="AL1353" s="29"/>
    </row>
    <row r="1354" spans="2:38" s="28" customFormat="1" x14ac:dyDescent="0.3">
      <c r="B1354" s="24"/>
      <c r="C1354" s="37"/>
      <c r="D1354" s="37"/>
      <c r="E1354" s="37"/>
      <c r="F1354" s="35"/>
      <c r="G1354" s="35"/>
      <c r="H1354" s="35"/>
      <c r="I1354" s="35"/>
      <c r="J1354" s="35"/>
      <c r="K1354" s="35"/>
      <c r="L1354" s="35"/>
      <c r="M1354" s="31"/>
      <c r="N1354" s="32"/>
      <c r="O1354" s="32"/>
      <c r="P1354" s="32"/>
      <c r="Q1354" s="32"/>
      <c r="R1354" s="32"/>
      <c r="S1354" s="32"/>
      <c r="T1354" s="32"/>
      <c r="U1354" s="29"/>
      <c r="V1354" s="29"/>
      <c r="W1354" s="24"/>
      <c r="X1354" s="18"/>
      <c r="Y1354" s="18"/>
      <c r="Z1354" s="18"/>
      <c r="AA1354" s="18"/>
      <c r="AB1354" s="18"/>
      <c r="AC1354" s="18"/>
      <c r="AD1354" s="18"/>
      <c r="AE1354" s="19"/>
      <c r="AF1354" s="20"/>
      <c r="AG1354" s="21"/>
      <c r="AH1354" s="21"/>
      <c r="AI1354" s="19"/>
      <c r="AJ1354" s="29"/>
      <c r="AK1354" s="29"/>
      <c r="AL1354" s="29"/>
    </row>
    <row r="1355" spans="2:38" s="28" customFormat="1" x14ac:dyDescent="0.3">
      <c r="B1355" s="24"/>
      <c r="C1355" s="37"/>
      <c r="D1355" s="37"/>
      <c r="E1355" s="37"/>
      <c r="F1355" s="35"/>
      <c r="G1355" s="35"/>
      <c r="H1355" s="35"/>
      <c r="I1355" s="35"/>
      <c r="J1355" s="35"/>
      <c r="K1355" s="35"/>
      <c r="L1355" s="35"/>
      <c r="M1355" s="31"/>
      <c r="N1355" s="32"/>
      <c r="O1355" s="32"/>
      <c r="P1355" s="32"/>
      <c r="Q1355" s="32"/>
      <c r="R1355" s="32"/>
      <c r="S1355" s="32"/>
      <c r="T1355" s="32"/>
      <c r="U1355" s="29"/>
      <c r="V1355" s="29"/>
      <c r="W1355" s="24"/>
      <c r="X1355" s="18"/>
      <c r="Y1355" s="18"/>
      <c r="Z1355" s="18"/>
      <c r="AA1355" s="18"/>
      <c r="AB1355" s="18"/>
      <c r="AC1355" s="18"/>
      <c r="AD1355" s="18"/>
      <c r="AE1355" s="19"/>
      <c r="AF1355" s="20"/>
      <c r="AG1355" s="21"/>
      <c r="AH1355" s="21"/>
      <c r="AI1355" s="19"/>
      <c r="AJ1355" s="29"/>
      <c r="AK1355" s="29"/>
      <c r="AL1355" s="29"/>
    </row>
    <row r="1356" spans="2:38" s="28" customFormat="1" x14ac:dyDescent="0.3">
      <c r="B1356" s="24"/>
      <c r="C1356" s="37"/>
      <c r="D1356" s="37"/>
      <c r="E1356" s="37"/>
      <c r="F1356" s="35"/>
      <c r="G1356" s="35"/>
      <c r="H1356" s="35"/>
      <c r="I1356" s="35"/>
      <c r="J1356" s="35"/>
      <c r="K1356" s="35"/>
      <c r="L1356" s="35"/>
      <c r="M1356" s="31"/>
      <c r="N1356" s="32"/>
      <c r="O1356" s="32"/>
      <c r="P1356" s="32"/>
      <c r="Q1356" s="32"/>
      <c r="R1356" s="32"/>
      <c r="S1356" s="32"/>
      <c r="T1356" s="32"/>
      <c r="U1356" s="29"/>
      <c r="V1356" s="29"/>
      <c r="W1356" s="24"/>
      <c r="X1356" s="18"/>
      <c r="Y1356" s="18"/>
      <c r="Z1356" s="18"/>
      <c r="AA1356" s="18"/>
      <c r="AB1356" s="18"/>
      <c r="AC1356" s="18"/>
      <c r="AD1356" s="18"/>
      <c r="AE1356" s="19"/>
      <c r="AF1356" s="20"/>
      <c r="AG1356" s="21"/>
      <c r="AH1356" s="21"/>
      <c r="AI1356" s="19"/>
      <c r="AJ1356" s="29"/>
      <c r="AK1356" s="29"/>
      <c r="AL1356" s="29"/>
    </row>
    <row r="1357" spans="2:38" s="28" customFormat="1" x14ac:dyDescent="0.3">
      <c r="B1357" s="24"/>
      <c r="C1357" s="37"/>
      <c r="D1357" s="37"/>
      <c r="E1357" s="37"/>
      <c r="F1357" s="35"/>
      <c r="G1357" s="35"/>
      <c r="H1357" s="35"/>
      <c r="I1357" s="35"/>
      <c r="J1357" s="35"/>
      <c r="K1357" s="35"/>
      <c r="L1357" s="35"/>
      <c r="M1357" s="31"/>
      <c r="N1357" s="32"/>
      <c r="O1357" s="32"/>
      <c r="P1357" s="32"/>
      <c r="Q1357" s="32"/>
      <c r="R1357" s="32"/>
      <c r="S1357" s="32"/>
      <c r="T1357" s="32"/>
      <c r="U1357" s="29"/>
      <c r="V1357" s="29"/>
      <c r="W1357" s="24"/>
      <c r="X1357" s="18"/>
      <c r="Y1357" s="18"/>
      <c r="Z1357" s="18"/>
      <c r="AA1357" s="18"/>
      <c r="AB1357" s="18"/>
      <c r="AC1357" s="18"/>
      <c r="AD1357" s="18"/>
      <c r="AE1357" s="19"/>
      <c r="AF1357" s="20"/>
      <c r="AG1357" s="21"/>
      <c r="AH1357" s="21"/>
      <c r="AI1357" s="19"/>
      <c r="AJ1357" s="29"/>
      <c r="AK1357" s="29"/>
      <c r="AL1357" s="29"/>
    </row>
    <row r="1358" spans="2:38" s="28" customFormat="1" x14ac:dyDescent="0.3">
      <c r="B1358" s="24"/>
      <c r="C1358" s="37"/>
      <c r="D1358" s="37"/>
      <c r="E1358" s="37"/>
      <c r="F1358" s="35"/>
      <c r="G1358" s="35"/>
      <c r="H1358" s="35"/>
      <c r="I1358" s="35"/>
      <c r="J1358" s="35"/>
      <c r="K1358" s="35"/>
      <c r="L1358" s="35"/>
      <c r="M1358" s="31"/>
      <c r="N1358" s="32"/>
      <c r="O1358" s="32"/>
      <c r="P1358" s="32"/>
      <c r="Q1358" s="32"/>
      <c r="R1358" s="32"/>
      <c r="S1358" s="32"/>
      <c r="T1358" s="32"/>
      <c r="U1358" s="29"/>
      <c r="V1358" s="29"/>
      <c r="W1358" s="24"/>
      <c r="X1358" s="18"/>
      <c r="Y1358" s="18"/>
      <c r="Z1358" s="18"/>
      <c r="AA1358" s="18"/>
      <c r="AB1358" s="18"/>
      <c r="AC1358" s="18"/>
      <c r="AD1358" s="18"/>
      <c r="AE1358" s="19"/>
      <c r="AF1358" s="20"/>
      <c r="AG1358" s="21"/>
      <c r="AH1358" s="21"/>
      <c r="AI1358" s="19"/>
      <c r="AJ1358" s="29"/>
      <c r="AK1358" s="29"/>
      <c r="AL1358" s="29"/>
    </row>
    <row r="1359" spans="2:38" s="28" customFormat="1" x14ac:dyDescent="0.3">
      <c r="B1359" s="24"/>
      <c r="C1359" s="37"/>
      <c r="D1359" s="37"/>
      <c r="E1359" s="37"/>
      <c r="F1359" s="35"/>
      <c r="G1359" s="35"/>
      <c r="H1359" s="35"/>
      <c r="I1359" s="35"/>
      <c r="J1359" s="35"/>
      <c r="K1359" s="35"/>
      <c r="L1359" s="35"/>
      <c r="M1359" s="31"/>
      <c r="N1359" s="32"/>
      <c r="O1359" s="32"/>
      <c r="P1359" s="32"/>
      <c r="Q1359" s="32"/>
      <c r="R1359" s="32"/>
      <c r="S1359" s="32"/>
      <c r="T1359" s="32"/>
      <c r="U1359" s="29"/>
      <c r="V1359" s="29"/>
      <c r="W1359" s="24"/>
      <c r="X1359" s="18"/>
      <c r="Y1359" s="18"/>
      <c r="Z1359" s="18"/>
      <c r="AA1359" s="18"/>
      <c r="AB1359" s="18"/>
      <c r="AC1359" s="18"/>
      <c r="AD1359" s="18"/>
      <c r="AE1359" s="19"/>
      <c r="AF1359" s="20"/>
      <c r="AG1359" s="21"/>
      <c r="AH1359" s="21"/>
      <c r="AI1359" s="19"/>
      <c r="AJ1359" s="29"/>
      <c r="AK1359" s="29"/>
      <c r="AL1359" s="29"/>
    </row>
    <row r="1360" spans="2:38" s="28" customFormat="1" x14ac:dyDescent="0.3">
      <c r="B1360" s="24"/>
      <c r="C1360" s="37"/>
      <c r="D1360" s="37"/>
      <c r="E1360" s="37"/>
      <c r="F1360" s="35"/>
      <c r="G1360" s="35"/>
      <c r="H1360" s="35"/>
      <c r="I1360" s="35"/>
      <c r="J1360" s="35"/>
      <c r="K1360" s="35"/>
      <c r="L1360" s="35"/>
      <c r="M1360" s="31"/>
      <c r="N1360" s="32"/>
      <c r="O1360" s="32"/>
      <c r="P1360" s="32"/>
      <c r="Q1360" s="32"/>
      <c r="R1360" s="32"/>
      <c r="S1360" s="32"/>
      <c r="T1360" s="32"/>
      <c r="U1360" s="29"/>
      <c r="V1360" s="29"/>
      <c r="W1360" s="24"/>
      <c r="X1360" s="18"/>
      <c r="Y1360" s="18"/>
      <c r="Z1360" s="18"/>
      <c r="AA1360" s="18"/>
      <c r="AB1360" s="18"/>
      <c r="AC1360" s="18"/>
      <c r="AD1360" s="18"/>
      <c r="AE1360" s="19"/>
      <c r="AF1360" s="20"/>
      <c r="AG1360" s="21"/>
      <c r="AH1360" s="21"/>
      <c r="AI1360" s="19"/>
      <c r="AJ1360" s="29"/>
      <c r="AK1360" s="29"/>
      <c r="AL1360" s="29"/>
    </row>
    <row r="1361" spans="2:38" s="28" customFormat="1" x14ac:dyDescent="0.3">
      <c r="B1361" s="24"/>
      <c r="C1361" s="37"/>
      <c r="D1361" s="37"/>
      <c r="E1361" s="37"/>
      <c r="F1361" s="35"/>
      <c r="G1361" s="35"/>
      <c r="H1361" s="35"/>
      <c r="I1361" s="35"/>
      <c r="J1361" s="35"/>
      <c r="K1361" s="35"/>
      <c r="L1361" s="35"/>
      <c r="M1361" s="31"/>
      <c r="N1361" s="32"/>
      <c r="O1361" s="32"/>
      <c r="P1361" s="32"/>
      <c r="Q1361" s="32"/>
      <c r="R1361" s="32"/>
      <c r="S1361" s="32"/>
      <c r="T1361" s="32"/>
      <c r="U1361" s="29"/>
      <c r="V1361" s="29"/>
      <c r="W1361" s="24"/>
      <c r="X1361" s="18"/>
      <c r="Y1361" s="18"/>
      <c r="Z1361" s="18"/>
      <c r="AA1361" s="18"/>
      <c r="AB1361" s="18"/>
      <c r="AC1361" s="18"/>
      <c r="AD1361" s="18"/>
      <c r="AE1361" s="19"/>
      <c r="AF1361" s="20"/>
      <c r="AG1361" s="21"/>
      <c r="AH1361" s="21"/>
      <c r="AI1361" s="19"/>
      <c r="AJ1361" s="29"/>
      <c r="AK1361" s="29"/>
      <c r="AL1361" s="29"/>
    </row>
    <row r="1362" spans="2:38" s="28" customFormat="1" x14ac:dyDescent="0.3">
      <c r="B1362" s="24"/>
      <c r="C1362" s="37"/>
      <c r="D1362" s="37"/>
      <c r="E1362" s="37"/>
      <c r="F1362" s="35"/>
      <c r="G1362" s="35"/>
      <c r="H1362" s="35"/>
      <c r="I1362" s="35"/>
      <c r="J1362" s="35"/>
      <c r="K1362" s="35"/>
      <c r="L1362" s="35"/>
      <c r="M1362" s="31"/>
      <c r="N1362" s="32"/>
      <c r="O1362" s="32"/>
      <c r="P1362" s="32"/>
      <c r="Q1362" s="32"/>
      <c r="R1362" s="32"/>
      <c r="S1362" s="32"/>
      <c r="T1362" s="32"/>
      <c r="U1362" s="29"/>
      <c r="V1362" s="29"/>
      <c r="W1362" s="24"/>
      <c r="X1362" s="18"/>
      <c r="Y1362" s="18"/>
      <c r="Z1362" s="18"/>
      <c r="AA1362" s="18"/>
      <c r="AB1362" s="18"/>
      <c r="AC1362" s="18"/>
      <c r="AD1362" s="18"/>
      <c r="AE1362" s="19"/>
      <c r="AF1362" s="20"/>
      <c r="AG1362" s="21"/>
      <c r="AH1362" s="21"/>
      <c r="AI1362" s="19"/>
      <c r="AJ1362" s="29"/>
      <c r="AK1362" s="29"/>
      <c r="AL1362" s="29"/>
    </row>
    <row r="1363" spans="2:38" s="28" customFormat="1" x14ac:dyDescent="0.3">
      <c r="B1363" s="24"/>
      <c r="C1363" s="37"/>
      <c r="D1363" s="37"/>
      <c r="E1363" s="37"/>
      <c r="F1363" s="35"/>
      <c r="G1363" s="35"/>
      <c r="H1363" s="35"/>
      <c r="I1363" s="35"/>
      <c r="J1363" s="35"/>
      <c r="K1363" s="35"/>
      <c r="L1363" s="35"/>
      <c r="M1363" s="31"/>
      <c r="N1363" s="32"/>
      <c r="O1363" s="32"/>
      <c r="P1363" s="32"/>
      <c r="Q1363" s="32"/>
      <c r="R1363" s="32"/>
      <c r="S1363" s="32"/>
      <c r="T1363" s="32"/>
      <c r="U1363" s="29"/>
      <c r="V1363" s="29"/>
      <c r="W1363" s="24"/>
      <c r="X1363" s="18"/>
      <c r="Y1363" s="18"/>
      <c r="Z1363" s="18"/>
      <c r="AA1363" s="18"/>
      <c r="AB1363" s="18"/>
      <c r="AC1363" s="18"/>
      <c r="AD1363" s="18"/>
      <c r="AE1363" s="19"/>
      <c r="AF1363" s="20"/>
      <c r="AG1363" s="21"/>
      <c r="AH1363" s="21"/>
      <c r="AI1363" s="19"/>
      <c r="AJ1363" s="29"/>
      <c r="AK1363" s="29"/>
      <c r="AL1363" s="29"/>
    </row>
    <row r="1364" spans="2:38" s="28" customFormat="1" x14ac:dyDescent="0.3">
      <c r="B1364" s="24"/>
      <c r="C1364" s="37"/>
      <c r="D1364" s="37"/>
      <c r="E1364" s="37"/>
      <c r="F1364" s="35"/>
      <c r="G1364" s="35"/>
      <c r="H1364" s="35"/>
      <c r="I1364" s="35"/>
      <c r="J1364" s="35"/>
      <c r="K1364" s="35"/>
      <c r="L1364" s="35"/>
      <c r="M1364" s="31"/>
      <c r="N1364" s="32"/>
      <c r="O1364" s="32"/>
      <c r="P1364" s="32"/>
      <c r="Q1364" s="32"/>
      <c r="R1364" s="32"/>
      <c r="S1364" s="32"/>
      <c r="T1364" s="32"/>
      <c r="U1364" s="29"/>
      <c r="V1364" s="29"/>
      <c r="W1364" s="24"/>
      <c r="X1364" s="18"/>
      <c r="Y1364" s="18"/>
      <c r="Z1364" s="18"/>
      <c r="AA1364" s="18"/>
      <c r="AB1364" s="18"/>
      <c r="AC1364" s="18"/>
      <c r="AD1364" s="18"/>
      <c r="AE1364" s="19"/>
      <c r="AF1364" s="20"/>
      <c r="AG1364" s="21"/>
      <c r="AH1364" s="21"/>
      <c r="AI1364" s="19"/>
      <c r="AJ1364" s="29"/>
      <c r="AK1364" s="29"/>
      <c r="AL1364" s="29"/>
    </row>
    <row r="1365" spans="2:38" s="28" customFormat="1" x14ac:dyDescent="0.3">
      <c r="B1365" s="24"/>
      <c r="C1365" s="37"/>
      <c r="D1365" s="37"/>
      <c r="E1365" s="37"/>
      <c r="F1365" s="35"/>
      <c r="G1365" s="35"/>
      <c r="H1365" s="35"/>
      <c r="I1365" s="35"/>
      <c r="J1365" s="35"/>
      <c r="K1365" s="35"/>
      <c r="L1365" s="35"/>
      <c r="M1365" s="31"/>
      <c r="N1365" s="32"/>
      <c r="O1365" s="32"/>
      <c r="P1365" s="32"/>
      <c r="Q1365" s="32"/>
      <c r="R1365" s="32"/>
      <c r="S1365" s="32"/>
      <c r="T1365" s="32"/>
      <c r="U1365" s="29"/>
      <c r="V1365" s="29"/>
      <c r="W1365" s="24"/>
      <c r="X1365" s="18"/>
      <c r="Y1365" s="18"/>
      <c r="Z1365" s="18"/>
      <c r="AA1365" s="18"/>
      <c r="AB1365" s="18"/>
      <c r="AC1365" s="18"/>
      <c r="AD1365" s="18"/>
      <c r="AE1365" s="19"/>
      <c r="AF1365" s="20"/>
      <c r="AG1365" s="21"/>
      <c r="AH1365" s="21"/>
      <c r="AI1365" s="19"/>
      <c r="AJ1365" s="29"/>
      <c r="AK1365" s="29"/>
      <c r="AL1365" s="29"/>
    </row>
    <row r="1366" spans="2:38" s="28" customFormat="1" x14ac:dyDescent="0.3">
      <c r="B1366" s="24"/>
      <c r="C1366" s="37"/>
      <c r="D1366" s="37"/>
      <c r="E1366" s="37"/>
      <c r="F1366" s="35"/>
      <c r="G1366" s="35"/>
      <c r="H1366" s="35"/>
      <c r="I1366" s="35"/>
      <c r="J1366" s="35"/>
      <c r="K1366" s="35"/>
      <c r="L1366" s="35"/>
      <c r="M1366" s="31"/>
      <c r="N1366" s="32"/>
      <c r="O1366" s="32"/>
      <c r="P1366" s="32"/>
      <c r="Q1366" s="32"/>
      <c r="R1366" s="32"/>
      <c r="S1366" s="32"/>
      <c r="T1366" s="32"/>
      <c r="U1366" s="29"/>
      <c r="V1366" s="29"/>
      <c r="W1366" s="24"/>
      <c r="X1366" s="18"/>
      <c r="Y1366" s="18"/>
      <c r="Z1366" s="18"/>
      <c r="AA1366" s="18"/>
      <c r="AB1366" s="18"/>
      <c r="AC1366" s="18"/>
      <c r="AD1366" s="18"/>
      <c r="AE1366" s="19"/>
      <c r="AF1366" s="20"/>
      <c r="AG1366" s="21"/>
      <c r="AH1366" s="21"/>
      <c r="AI1366" s="19"/>
      <c r="AJ1366" s="29"/>
      <c r="AK1366" s="29"/>
      <c r="AL1366" s="29"/>
    </row>
    <row r="1367" spans="2:38" s="28" customFormat="1" x14ac:dyDescent="0.3">
      <c r="B1367" s="24"/>
      <c r="C1367" s="37"/>
      <c r="D1367" s="37"/>
      <c r="E1367" s="37"/>
      <c r="F1367" s="35"/>
      <c r="G1367" s="35"/>
      <c r="H1367" s="35"/>
      <c r="I1367" s="35"/>
      <c r="J1367" s="35"/>
      <c r="K1367" s="35"/>
      <c r="L1367" s="35"/>
      <c r="M1367" s="31"/>
      <c r="N1367" s="32"/>
      <c r="O1367" s="32"/>
      <c r="P1367" s="32"/>
      <c r="Q1367" s="32"/>
      <c r="R1367" s="32"/>
      <c r="S1367" s="32"/>
      <c r="T1367" s="32"/>
      <c r="U1367" s="29"/>
      <c r="V1367" s="29"/>
      <c r="W1367" s="24"/>
      <c r="X1367" s="18"/>
      <c r="Y1367" s="18"/>
      <c r="Z1367" s="18"/>
      <c r="AA1367" s="18"/>
      <c r="AB1367" s="18"/>
      <c r="AC1367" s="18"/>
      <c r="AD1367" s="18"/>
      <c r="AE1367" s="19"/>
      <c r="AF1367" s="20"/>
      <c r="AG1367" s="21"/>
      <c r="AH1367" s="21"/>
      <c r="AI1367" s="19"/>
      <c r="AJ1367" s="29"/>
      <c r="AK1367" s="29"/>
      <c r="AL1367" s="29"/>
    </row>
    <row r="1368" spans="2:38" s="28" customFormat="1" x14ac:dyDescent="0.3">
      <c r="B1368" s="24"/>
      <c r="C1368" s="37"/>
      <c r="D1368" s="37"/>
      <c r="E1368" s="37"/>
      <c r="F1368" s="35"/>
      <c r="G1368" s="35"/>
      <c r="H1368" s="35"/>
      <c r="I1368" s="35"/>
      <c r="J1368" s="35"/>
      <c r="K1368" s="35"/>
      <c r="L1368" s="35"/>
      <c r="M1368" s="31"/>
      <c r="N1368" s="32"/>
      <c r="O1368" s="32"/>
      <c r="P1368" s="32"/>
      <c r="Q1368" s="32"/>
      <c r="R1368" s="32"/>
      <c r="S1368" s="32"/>
      <c r="T1368" s="32"/>
      <c r="U1368" s="29"/>
      <c r="V1368" s="29"/>
      <c r="W1368" s="24"/>
      <c r="X1368" s="18"/>
      <c r="Y1368" s="18"/>
      <c r="Z1368" s="18"/>
      <c r="AA1368" s="18"/>
      <c r="AB1368" s="18"/>
      <c r="AC1368" s="18"/>
      <c r="AD1368" s="18"/>
      <c r="AE1368" s="19"/>
      <c r="AF1368" s="20"/>
      <c r="AG1368" s="21"/>
      <c r="AH1368" s="21"/>
      <c r="AI1368" s="19"/>
      <c r="AJ1368" s="29"/>
      <c r="AK1368" s="29"/>
      <c r="AL1368" s="29"/>
    </row>
    <row r="1369" spans="2:38" s="28" customFormat="1" x14ac:dyDescent="0.3">
      <c r="B1369" s="24"/>
      <c r="C1369" s="37"/>
      <c r="D1369" s="37"/>
      <c r="E1369" s="37"/>
      <c r="F1369" s="35"/>
      <c r="G1369" s="35"/>
      <c r="H1369" s="35"/>
      <c r="I1369" s="35"/>
      <c r="J1369" s="35"/>
      <c r="K1369" s="35"/>
      <c r="L1369" s="35"/>
      <c r="M1369" s="31"/>
      <c r="N1369" s="32"/>
      <c r="O1369" s="32"/>
      <c r="P1369" s="32"/>
      <c r="Q1369" s="32"/>
      <c r="R1369" s="32"/>
      <c r="S1369" s="32"/>
      <c r="T1369" s="32"/>
      <c r="U1369" s="29"/>
      <c r="V1369" s="29"/>
      <c r="W1369" s="24"/>
      <c r="X1369" s="18"/>
      <c r="Y1369" s="18"/>
      <c r="Z1369" s="18"/>
      <c r="AA1369" s="18"/>
      <c r="AB1369" s="18"/>
      <c r="AC1369" s="18"/>
      <c r="AD1369" s="18"/>
      <c r="AE1369" s="19"/>
      <c r="AF1369" s="20"/>
      <c r="AG1369" s="21"/>
      <c r="AH1369" s="21"/>
      <c r="AI1369" s="19"/>
      <c r="AJ1369" s="29"/>
      <c r="AK1369" s="29"/>
      <c r="AL1369" s="29"/>
    </row>
    <row r="1370" spans="2:38" s="28" customFormat="1" x14ac:dyDescent="0.3">
      <c r="B1370" s="24"/>
      <c r="C1370" s="37"/>
      <c r="D1370" s="37"/>
      <c r="E1370" s="37"/>
      <c r="F1370" s="35"/>
      <c r="G1370" s="35"/>
      <c r="H1370" s="35"/>
      <c r="I1370" s="35"/>
      <c r="J1370" s="35"/>
      <c r="K1370" s="35"/>
      <c r="L1370" s="35"/>
      <c r="M1370" s="31"/>
      <c r="N1370" s="32"/>
      <c r="O1370" s="32"/>
      <c r="P1370" s="32"/>
      <c r="Q1370" s="32"/>
      <c r="R1370" s="32"/>
      <c r="S1370" s="32"/>
      <c r="T1370" s="32"/>
      <c r="U1370" s="29"/>
      <c r="V1370" s="29"/>
      <c r="W1370" s="24"/>
      <c r="X1370" s="18"/>
      <c r="Y1370" s="18"/>
      <c r="Z1370" s="18"/>
      <c r="AA1370" s="18"/>
      <c r="AB1370" s="18"/>
      <c r="AC1370" s="18"/>
      <c r="AD1370" s="18"/>
      <c r="AE1370" s="19"/>
      <c r="AF1370" s="20"/>
      <c r="AG1370" s="21"/>
      <c r="AH1370" s="21"/>
      <c r="AI1370" s="19"/>
      <c r="AJ1370" s="29"/>
      <c r="AK1370" s="29"/>
      <c r="AL1370" s="29"/>
    </row>
    <row r="1371" spans="2:38" s="28" customFormat="1" x14ac:dyDescent="0.3">
      <c r="B1371" s="24"/>
      <c r="C1371" s="37"/>
      <c r="D1371" s="37"/>
      <c r="E1371" s="37"/>
      <c r="F1371" s="35"/>
      <c r="G1371" s="35"/>
      <c r="H1371" s="35"/>
      <c r="I1371" s="35"/>
      <c r="J1371" s="35"/>
      <c r="K1371" s="35"/>
      <c r="L1371" s="35"/>
      <c r="M1371" s="31"/>
      <c r="N1371" s="32"/>
      <c r="O1371" s="32"/>
      <c r="P1371" s="32"/>
      <c r="Q1371" s="32"/>
      <c r="R1371" s="32"/>
      <c r="S1371" s="32"/>
      <c r="T1371" s="32"/>
      <c r="U1371" s="29"/>
      <c r="V1371" s="29"/>
      <c r="W1371" s="24"/>
      <c r="X1371" s="18"/>
      <c r="Y1371" s="18"/>
      <c r="Z1371" s="18"/>
      <c r="AA1371" s="18"/>
      <c r="AB1371" s="18"/>
      <c r="AC1371" s="18"/>
      <c r="AD1371" s="18"/>
      <c r="AE1371" s="19"/>
      <c r="AF1371" s="20"/>
      <c r="AG1371" s="21"/>
      <c r="AH1371" s="21"/>
      <c r="AI1371" s="19"/>
      <c r="AJ1371" s="29"/>
      <c r="AK1371" s="29"/>
      <c r="AL1371" s="29"/>
    </row>
    <row r="1372" spans="2:38" s="28" customFormat="1" x14ac:dyDescent="0.3">
      <c r="B1372" s="24"/>
      <c r="C1372" s="37"/>
      <c r="D1372" s="37"/>
      <c r="E1372" s="37"/>
      <c r="F1372" s="35"/>
      <c r="G1372" s="35"/>
      <c r="H1372" s="35"/>
      <c r="I1372" s="35"/>
      <c r="J1372" s="35"/>
      <c r="K1372" s="35"/>
      <c r="L1372" s="35"/>
      <c r="M1372" s="31"/>
      <c r="N1372" s="32"/>
      <c r="O1372" s="32"/>
      <c r="P1372" s="32"/>
      <c r="Q1372" s="32"/>
      <c r="R1372" s="32"/>
      <c r="S1372" s="32"/>
      <c r="T1372" s="32"/>
      <c r="U1372" s="29"/>
      <c r="V1372" s="29"/>
      <c r="W1372" s="24"/>
      <c r="X1372" s="18"/>
      <c r="Y1372" s="18"/>
      <c r="Z1372" s="18"/>
      <c r="AA1372" s="18"/>
      <c r="AB1372" s="18"/>
      <c r="AC1372" s="18"/>
      <c r="AD1372" s="18"/>
      <c r="AE1372" s="19"/>
      <c r="AF1372" s="20"/>
      <c r="AG1372" s="21"/>
      <c r="AH1372" s="21"/>
      <c r="AI1372" s="19"/>
      <c r="AJ1372" s="29"/>
      <c r="AK1372" s="29"/>
      <c r="AL1372" s="29"/>
    </row>
    <row r="1373" spans="2:38" s="28" customFormat="1" x14ac:dyDescent="0.3">
      <c r="B1373" s="24"/>
      <c r="C1373" s="37"/>
      <c r="D1373" s="37"/>
      <c r="E1373" s="37"/>
      <c r="F1373" s="35"/>
      <c r="G1373" s="35"/>
      <c r="H1373" s="35"/>
      <c r="I1373" s="35"/>
      <c r="J1373" s="35"/>
      <c r="K1373" s="35"/>
      <c r="L1373" s="35"/>
      <c r="M1373" s="31"/>
      <c r="N1373" s="32"/>
      <c r="O1373" s="32"/>
      <c r="P1373" s="32"/>
      <c r="Q1373" s="32"/>
      <c r="R1373" s="32"/>
      <c r="S1373" s="32"/>
      <c r="T1373" s="32"/>
      <c r="U1373" s="29"/>
      <c r="V1373" s="29"/>
      <c r="W1373" s="24"/>
      <c r="X1373" s="18"/>
      <c r="Y1373" s="18"/>
      <c r="Z1373" s="18"/>
      <c r="AA1373" s="18"/>
      <c r="AB1373" s="18"/>
      <c r="AC1373" s="18"/>
      <c r="AD1373" s="18"/>
      <c r="AE1373" s="19"/>
      <c r="AF1373" s="20"/>
      <c r="AG1373" s="21"/>
      <c r="AH1373" s="21"/>
      <c r="AI1373" s="19"/>
      <c r="AJ1373" s="29"/>
      <c r="AK1373" s="29"/>
      <c r="AL1373" s="29"/>
    </row>
    <row r="1374" spans="2:38" s="28" customFormat="1" x14ac:dyDescent="0.3">
      <c r="B1374" s="24"/>
      <c r="C1374" s="37"/>
      <c r="D1374" s="37"/>
      <c r="E1374" s="37"/>
      <c r="F1374" s="35"/>
      <c r="G1374" s="35"/>
      <c r="H1374" s="35"/>
      <c r="I1374" s="35"/>
      <c r="J1374" s="35"/>
      <c r="K1374" s="35"/>
      <c r="L1374" s="35"/>
      <c r="M1374" s="31"/>
      <c r="N1374" s="32"/>
      <c r="O1374" s="32"/>
      <c r="P1374" s="32"/>
      <c r="Q1374" s="32"/>
      <c r="R1374" s="32"/>
      <c r="S1374" s="32"/>
      <c r="T1374" s="32"/>
      <c r="U1374" s="29"/>
      <c r="V1374" s="29"/>
      <c r="W1374" s="24"/>
      <c r="X1374" s="18"/>
      <c r="Y1374" s="18"/>
      <c r="Z1374" s="18"/>
      <c r="AA1374" s="18"/>
      <c r="AB1374" s="18"/>
      <c r="AC1374" s="18"/>
      <c r="AD1374" s="18"/>
      <c r="AE1374" s="19"/>
      <c r="AF1374" s="20"/>
      <c r="AG1374" s="21"/>
      <c r="AH1374" s="21"/>
      <c r="AI1374" s="19"/>
      <c r="AJ1374" s="29"/>
      <c r="AK1374" s="29"/>
      <c r="AL1374" s="29"/>
    </row>
    <row r="1375" spans="2:38" s="28" customFormat="1" x14ac:dyDescent="0.3">
      <c r="B1375" s="24"/>
      <c r="C1375" s="37"/>
      <c r="D1375" s="37"/>
      <c r="E1375" s="37"/>
      <c r="F1375" s="35"/>
      <c r="G1375" s="35"/>
      <c r="H1375" s="35"/>
      <c r="I1375" s="35"/>
      <c r="J1375" s="35"/>
      <c r="K1375" s="35"/>
      <c r="L1375" s="35"/>
      <c r="M1375" s="31"/>
      <c r="N1375" s="32"/>
      <c r="O1375" s="32"/>
      <c r="P1375" s="32"/>
      <c r="Q1375" s="32"/>
      <c r="R1375" s="32"/>
      <c r="S1375" s="32"/>
      <c r="T1375" s="32"/>
      <c r="U1375" s="29"/>
      <c r="V1375" s="29"/>
      <c r="W1375" s="24"/>
      <c r="X1375" s="18"/>
      <c r="Y1375" s="18"/>
      <c r="Z1375" s="18"/>
      <c r="AA1375" s="18"/>
      <c r="AB1375" s="18"/>
      <c r="AC1375" s="18"/>
      <c r="AD1375" s="18"/>
      <c r="AE1375" s="19"/>
      <c r="AF1375" s="20"/>
      <c r="AG1375" s="21"/>
      <c r="AH1375" s="21"/>
      <c r="AI1375" s="19"/>
      <c r="AJ1375" s="29"/>
      <c r="AK1375" s="29"/>
      <c r="AL1375" s="29"/>
    </row>
    <row r="1376" spans="2:38" s="28" customFormat="1" x14ac:dyDescent="0.3">
      <c r="B1376" s="24"/>
      <c r="C1376" s="37"/>
      <c r="D1376" s="37"/>
      <c r="E1376" s="37"/>
      <c r="F1376" s="35"/>
      <c r="G1376" s="35"/>
      <c r="H1376" s="35"/>
      <c r="I1376" s="35"/>
      <c r="J1376" s="35"/>
      <c r="K1376" s="35"/>
      <c r="L1376" s="35"/>
      <c r="M1376" s="31"/>
      <c r="N1376" s="32"/>
      <c r="O1376" s="32"/>
      <c r="P1376" s="32"/>
      <c r="Q1376" s="32"/>
      <c r="R1376" s="32"/>
      <c r="S1376" s="32"/>
      <c r="T1376" s="32"/>
      <c r="U1376" s="29"/>
      <c r="V1376" s="29"/>
      <c r="W1376" s="24"/>
      <c r="X1376" s="18"/>
      <c r="Y1376" s="18"/>
      <c r="Z1376" s="18"/>
      <c r="AA1376" s="18"/>
      <c r="AB1376" s="18"/>
      <c r="AC1376" s="18"/>
      <c r="AD1376" s="18"/>
      <c r="AE1376" s="19"/>
      <c r="AF1376" s="20"/>
      <c r="AG1376" s="21"/>
      <c r="AH1376" s="21"/>
      <c r="AI1376" s="19"/>
      <c r="AJ1376" s="29"/>
      <c r="AK1376" s="29"/>
      <c r="AL1376" s="29"/>
    </row>
    <row r="1377" spans="2:38" s="28" customFormat="1" x14ac:dyDescent="0.3">
      <c r="B1377" s="24"/>
      <c r="C1377" s="37"/>
      <c r="D1377" s="37"/>
      <c r="E1377" s="37"/>
      <c r="F1377" s="35"/>
      <c r="G1377" s="35"/>
      <c r="H1377" s="35"/>
      <c r="I1377" s="35"/>
      <c r="J1377" s="35"/>
      <c r="K1377" s="35"/>
      <c r="L1377" s="35"/>
      <c r="M1377" s="31"/>
      <c r="N1377" s="32"/>
      <c r="O1377" s="32"/>
      <c r="P1377" s="32"/>
      <c r="Q1377" s="32"/>
      <c r="R1377" s="32"/>
      <c r="S1377" s="32"/>
      <c r="T1377" s="32"/>
      <c r="U1377" s="29"/>
      <c r="V1377" s="29"/>
      <c r="W1377" s="24"/>
      <c r="X1377" s="18"/>
      <c r="Y1377" s="18"/>
      <c r="Z1377" s="18"/>
      <c r="AA1377" s="18"/>
      <c r="AB1377" s="18"/>
      <c r="AC1377" s="18"/>
      <c r="AD1377" s="18"/>
      <c r="AE1377" s="19"/>
      <c r="AF1377" s="20"/>
      <c r="AG1377" s="21"/>
      <c r="AH1377" s="21"/>
      <c r="AI1377" s="19"/>
      <c r="AJ1377" s="29"/>
      <c r="AK1377" s="29"/>
      <c r="AL1377" s="29"/>
    </row>
    <row r="1378" spans="2:38" s="28" customFormat="1" x14ac:dyDescent="0.3">
      <c r="B1378" s="24"/>
      <c r="C1378" s="37"/>
      <c r="D1378" s="37"/>
      <c r="E1378" s="37"/>
      <c r="F1378" s="35"/>
      <c r="G1378" s="35"/>
      <c r="H1378" s="35"/>
      <c r="I1378" s="35"/>
      <c r="J1378" s="35"/>
      <c r="K1378" s="35"/>
      <c r="L1378" s="35"/>
      <c r="M1378" s="31"/>
      <c r="N1378" s="32"/>
      <c r="O1378" s="32"/>
      <c r="P1378" s="32"/>
      <c r="Q1378" s="32"/>
      <c r="R1378" s="32"/>
      <c r="S1378" s="32"/>
      <c r="T1378" s="32"/>
      <c r="U1378" s="29"/>
      <c r="V1378" s="29"/>
      <c r="W1378" s="24"/>
      <c r="X1378" s="18"/>
      <c r="Y1378" s="18"/>
      <c r="Z1378" s="18"/>
      <c r="AA1378" s="18"/>
      <c r="AB1378" s="18"/>
      <c r="AC1378" s="18"/>
      <c r="AD1378" s="18"/>
      <c r="AE1378" s="19"/>
      <c r="AF1378" s="20"/>
      <c r="AG1378" s="21"/>
      <c r="AH1378" s="21"/>
      <c r="AI1378" s="19"/>
      <c r="AJ1378" s="29"/>
      <c r="AK1378" s="29"/>
      <c r="AL1378" s="29"/>
    </row>
    <row r="1379" spans="2:38" s="28" customFormat="1" x14ac:dyDescent="0.3">
      <c r="B1379" s="24"/>
      <c r="C1379" s="37"/>
      <c r="D1379" s="37"/>
      <c r="E1379" s="37"/>
      <c r="F1379" s="35"/>
      <c r="G1379" s="35"/>
      <c r="H1379" s="35"/>
      <c r="I1379" s="35"/>
      <c r="J1379" s="35"/>
      <c r="K1379" s="35"/>
      <c r="L1379" s="35"/>
      <c r="M1379" s="31"/>
      <c r="N1379" s="32"/>
      <c r="O1379" s="32"/>
      <c r="P1379" s="32"/>
      <c r="Q1379" s="32"/>
      <c r="R1379" s="32"/>
      <c r="S1379" s="32"/>
      <c r="T1379" s="32"/>
      <c r="U1379" s="29"/>
      <c r="V1379" s="29"/>
      <c r="W1379" s="24"/>
      <c r="X1379" s="18"/>
      <c r="Y1379" s="18"/>
      <c r="Z1379" s="18"/>
      <c r="AA1379" s="18"/>
      <c r="AB1379" s="18"/>
      <c r="AC1379" s="18"/>
      <c r="AD1379" s="18"/>
      <c r="AE1379" s="19"/>
      <c r="AF1379" s="20"/>
      <c r="AG1379" s="21"/>
      <c r="AH1379" s="21"/>
      <c r="AI1379" s="19"/>
      <c r="AJ1379" s="29"/>
      <c r="AK1379" s="29"/>
      <c r="AL1379" s="29"/>
    </row>
    <row r="1380" spans="2:38" s="28" customFormat="1" x14ac:dyDescent="0.3">
      <c r="B1380" s="24"/>
      <c r="C1380" s="37"/>
      <c r="D1380" s="37"/>
      <c r="E1380" s="37"/>
      <c r="F1380" s="35"/>
      <c r="G1380" s="35"/>
      <c r="H1380" s="35"/>
      <c r="I1380" s="35"/>
      <c r="J1380" s="35"/>
      <c r="K1380" s="35"/>
      <c r="L1380" s="35"/>
      <c r="M1380" s="31"/>
      <c r="N1380" s="32"/>
      <c r="O1380" s="32"/>
      <c r="P1380" s="32"/>
      <c r="Q1380" s="32"/>
      <c r="R1380" s="32"/>
      <c r="S1380" s="32"/>
      <c r="T1380" s="32"/>
      <c r="U1380" s="29"/>
      <c r="V1380" s="29"/>
      <c r="W1380" s="24"/>
      <c r="X1380" s="18"/>
      <c r="Y1380" s="18"/>
      <c r="Z1380" s="18"/>
      <c r="AA1380" s="18"/>
      <c r="AB1380" s="18"/>
      <c r="AC1380" s="18"/>
      <c r="AD1380" s="18"/>
      <c r="AE1380" s="19"/>
      <c r="AF1380" s="20"/>
      <c r="AG1380" s="21"/>
      <c r="AH1380" s="21"/>
      <c r="AI1380" s="19"/>
      <c r="AJ1380" s="29"/>
      <c r="AK1380" s="29"/>
      <c r="AL1380" s="29"/>
    </row>
    <row r="1381" spans="2:38" s="28" customFormat="1" x14ac:dyDescent="0.3">
      <c r="B1381" s="24"/>
      <c r="C1381" s="37"/>
      <c r="D1381" s="37"/>
      <c r="E1381" s="37"/>
      <c r="F1381" s="35"/>
      <c r="G1381" s="35"/>
      <c r="H1381" s="35"/>
      <c r="I1381" s="35"/>
      <c r="J1381" s="35"/>
      <c r="K1381" s="35"/>
      <c r="L1381" s="35"/>
      <c r="M1381" s="31"/>
      <c r="N1381" s="32"/>
      <c r="O1381" s="32"/>
      <c r="P1381" s="32"/>
      <c r="Q1381" s="32"/>
      <c r="R1381" s="32"/>
      <c r="S1381" s="32"/>
      <c r="T1381" s="32"/>
      <c r="U1381" s="29"/>
      <c r="V1381" s="29"/>
      <c r="W1381" s="24"/>
      <c r="X1381" s="18"/>
      <c r="Y1381" s="18"/>
      <c r="Z1381" s="18"/>
      <c r="AA1381" s="18"/>
      <c r="AB1381" s="18"/>
      <c r="AC1381" s="18"/>
      <c r="AD1381" s="18"/>
      <c r="AE1381" s="19"/>
      <c r="AF1381" s="20"/>
      <c r="AG1381" s="21"/>
      <c r="AH1381" s="21"/>
      <c r="AI1381" s="19"/>
      <c r="AJ1381" s="29"/>
      <c r="AK1381" s="29"/>
      <c r="AL1381" s="29"/>
    </row>
    <row r="1382" spans="2:38" s="28" customFormat="1" x14ac:dyDescent="0.3">
      <c r="B1382" s="24"/>
      <c r="C1382" s="37"/>
      <c r="D1382" s="37"/>
      <c r="E1382" s="37"/>
      <c r="F1382" s="35"/>
      <c r="G1382" s="35"/>
      <c r="H1382" s="35"/>
      <c r="I1382" s="35"/>
      <c r="J1382" s="35"/>
      <c r="K1382" s="35"/>
      <c r="L1382" s="35"/>
      <c r="M1382" s="31"/>
      <c r="N1382" s="32"/>
      <c r="O1382" s="32"/>
      <c r="P1382" s="32"/>
      <c r="Q1382" s="32"/>
      <c r="R1382" s="32"/>
      <c r="S1382" s="32"/>
      <c r="T1382" s="32"/>
      <c r="U1382" s="29"/>
      <c r="V1382" s="29"/>
      <c r="W1382" s="24"/>
      <c r="X1382" s="18"/>
      <c r="Y1382" s="18"/>
      <c r="Z1382" s="18"/>
      <c r="AA1382" s="18"/>
      <c r="AB1382" s="18"/>
      <c r="AC1382" s="18"/>
      <c r="AD1382" s="18"/>
      <c r="AE1382" s="19"/>
      <c r="AF1382" s="20"/>
      <c r="AG1382" s="21"/>
      <c r="AH1382" s="21"/>
      <c r="AI1382" s="19"/>
      <c r="AJ1382" s="29"/>
      <c r="AK1382" s="29"/>
      <c r="AL1382" s="29"/>
    </row>
    <row r="1383" spans="2:38" s="28" customFormat="1" x14ac:dyDescent="0.3">
      <c r="B1383" s="24"/>
      <c r="C1383" s="37"/>
      <c r="D1383" s="37"/>
      <c r="E1383" s="37"/>
      <c r="F1383" s="35"/>
      <c r="G1383" s="35"/>
      <c r="H1383" s="35"/>
      <c r="I1383" s="35"/>
      <c r="J1383" s="35"/>
      <c r="K1383" s="35"/>
      <c r="L1383" s="35"/>
      <c r="M1383" s="31"/>
      <c r="N1383" s="32"/>
      <c r="O1383" s="32"/>
      <c r="P1383" s="32"/>
      <c r="Q1383" s="32"/>
      <c r="R1383" s="32"/>
      <c r="S1383" s="32"/>
      <c r="T1383" s="32"/>
      <c r="U1383" s="29"/>
      <c r="V1383" s="29"/>
      <c r="W1383" s="24"/>
      <c r="X1383" s="18"/>
      <c r="Y1383" s="18"/>
      <c r="Z1383" s="18"/>
      <c r="AA1383" s="18"/>
      <c r="AB1383" s="18"/>
      <c r="AC1383" s="18"/>
      <c r="AD1383" s="18"/>
      <c r="AE1383" s="19"/>
      <c r="AF1383" s="20"/>
      <c r="AG1383" s="21"/>
      <c r="AH1383" s="21"/>
      <c r="AI1383" s="19"/>
      <c r="AJ1383" s="29"/>
      <c r="AK1383" s="29"/>
      <c r="AL1383" s="29"/>
    </row>
    <row r="1384" spans="2:38" s="28" customFormat="1" x14ac:dyDescent="0.3">
      <c r="B1384" s="24"/>
      <c r="C1384" s="37"/>
      <c r="D1384" s="37"/>
      <c r="E1384" s="37"/>
      <c r="F1384" s="35"/>
      <c r="G1384" s="35"/>
      <c r="H1384" s="35"/>
      <c r="I1384" s="35"/>
      <c r="J1384" s="35"/>
      <c r="K1384" s="35"/>
      <c r="L1384" s="35"/>
      <c r="M1384" s="31"/>
      <c r="N1384" s="32"/>
      <c r="O1384" s="32"/>
      <c r="P1384" s="32"/>
      <c r="Q1384" s="32"/>
      <c r="R1384" s="32"/>
      <c r="S1384" s="32"/>
      <c r="T1384" s="32"/>
      <c r="U1384" s="29"/>
      <c r="V1384" s="29"/>
      <c r="W1384" s="24"/>
      <c r="X1384" s="18"/>
      <c r="Y1384" s="18"/>
      <c r="Z1384" s="18"/>
      <c r="AA1384" s="18"/>
      <c r="AB1384" s="18"/>
      <c r="AC1384" s="18"/>
      <c r="AD1384" s="18"/>
      <c r="AE1384" s="19"/>
      <c r="AF1384" s="20"/>
      <c r="AG1384" s="21"/>
      <c r="AH1384" s="21"/>
      <c r="AI1384" s="19"/>
      <c r="AJ1384" s="29"/>
      <c r="AK1384" s="29"/>
      <c r="AL1384" s="29"/>
    </row>
    <row r="1385" spans="2:38" s="28" customFormat="1" x14ac:dyDescent="0.3">
      <c r="B1385" s="24"/>
      <c r="C1385" s="37"/>
      <c r="D1385" s="37"/>
      <c r="E1385" s="37"/>
      <c r="F1385" s="35"/>
      <c r="G1385" s="35"/>
      <c r="H1385" s="35"/>
      <c r="I1385" s="35"/>
      <c r="J1385" s="35"/>
      <c r="K1385" s="35"/>
      <c r="L1385" s="35"/>
      <c r="M1385" s="31"/>
      <c r="N1385" s="32"/>
      <c r="O1385" s="32"/>
      <c r="P1385" s="32"/>
      <c r="Q1385" s="32"/>
      <c r="R1385" s="32"/>
      <c r="S1385" s="32"/>
      <c r="T1385" s="32"/>
      <c r="U1385" s="29"/>
      <c r="V1385" s="29"/>
      <c r="W1385" s="24"/>
      <c r="X1385" s="18"/>
      <c r="Y1385" s="18"/>
      <c r="Z1385" s="18"/>
      <c r="AA1385" s="18"/>
      <c r="AB1385" s="18"/>
      <c r="AC1385" s="18"/>
      <c r="AD1385" s="18"/>
      <c r="AE1385" s="19"/>
      <c r="AF1385" s="20"/>
      <c r="AG1385" s="21"/>
      <c r="AH1385" s="21"/>
      <c r="AI1385" s="19"/>
      <c r="AJ1385" s="29"/>
      <c r="AK1385" s="29"/>
      <c r="AL1385" s="29"/>
    </row>
    <row r="1386" spans="2:38" s="28" customFormat="1" x14ac:dyDescent="0.3">
      <c r="B1386" s="24"/>
      <c r="C1386" s="37"/>
      <c r="D1386" s="37"/>
      <c r="E1386" s="37"/>
      <c r="F1386" s="35"/>
      <c r="G1386" s="35"/>
      <c r="H1386" s="35"/>
      <c r="I1386" s="35"/>
      <c r="J1386" s="35"/>
      <c r="K1386" s="35"/>
      <c r="L1386" s="35"/>
      <c r="M1386" s="31"/>
      <c r="N1386" s="32"/>
      <c r="O1386" s="32"/>
      <c r="P1386" s="32"/>
      <c r="Q1386" s="32"/>
      <c r="R1386" s="32"/>
      <c r="S1386" s="32"/>
      <c r="T1386" s="32"/>
      <c r="U1386" s="29"/>
      <c r="V1386" s="29"/>
      <c r="W1386" s="24"/>
      <c r="X1386" s="18"/>
      <c r="Y1386" s="18"/>
      <c r="Z1386" s="18"/>
      <c r="AA1386" s="18"/>
      <c r="AB1386" s="18"/>
      <c r="AC1386" s="18"/>
      <c r="AD1386" s="18"/>
      <c r="AE1386" s="19"/>
      <c r="AF1386" s="20"/>
      <c r="AG1386" s="21"/>
      <c r="AH1386" s="21"/>
      <c r="AI1386" s="19"/>
      <c r="AJ1386" s="29"/>
      <c r="AK1386" s="29"/>
      <c r="AL1386" s="29"/>
    </row>
    <row r="1387" spans="2:38" s="28" customFormat="1" x14ac:dyDescent="0.3">
      <c r="B1387" s="24"/>
      <c r="C1387" s="37"/>
      <c r="D1387" s="37"/>
      <c r="E1387" s="37"/>
      <c r="F1387" s="35"/>
      <c r="G1387" s="35"/>
      <c r="H1387" s="35"/>
      <c r="I1387" s="35"/>
      <c r="J1387" s="35"/>
      <c r="K1387" s="35"/>
      <c r="L1387" s="35"/>
      <c r="M1387" s="31"/>
      <c r="N1387" s="32"/>
      <c r="O1387" s="32"/>
      <c r="P1387" s="32"/>
      <c r="Q1387" s="32"/>
      <c r="R1387" s="32"/>
      <c r="S1387" s="32"/>
      <c r="T1387" s="32"/>
      <c r="U1387" s="29"/>
      <c r="V1387" s="29"/>
      <c r="W1387" s="24"/>
      <c r="X1387" s="18"/>
      <c r="Y1387" s="18"/>
      <c r="Z1387" s="18"/>
      <c r="AA1387" s="18"/>
      <c r="AB1387" s="18"/>
      <c r="AC1387" s="18"/>
      <c r="AD1387" s="18"/>
      <c r="AE1387" s="19"/>
      <c r="AF1387" s="20"/>
      <c r="AG1387" s="21"/>
      <c r="AH1387" s="21"/>
      <c r="AI1387" s="19"/>
      <c r="AJ1387" s="29"/>
      <c r="AK1387" s="29"/>
      <c r="AL1387" s="29"/>
    </row>
    <row r="1388" spans="2:38" s="28" customFormat="1" x14ac:dyDescent="0.3">
      <c r="B1388" s="24"/>
      <c r="C1388" s="37"/>
      <c r="D1388" s="37"/>
      <c r="E1388" s="37"/>
      <c r="F1388" s="35"/>
      <c r="G1388" s="35"/>
      <c r="H1388" s="35"/>
      <c r="I1388" s="35"/>
      <c r="J1388" s="35"/>
      <c r="K1388" s="35"/>
      <c r="L1388" s="35"/>
      <c r="M1388" s="31"/>
      <c r="N1388" s="32"/>
      <c r="O1388" s="32"/>
      <c r="P1388" s="32"/>
      <c r="Q1388" s="32"/>
      <c r="R1388" s="32"/>
      <c r="S1388" s="32"/>
      <c r="T1388" s="32"/>
      <c r="U1388" s="29"/>
      <c r="V1388" s="29"/>
      <c r="W1388" s="24"/>
      <c r="X1388" s="18"/>
      <c r="Y1388" s="18"/>
      <c r="Z1388" s="18"/>
      <c r="AA1388" s="18"/>
      <c r="AB1388" s="18"/>
      <c r="AC1388" s="18"/>
      <c r="AD1388" s="18"/>
      <c r="AE1388" s="19"/>
      <c r="AF1388" s="20"/>
      <c r="AG1388" s="21"/>
      <c r="AH1388" s="21"/>
      <c r="AI1388" s="19"/>
      <c r="AJ1388" s="29"/>
      <c r="AK1388" s="29"/>
      <c r="AL1388" s="29"/>
    </row>
    <row r="1389" spans="2:38" s="28" customFormat="1" x14ac:dyDescent="0.3">
      <c r="B1389" s="24"/>
      <c r="C1389" s="37"/>
      <c r="D1389" s="37"/>
      <c r="E1389" s="37"/>
      <c r="F1389" s="35"/>
      <c r="G1389" s="35"/>
      <c r="H1389" s="35"/>
      <c r="I1389" s="35"/>
      <c r="J1389" s="35"/>
      <c r="K1389" s="35"/>
      <c r="L1389" s="35"/>
      <c r="M1389" s="31"/>
      <c r="N1389" s="32"/>
      <c r="O1389" s="32"/>
      <c r="P1389" s="32"/>
      <c r="Q1389" s="32"/>
      <c r="R1389" s="32"/>
      <c r="S1389" s="32"/>
      <c r="T1389" s="32"/>
      <c r="U1389" s="29"/>
      <c r="V1389" s="29"/>
      <c r="W1389" s="24"/>
      <c r="X1389" s="18"/>
      <c r="Y1389" s="18"/>
      <c r="Z1389" s="18"/>
      <c r="AA1389" s="18"/>
      <c r="AB1389" s="18"/>
      <c r="AC1389" s="18"/>
      <c r="AD1389" s="18"/>
      <c r="AE1389" s="19"/>
      <c r="AF1389" s="20"/>
      <c r="AG1389" s="21"/>
      <c r="AH1389" s="21"/>
      <c r="AI1389" s="19"/>
      <c r="AJ1389" s="29"/>
      <c r="AK1389" s="29"/>
      <c r="AL1389" s="29"/>
    </row>
    <row r="1390" spans="2:38" s="28" customFormat="1" x14ac:dyDescent="0.3">
      <c r="B1390" s="24"/>
      <c r="C1390" s="37"/>
      <c r="D1390" s="37"/>
      <c r="E1390" s="37"/>
      <c r="F1390" s="35"/>
      <c r="G1390" s="35"/>
      <c r="H1390" s="35"/>
      <c r="I1390" s="35"/>
      <c r="J1390" s="35"/>
      <c r="K1390" s="35"/>
      <c r="L1390" s="35"/>
      <c r="M1390" s="31"/>
      <c r="N1390" s="32"/>
      <c r="O1390" s="32"/>
      <c r="P1390" s="32"/>
      <c r="Q1390" s="32"/>
      <c r="R1390" s="32"/>
      <c r="S1390" s="32"/>
      <c r="T1390" s="32"/>
      <c r="U1390" s="29"/>
      <c r="V1390" s="29"/>
      <c r="W1390" s="24"/>
      <c r="X1390" s="18"/>
      <c r="Y1390" s="18"/>
      <c r="Z1390" s="18"/>
      <c r="AA1390" s="18"/>
      <c r="AB1390" s="18"/>
      <c r="AC1390" s="18"/>
      <c r="AD1390" s="18"/>
      <c r="AE1390" s="19"/>
      <c r="AF1390" s="20"/>
      <c r="AG1390" s="21"/>
      <c r="AH1390" s="21"/>
      <c r="AI1390" s="19"/>
      <c r="AJ1390" s="29"/>
      <c r="AK1390" s="29"/>
      <c r="AL1390" s="29"/>
    </row>
    <row r="1391" spans="2:38" s="28" customFormat="1" x14ac:dyDescent="0.3">
      <c r="B1391" s="24"/>
      <c r="C1391" s="37"/>
      <c r="D1391" s="37"/>
      <c r="E1391" s="37"/>
      <c r="F1391" s="35"/>
      <c r="G1391" s="35"/>
      <c r="H1391" s="35"/>
      <c r="I1391" s="35"/>
      <c r="J1391" s="35"/>
      <c r="K1391" s="35"/>
      <c r="L1391" s="35"/>
      <c r="M1391" s="31"/>
      <c r="N1391" s="32"/>
      <c r="O1391" s="32"/>
      <c r="P1391" s="32"/>
      <c r="Q1391" s="32"/>
      <c r="R1391" s="32"/>
      <c r="S1391" s="32"/>
      <c r="T1391" s="32"/>
      <c r="U1391" s="29"/>
      <c r="V1391" s="29"/>
      <c r="W1391" s="24"/>
      <c r="X1391" s="18"/>
      <c r="Y1391" s="18"/>
      <c r="Z1391" s="18"/>
      <c r="AA1391" s="18"/>
      <c r="AB1391" s="18"/>
      <c r="AC1391" s="18"/>
      <c r="AD1391" s="18"/>
      <c r="AE1391" s="19"/>
      <c r="AF1391" s="20"/>
      <c r="AG1391" s="21"/>
      <c r="AH1391" s="21"/>
      <c r="AI1391" s="19"/>
      <c r="AJ1391" s="29"/>
      <c r="AK1391" s="29"/>
      <c r="AL1391" s="29"/>
    </row>
    <row r="1392" spans="2:38" s="28" customFormat="1" x14ac:dyDescent="0.3">
      <c r="B1392" s="24"/>
      <c r="C1392" s="37"/>
      <c r="D1392" s="37"/>
      <c r="E1392" s="37"/>
      <c r="F1392" s="35"/>
      <c r="G1392" s="35"/>
      <c r="H1392" s="35"/>
      <c r="I1392" s="35"/>
      <c r="J1392" s="35"/>
      <c r="K1392" s="35"/>
      <c r="L1392" s="35"/>
      <c r="M1392" s="31"/>
      <c r="N1392" s="32"/>
      <c r="O1392" s="32"/>
      <c r="P1392" s="32"/>
      <c r="Q1392" s="32"/>
      <c r="R1392" s="32"/>
      <c r="S1392" s="32"/>
      <c r="T1392" s="32"/>
      <c r="U1392" s="29"/>
      <c r="V1392" s="29"/>
      <c r="W1392" s="24"/>
      <c r="X1392" s="18"/>
      <c r="Y1392" s="18"/>
      <c r="Z1392" s="18"/>
      <c r="AA1392" s="18"/>
      <c r="AB1392" s="18"/>
      <c r="AC1392" s="18"/>
      <c r="AD1392" s="18"/>
      <c r="AE1392" s="19"/>
      <c r="AF1392" s="20"/>
      <c r="AG1392" s="21"/>
      <c r="AH1392" s="21"/>
      <c r="AI1392" s="19"/>
      <c r="AJ1392" s="29"/>
      <c r="AK1392" s="29"/>
      <c r="AL1392" s="29"/>
    </row>
    <row r="1393" spans="2:38" s="28" customFormat="1" x14ac:dyDescent="0.3">
      <c r="B1393" s="24"/>
      <c r="C1393" s="37"/>
      <c r="D1393" s="37"/>
      <c r="E1393" s="37"/>
      <c r="F1393" s="35"/>
      <c r="G1393" s="35"/>
      <c r="H1393" s="35"/>
      <c r="I1393" s="35"/>
      <c r="J1393" s="35"/>
      <c r="K1393" s="35"/>
      <c r="L1393" s="35"/>
      <c r="M1393" s="31"/>
      <c r="N1393" s="32"/>
      <c r="O1393" s="32"/>
      <c r="P1393" s="32"/>
      <c r="Q1393" s="32"/>
      <c r="R1393" s="32"/>
      <c r="S1393" s="32"/>
      <c r="T1393" s="32"/>
      <c r="U1393" s="29"/>
      <c r="V1393" s="29"/>
      <c r="W1393" s="24"/>
      <c r="X1393" s="18"/>
      <c r="Y1393" s="18"/>
      <c r="Z1393" s="18"/>
      <c r="AA1393" s="18"/>
      <c r="AB1393" s="18"/>
      <c r="AC1393" s="18"/>
      <c r="AD1393" s="18"/>
      <c r="AE1393" s="19"/>
      <c r="AF1393" s="20"/>
      <c r="AG1393" s="21"/>
      <c r="AH1393" s="21"/>
      <c r="AI1393" s="19"/>
      <c r="AJ1393" s="29"/>
      <c r="AK1393" s="29"/>
      <c r="AL1393" s="29"/>
    </row>
    <row r="1394" spans="2:38" s="28" customFormat="1" x14ac:dyDescent="0.3">
      <c r="B1394" s="24"/>
      <c r="C1394" s="37"/>
      <c r="D1394" s="37"/>
      <c r="E1394" s="37"/>
      <c r="F1394" s="35"/>
      <c r="G1394" s="35"/>
      <c r="H1394" s="35"/>
      <c r="I1394" s="35"/>
      <c r="J1394" s="35"/>
      <c r="K1394" s="35"/>
      <c r="L1394" s="35"/>
      <c r="M1394" s="31"/>
      <c r="N1394" s="32"/>
      <c r="O1394" s="32"/>
      <c r="P1394" s="32"/>
      <c r="Q1394" s="32"/>
      <c r="R1394" s="32"/>
      <c r="S1394" s="32"/>
      <c r="T1394" s="32"/>
      <c r="U1394" s="29"/>
      <c r="V1394" s="29"/>
      <c r="W1394" s="24"/>
      <c r="X1394" s="18"/>
      <c r="Y1394" s="18"/>
      <c r="Z1394" s="18"/>
      <c r="AA1394" s="18"/>
      <c r="AB1394" s="18"/>
      <c r="AC1394" s="18"/>
      <c r="AD1394" s="18"/>
      <c r="AE1394" s="19"/>
      <c r="AF1394" s="20"/>
      <c r="AG1394" s="21"/>
      <c r="AH1394" s="21"/>
      <c r="AI1394" s="19"/>
      <c r="AJ1394" s="29"/>
      <c r="AK1394" s="29"/>
      <c r="AL1394" s="29"/>
    </row>
    <row r="1395" spans="2:38" s="28" customFormat="1" x14ac:dyDescent="0.3">
      <c r="B1395" s="24"/>
      <c r="C1395" s="37"/>
      <c r="D1395" s="37"/>
      <c r="E1395" s="37"/>
      <c r="F1395" s="35"/>
      <c r="G1395" s="35"/>
      <c r="H1395" s="35"/>
      <c r="I1395" s="35"/>
      <c r="J1395" s="35"/>
      <c r="K1395" s="35"/>
      <c r="L1395" s="35"/>
      <c r="M1395" s="31"/>
      <c r="N1395" s="32"/>
      <c r="O1395" s="32"/>
      <c r="P1395" s="32"/>
      <c r="Q1395" s="32"/>
      <c r="R1395" s="32"/>
      <c r="S1395" s="32"/>
      <c r="T1395" s="32"/>
      <c r="U1395" s="29"/>
      <c r="V1395" s="29"/>
      <c r="W1395" s="24"/>
      <c r="X1395" s="18"/>
      <c r="Y1395" s="18"/>
      <c r="Z1395" s="18"/>
      <c r="AA1395" s="18"/>
      <c r="AB1395" s="18"/>
      <c r="AC1395" s="18"/>
      <c r="AD1395" s="18"/>
      <c r="AE1395" s="19"/>
      <c r="AF1395" s="20"/>
      <c r="AG1395" s="21"/>
      <c r="AH1395" s="21"/>
      <c r="AI1395" s="19"/>
      <c r="AJ1395" s="29"/>
      <c r="AK1395" s="29"/>
      <c r="AL1395" s="29"/>
    </row>
    <row r="1396" spans="2:38" s="28" customFormat="1" x14ac:dyDescent="0.3">
      <c r="B1396" s="24"/>
      <c r="C1396" s="37"/>
      <c r="D1396" s="37"/>
      <c r="E1396" s="37"/>
      <c r="F1396" s="35"/>
      <c r="G1396" s="35"/>
      <c r="H1396" s="35"/>
      <c r="I1396" s="35"/>
      <c r="J1396" s="35"/>
      <c r="K1396" s="35"/>
      <c r="L1396" s="35"/>
      <c r="M1396" s="31"/>
      <c r="N1396" s="32"/>
      <c r="O1396" s="32"/>
      <c r="P1396" s="32"/>
      <c r="Q1396" s="32"/>
      <c r="R1396" s="32"/>
      <c r="S1396" s="32"/>
      <c r="T1396" s="32"/>
      <c r="U1396" s="29"/>
      <c r="V1396" s="29"/>
      <c r="W1396" s="24"/>
      <c r="X1396" s="18"/>
      <c r="Y1396" s="18"/>
      <c r="Z1396" s="18"/>
      <c r="AA1396" s="18"/>
      <c r="AB1396" s="18"/>
      <c r="AC1396" s="18"/>
      <c r="AD1396" s="18"/>
      <c r="AE1396" s="19"/>
      <c r="AF1396" s="20"/>
      <c r="AG1396" s="21"/>
      <c r="AH1396" s="21"/>
      <c r="AI1396" s="19"/>
      <c r="AJ1396" s="29"/>
      <c r="AK1396" s="29"/>
      <c r="AL1396" s="29"/>
    </row>
    <row r="1397" spans="2:38" s="28" customFormat="1" x14ac:dyDescent="0.3">
      <c r="B1397" s="24"/>
      <c r="C1397" s="37"/>
      <c r="D1397" s="37"/>
      <c r="E1397" s="37"/>
      <c r="F1397" s="35"/>
      <c r="G1397" s="35"/>
      <c r="H1397" s="35"/>
      <c r="I1397" s="35"/>
      <c r="J1397" s="35"/>
      <c r="K1397" s="35"/>
      <c r="L1397" s="35"/>
      <c r="M1397" s="31"/>
      <c r="N1397" s="32"/>
      <c r="O1397" s="32"/>
      <c r="P1397" s="32"/>
      <c r="Q1397" s="32"/>
      <c r="R1397" s="32"/>
      <c r="S1397" s="32"/>
      <c r="T1397" s="32"/>
      <c r="U1397" s="29"/>
      <c r="V1397" s="29"/>
      <c r="W1397" s="24"/>
      <c r="X1397" s="18"/>
      <c r="Y1397" s="18"/>
      <c r="Z1397" s="18"/>
      <c r="AA1397" s="18"/>
      <c r="AB1397" s="18"/>
      <c r="AC1397" s="18"/>
      <c r="AD1397" s="18"/>
      <c r="AE1397" s="19"/>
      <c r="AF1397" s="20"/>
      <c r="AG1397" s="21"/>
      <c r="AH1397" s="21"/>
      <c r="AI1397" s="19"/>
      <c r="AJ1397" s="29"/>
      <c r="AK1397" s="29"/>
      <c r="AL1397" s="29"/>
    </row>
    <row r="1398" spans="2:38" s="28" customFormat="1" x14ac:dyDescent="0.3">
      <c r="B1398" s="24"/>
      <c r="C1398" s="37"/>
      <c r="D1398" s="37"/>
      <c r="E1398" s="37"/>
      <c r="F1398" s="35"/>
      <c r="G1398" s="35"/>
      <c r="H1398" s="35"/>
      <c r="I1398" s="35"/>
      <c r="J1398" s="35"/>
      <c r="K1398" s="35"/>
      <c r="L1398" s="35"/>
      <c r="M1398" s="31"/>
      <c r="N1398" s="32"/>
      <c r="O1398" s="32"/>
      <c r="P1398" s="32"/>
      <c r="Q1398" s="32"/>
      <c r="R1398" s="32"/>
      <c r="S1398" s="32"/>
      <c r="T1398" s="32"/>
      <c r="U1398" s="29"/>
      <c r="V1398" s="29"/>
      <c r="W1398" s="24"/>
      <c r="X1398" s="18"/>
      <c r="Y1398" s="18"/>
      <c r="Z1398" s="18"/>
      <c r="AA1398" s="18"/>
      <c r="AB1398" s="18"/>
      <c r="AC1398" s="18"/>
      <c r="AD1398" s="18"/>
      <c r="AE1398" s="19"/>
      <c r="AF1398" s="20"/>
      <c r="AG1398" s="21"/>
      <c r="AH1398" s="21"/>
      <c r="AI1398" s="19"/>
      <c r="AJ1398" s="29"/>
      <c r="AK1398" s="29"/>
      <c r="AL1398" s="29"/>
    </row>
    <row r="1399" spans="2:38" s="28" customFormat="1" x14ac:dyDescent="0.3">
      <c r="B1399" s="24"/>
      <c r="C1399" s="37"/>
      <c r="D1399" s="37"/>
      <c r="E1399" s="37"/>
      <c r="F1399" s="35"/>
      <c r="G1399" s="35"/>
      <c r="H1399" s="35"/>
      <c r="I1399" s="35"/>
      <c r="J1399" s="35"/>
      <c r="K1399" s="35"/>
      <c r="L1399" s="35"/>
      <c r="M1399" s="31"/>
      <c r="N1399" s="32"/>
      <c r="O1399" s="32"/>
      <c r="P1399" s="32"/>
      <c r="Q1399" s="32"/>
      <c r="R1399" s="32"/>
      <c r="S1399" s="32"/>
      <c r="T1399" s="32"/>
      <c r="U1399" s="29"/>
      <c r="V1399" s="29"/>
      <c r="W1399" s="24"/>
      <c r="X1399" s="18"/>
      <c r="Y1399" s="18"/>
      <c r="Z1399" s="18"/>
      <c r="AA1399" s="18"/>
      <c r="AB1399" s="18"/>
      <c r="AC1399" s="18"/>
      <c r="AD1399" s="18"/>
      <c r="AE1399" s="19"/>
      <c r="AF1399" s="20"/>
      <c r="AG1399" s="21"/>
      <c r="AH1399" s="21"/>
      <c r="AI1399" s="19"/>
      <c r="AJ1399" s="29"/>
      <c r="AK1399" s="29"/>
      <c r="AL1399" s="29"/>
    </row>
    <row r="1400" spans="2:38" s="28" customFormat="1" x14ac:dyDescent="0.3">
      <c r="B1400" s="24"/>
      <c r="C1400" s="37"/>
      <c r="D1400" s="37"/>
      <c r="E1400" s="37"/>
      <c r="F1400" s="35"/>
      <c r="G1400" s="35"/>
      <c r="H1400" s="35"/>
      <c r="I1400" s="35"/>
      <c r="J1400" s="35"/>
      <c r="K1400" s="35"/>
      <c r="L1400" s="35"/>
      <c r="M1400" s="31"/>
      <c r="N1400" s="32"/>
      <c r="O1400" s="32"/>
      <c r="P1400" s="32"/>
      <c r="Q1400" s="32"/>
      <c r="R1400" s="32"/>
      <c r="S1400" s="32"/>
      <c r="T1400" s="32"/>
      <c r="U1400" s="29"/>
      <c r="V1400" s="29"/>
      <c r="W1400" s="24"/>
      <c r="X1400" s="18"/>
      <c r="Y1400" s="18"/>
      <c r="Z1400" s="18"/>
      <c r="AA1400" s="18"/>
      <c r="AB1400" s="18"/>
      <c r="AC1400" s="18"/>
      <c r="AD1400" s="18"/>
      <c r="AE1400" s="19"/>
      <c r="AF1400" s="20"/>
      <c r="AG1400" s="21"/>
      <c r="AH1400" s="21"/>
      <c r="AI1400" s="19"/>
      <c r="AJ1400" s="29"/>
      <c r="AK1400" s="29"/>
      <c r="AL1400" s="29"/>
    </row>
    <row r="1401" spans="2:38" s="28" customFormat="1" x14ac:dyDescent="0.3">
      <c r="B1401" s="24"/>
      <c r="C1401" s="37"/>
      <c r="D1401" s="37"/>
      <c r="E1401" s="37"/>
      <c r="F1401" s="35"/>
      <c r="G1401" s="35"/>
      <c r="H1401" s="35"/>
      <c r="I1401" s="35"/>
      <c r="J1401" s="35"/>
      <c r="K1401" s="35"/>
      <c r="L1401" s="35"/>
      <c r="M1401" s="31"/>
      <c r="N1401" s="32"/>
      <c r="O1401" s="32"/>
      <c r="P1401" s="32"/>
      <c r="Q1401" s="32"/>
      <c r="R1401" s="32"/>
      <c r="S1401" s="32"/>
      <c r="T1401" s="32"/>
      <c r="U1401" s="29"/>
      <c r="V1401" s="29"/>
      <c r="W1401" s="24"/>
      <c r="X1401" s="18"/>
      <c r="Y1401" s="18"/>
      <c r="Z1401" s="18"/>
      <c r="AA1401" s="18"/>
      <c r="AB1401" s="18"/>
      <c r="AC1401" s="18"/>
      <c r="AD1401" s="18"/>
      <c r="AE1401" s="19"/>
      <c r="AF1401" s="20"/>
      <c r="AG1401" s="21"/>
      <c r="AH1401" s="21"/>
      <c r="AI1401" s="19"/>
      <c r="AJ1401" s="29"/>
      <c r="AK1401" s="29"/>
      <c r="AL1401" s="29"/>
    </row>
    <row r="1402" spans="2:38" s="28" customFormat="1" x14ac:dyDescent="0.3">
      <c r="B1402" s="24"/>
      <c r="C1402" s="37"/>
      <c r="D1402" s="37"/>
      <c r="E1402" s="37"/>
      <c r="F1402" s="35"/>
      <c r="G1402" s="35"/>
      <c r="H1402" s="35"/>
      <c r="I1402" s="35"/>
      <c r="J1402" s="35"/>
      <c r="K1402" s="35"/>
      <c r="L1402" s="35"/>
      <c r="M1402" s="31"/>
      <c r="N1402" s="32"/>
      <c r="O1402" s="32"/>
      <c r="P1402" s="32"/>
      <c r="Q1402" s="32"/>
      <c r="R1402" s="32"/>
      <c r="S1402" s="32"/>
      <c r="T1402" s="32"/>
      <c r="U1402" s="29"/>
      <c r="V1402" s="29"/>
      <c r="W1402" s="24"/>
      <c r="X1402" s="18"/>
      <c r="Y1402" s="18"/>
      <c r="Z1402" s="18"/>
      <c r="AA1402" s="18"/>
      <c r="AB1402" s="18"/>
      <c r="AC1402" s="18"/>
      <c r="AD1402" s="18"/>
      <c r="AE1402" s="19"/>
      <c r="AF1402" s="20"/>
      <c r="AG1402" s="21"/>
      <c r="AH1402" s="21"/>
      <c r="AI1402" s="19"/>
      <c r="AJ1402" s="29"/>
      <c r="AK1402" s="29"/>
      <c r="AL1402" s="29"/>
    </row>
    <row r="1403" spans="2:38" s="28" customFormat="1" x14ac:dyDescent="0.3">
      <c r="B1403" s="24"/>
      <c r="C1403" s="37"/>
      <c r="D1403" s="37"/>
      <c r="E1403" s="37"/>
      <c r="F1403" s="35"/>
      <c r="G1403" s="35"/>
      <c r="H1403" s="35"/>
      <c r="I1403" s="35"/>
      <c r="J1403" s="35"/>
      <c r="K1403" s="35"/>
      <c r="L1403" s="35"/>
      <c r="M1403" s="31"/>
      <c r="N1403" s="32"/>
      <c r="O1403" s="32"/>
      <c r="P1403" s="32"/>
      <c r="Q1403" s="32"/>
      <c r="R1403" s="32"/>
      <c r="S1403" s="32"/>
      <c r="T1403" s="32"/>
      <c r="U1403" s="29"/>
      <c r="V1403" s="29"/>
      <c r="W1403" s="24"/>
      <c r="X1403" s="18"/>
      <c r="Y1403" s="18"/>
      <c r="Z1403" s="18"/>
      <c r="AA1403" s="18"/>
      <c r="AB1403" s="18"/>
      <c r="AC1403" s="18"/>
      <c r="AD1403" s="18"/>
      <c r="AE1403" s="19"/>
      <c r="AF1403" s="20"/>
      <c r="AG1403" s="21"/>
      <c r="AH1403" s="21"/>
      <c r="AI1403" s="19"/>
      <c r="AJ1403" s="29"/>
      <c r="AK1403" s="29"/>
      <c r="AL1403" s="29"/>
    </row>
    <row r="1404" spans="2:38" s="28" customFormat="1" x14ac:dyDescent="0.3">
      <c r="B1404" s="24"/>
      <c r="C1404" s="37"/>
      <c r="D1404" s="37"/>
      <c r="E1404" s="37"/>
      <c r="F1404" s="35"/>
      <c r="G1404" s="35"/>
      <c r="H1404" s="35"/>
      <c r="I1404" s="35"/>
      <c r="J1404" s="35"/>
      <c r="K1404" s="35"/>
      <c r="L1404" s="35"/>
      <c r="M1404" s="31"/>
      <c r="N1404" s="32"/>
      <c r="O1404" s="32"/>
      <c r="P1404" s="32"/>
      <c r="Q1404" s="32"/>
      <c r="R1404" s="32"/>
      <c r="S1404" s="32"/>
      <c r="T1404" s="32"/>
      <c r="U1404" s="29"/>
      <c r="V1404" s="29"/>
      <c r="W1404" s="24"/>
      <c r="X1404" s="18"/>
      <c r="Y1404" s="18"/>
      <c r="Z1404" s="18"/>
      <c r="AA1404" s="18"/>
      <c r="AB1404" s="18"/>
      <c r="AC1404" s="18"/>
      <c r="AD1404" s="18"/>
      <c r="AE1404" s="19"/>
      <c r="AF1404" s="20"/>
      <c r="AG1404" s="21"/>
      <c r="AH1404" s="21"/>
      <c r="AI1404" s="19"/>
      <c r="AJ1404" s="29"/>
      <c r="AK1404" s="29"/>
      <c r="AL1404" s="29"/>
    </row>
    <row r="1405" spans="2:38" s="28" customFormat="1" x14ac:dyDescent="0.3">
      <c r="B1405" s="24"/>
      <c r="C1405" s="37"/>
      <c r="D1405" s="37"/>
      <c r="E1405" s="37"/>
      <c r="F1405" s="35"/>
      <c r="G1405" s="35"/>
      <c r="H1405" s="35"/>
      <c r="I1405" s="35"/>
      <c r="J1405" s="35"/>
      <c r="K1405" s="35"/>
      <c r="L1405" s="35"/>
      <c r="M1405" s="31"/>
      <c r="N1405" s="32"/>
      <c r="O1405" s="32"/>
      <c r="P1405" s="32"/>
      <c r="Q1405" s="32"/>
      <c r="R1405" s="32"/>
      <c r="S1405" s="32"/>
      <c r="T1405" s="32"/>
      <c r="U1405" s="29"/>
      <c r="V1405" s="29"/>
      <c r="W1405" s="24"/>
      <c r="X1405" s="18"/>
      <c r="Y1405" s="18"/>
      <c r="Z1405" s="18"/>
      <c r="AA1405" s="18"/>
      <c r="AB1405" s="18"/>
      <c r="AC1405" s="18"/>
      <c r="AD1405" s="18"/>
      <c r="AE1405" s="19"/>
      <c r="AF1405" s="20"/>
      <c r="AG1405" s="21"/>
      <c r="AH1405" s="21"/>
      <c r="AI1405" s="19"/>
      <c r="AJ1405" s="29"/>
      <c r="AK1405" s="29"/>
      <c r="AL1405" s="29"/>
    </row>
    <row r="1406" spans="2:38" s="28" customFormat="1" x14ac:dyDescent="0.3">
      <c r="B1406" s="24"/>
      <c r="C1406" s="37"/>
      <c r="D1406" s="37"/>
      <c r="E1406" s="37"/>
      <c r="F1406" s="35"/>
      <c r="G1406" s="35"/>
      <c r="H1406" s="35"/>
      <c r="I1406" s="35"/>
      <c r="J1406" s="35"/>
      <c r="K1406" s="35"/>
      <c r="L1406" s="35"/>
      <c r="M1406" s="31"/>
      <c r="N1406" s="32"/>
      <c r="O1406" s="32"/>
      <c r="P1406" s="32"/>
      <c r="Q1406" s="32"/>
      <c r="R1406" s="32"/>
      <c r="S1406" s="32"/>
      <c r="T1406" s="32"/>
      <c r="U1406" s="29"/>
      <c r="V1406" s="29"/>
      <c r="W1406" s="24"/>
      <c r="X1406" s="18"/>
      <c r="Y1406" s="18"/>
      <c r="Z1406" s="18"/>
      <c r="AA1406" s="18"/>
      <c r="AB1406" s="18"/>
      <c r="AC1406" s="18"/>
      <c r="AD1406" s="18"/>
      <c r="AE1406" s="19"/>
      <c r="AF1406" s="20"/>
      <c r="AG1406" s="21"/>
      <c r="AH1406" s="21"/>
      <c r="AI1406" s="19"/>
      <c r="AJ1406" s="29"/>
      <c r="AK1406" s="29"/>
      <c r="AL1406" s="29"/>
    </row>
    <row r="1407" spans="2:38" s="28" customFormat="1" x14ac:dyDescent="0.3">
      <c r="B1407" s="24"/>
      <c r="C1407" s="37"/>
      <c r="D1407" s="37"/>
      <c r="E1407" s="37"/>
      <c r="F1407" s="35"/>
      <c r="G1407" s="35"/>
      <c r="H1407" s="35"/>
      <c r="I1407" s="35"/>
      <c r="J1407" s="35"/>
      <c r="K1407" s="35"/>
      <c r="L1407" s="35"/>
      <c r="M1407" s="31"/>
      <c r="N1407" s="32"/>
      <c r="O1407" s="32"/>
      <c r="P1407" s="32"/>
      <c r="Q1407" s="32"/>
      <c r="R1407" s="32"/>
      <c r="S1407" s="32"/>
      <c r="T1407" s="32"/>
      <c r="U1407" s="29"/>
      <c r="V1407" s="29"/>
      <c r="W1407" s="24"/>
      <c r="X1407" s="18"/>
      <c r="Y1407" s="18"/>
      <c r="Z1407" s="18"/>
      <c r="AA1407" s="18"/>
      <c r="AB1407" s="18"/>
      <c r="AC1407" s="18"/>
      <c r="AD1407" s="18"/>
      <c r="AE1407" s="19"/>
      <c r="AF1407" s="20"/>
      <c r="AG1407" s="21"/>
      <c r="AH1407" s="21"/>
      <c r="AI1407" s="19"/>
      <c r="AJ1407" s="29"/>
      <c r="AK1407" s="29"/>
      <c r="AL1407" s="29"/>
    </row>
    <row r="1408" spans="2:38" s="28" customFormat="1" x14ac:dyDescent="0.3">
      <c r="B1408" s="24"/>
      <c r="C1408" s="37"/>
      <c r="D1408" s="37"/>
      <c r="E1408" s="37"/>
      <c r="F1408" s="35"/>
      <c r="G1408" s="35"/>
      <c r="H1408" s="35"/>
      <c r="I1408" s="35"/>
      <c r="J1408" s="35"/>
      <c r="K1408" s="35"/>
      <c r="L1408" s="35"/>
      <c r="M1408" s="31"/>
      <c r="N1408" s="32"/>
      <c r="O1408" s="32"/>
      <c r="P1408" s="32"/>
      <c r="Q1408" s="32"/>
      <c r="R1408" s="32"/>
      <c r="S1408" s="32"/>
      <c r="T1408" s="32"/>
      <c r="U1408" s="29"/>
      <c r="V1408" s="29"/>
      <c r="W1408" s="24"/>
      <c r="X1408" s="18"/>
      <c r="Y1408" s="18"/>
      <c r="Z1408" s="18"/>
      <c r="AA1408" s="18"/>
      <c r="AB1408" s="18"/>
      <c r="AC1408" s="18"/>
      <c r="AD1408" s="18"/>
      <c r="AE1408" s="19"/>
      <c r="AF1408" s="20"/>
      <c r="AG1408" s="21"/>
      <c r="AH1408" s="21"/>
      <c r="AI1408" s="19"/>
      <c r="AJ1408" s="29"/>
      <c r="AK1408" s="29"/>
      <c r="AL1408" s="29"/>
    </row>
    <row r="1409" spans="2:38" s="28" customFormat="1" x14ac:dyDescent="0.3">
      <c r="B1409" s="24"/>
      <c r="C1409" s="37"/>
      <c r="D1409" s="37"/>
      <c r="E1409" s="37"/>
      <c r="F1409" s="35"/>
      <c r="G1409" s="35"/>
      <c r="H1409" s="35"/>
      <c r="I1409" s="35"/>
      <c r="J1409" s="35"/>
      <c r="K1409" s="35"/>
      <c r="L1409" s="35"/>
      <c r="M1409" s="31"/>
      <c r="N1409" s="32"/>
      <c r="O1409" s="32"/>
      <c r="P1409" s="32"/>
      <c r="Q1409" s="32"/>
      <c r="R1409" s="32"/>
      <c r="S1409" s="32"/>
      <c r="T1409" s="32"/>
      <c r="U1409" s="29"/>
      <c r="V1409" s="29"/>
      <c r="W1409" s="24"/>
      <c r="X1409" s="18"/>
      <c r="Y1409" s="18"/>
      <c r="Z1409" s="18"/>
      <c r="AA1409" s="18"/>
      <c r="AB1409" s="18"/>
      <c r="AC1409" s="18"/>
      <c r="AD1409" s="18"/>
      <c r="AE1409" s="19"/>
      <c r="AF1409" s="20"/>
      <c r="AG1409" s="21"/>
      <c r="AH1409" s="21"/>
      <c r="AI1409" s="19"/>
      <c r="AJ1409" s="29"/>
      <c r="AK1409" s="29"/>
      <c r="AL1409" s="29"/>
    </row>
    <row r="1410" spans="2:38" s="28" customFormat="1" x14ac:dyDescent="0.3">
      <c r="B1410" s="24"/>
      <c r="C1410" s="37"/>
      <c r="D1410" s="37"/>
      <c r="E1410" s="37"/>
      <c r="F1410" s="35"/>
      <c r="G1410" s="35"/>
      <c r="H1410" s="35"/>
      <c r="I1410" s="35"/>
      <c r="J1410" s="35"/>
      <c r="K1410" s="35"/>
      <c r="L1410" s="35"/>
      <c r="M1410" s="31"/>
      <c r="N1410" s="32"/>
      <c r="O1410" s="32"/>
      <c r="P1410" s="32"/>
      <c r="Q1410" s="32"/>
      <c r="R1410" s="32"/>
      <c r="S1410" s="32"/>
      <c r="T1410" s="32"/>
      <c r="U1410" s="29"/>
      <c r="V1410" s="29"/>
      <c r="W1410" s="24"/>
      <c r="X1410" s="18"/>
      <c r="Y1410" s="18"/>
      <c r="Z1410" s="18"/>
      <c r="AA1410" s="18"/>
      <c r="AB1410" s="18"/>
      <c r="AC1410" s="18"/>
      <c r="AD1410" s="18"/>
      <c r="AE1410" s="19"/>
      <c r="AF1410" s="20"/>
      <c r="AG1410" s="21"/>
      <c r="AH1410" s="21"/>
      <c r="AI1410" s="19"/>
      <c r="AJ1410" s="29"/>
      <c r="AK1410" s="29"/>
      <c r="AL1410" s="29"/>
    </row>
    <row r="1411" spans="2:38" s="28" customFormat="1" x14ac:dyDescent="0.3">
      <c r="B1411" s="24"/>
      <c r="C1411" s="37"/>
      <c r="D1411" s="37"/>
      <c r="E1411" s="37"/>
      <c r="F1411" s="35"/>
      <c r="G1411" s="35"/>
      <c r="H1411" s="35"/>
      <c r="I1411" s="35"/>
      <c r="J1411" s="35"/>
      <c r="K1411" s="35"/>
      <c r="L1411" s="35"/>
      <c r="M1411" s="31"/>
      <c r="N1411" s="32"/>
      <c r="O1411" s="32"/>
      <c r="P1411" s="32"/>
      <c r="Q1411" s="32"/>
      <c r="R1411" s="32"/>
      <c r="S1411" s="32"/>
      <c r="T1411" s="32"/>
      <c r="U1411" s="29"/>
      <c r="V1411" s="29"/>
      <c r="W1411" s="24"/>
      <c r="X1411" s="18"/>
      <c r="Y1411" s="18"/>
      <c r="Z1411" s="18"/>
      <c r="AA1411" s="18"/>
      <c r="AB1411" s="18"/>
      <c r="AC1411" s="18"/>
      <c r="AD1411" s="18"/>
      <c r="AE1411" s="19"/>
      <c r="AF1411" s="20"/>
      <c r="AG1411" s="21"/>
      <c r="AH1411" s="21"/>
      <c r="AI1411" s="19"/>
      <c r="AJ1411" s="29"/>
      <c r="AK1411" s="29"/>
      <c r="AL1411" s="29"/>
    </row>
    <row r="1412" spans="2:38" s="28" customFormat="1" x14ac:dyDescent="0.3">
      <c r="B1412" s="24"/>
      <c r="C1412" s="37"/>
      <c r="D1412" s="37"/>
      <c r="E1412" s="37"/>
      <c r="F1412" s="35"/>
      <c r="G1412" s="35"/>
      <c r="H1412" s="35"/>
      <c r="I1412" s="35"/>
      <c r="J1412" s="35"/>
      <c r="K1412" s="35"/>
      <c r="L1412" s="35"/>
      <c r="M1412" s="31"/>
      <c r="N1412" s="32"/>
      <c r="O1412" s="32"/>
      <c r="P1412" s="32"/>
      <c r="Q1412" s="32"/>
      <c r="R1412" s="32"/>
      <c r="S1412" s="32"/>
      <c r="T1412" s="32"/>
      <c r="U1412" s="29"/>
      <c r="V1412" s="29"/>
      <c r="W1412" s="24"/>
      <c r="X1412" s="18"/>
      <c r="Y1412" s="18"/>
      <c r="Z1412" s="18"/>
      <c r="AA1412" s="18"/>
      <c r="AB1412" s="18"/>
      <c r="AC1412" s="18"/>
      <c r="AD1412" s="18"/>
      <c r="AE1412" s="19"/>
      <c r="AF1412" s="20"/>
      <c r="AG1412" s="21"/>
      <c r="AH1412" s="21"/>
      <c r="AI1412" s="19"/>
      <c r="AJ1412" s="29"/>
      <c r="AK1412" s="29"/>
      <c r="AL1412" s="29"/>
    </row>
    <row r="1413" spans="2:38" s="28" customFormat="1" x14ac:dyDescent="0.3">
      <c r="B1413" s="24"/>
      <c r="C1413" s="37"/>
      <c r="D1413" s="37"/>
      <c r="E1413" s="37"/>
      <c r="F1413" s="35"/>
      <c r="G1413" s="35"/>
      <c r="H1413" s="35"/>
      <c r="I1413" s="35"/>
      <c r="J1413" s="35"/>
      <c r="K1413" s="35"/>
      <c r="L1413" s="35"/>
      <c r="M1413" s="31"/>
      <c r="N1413" s="32"/>
      <c r="O1413" s="32"/>
      <c r="P1413" s="32"/>
      <c r="Q1413" s="32"/>
      <c r="R1413" s="32"/>
      <c r="S1413" s="32"/>
      <c r="T1413" s="32"/>
      <c r="U1413" s="29"/>
      <c r="V1413" s="29"/>
      <c r="W1413" s="24"/>
      <c r="X1413" s="18"/>
      <c r="Y1413" s="18"/>
      <c r="Z1413" s="18"/>
      <c r="AA1413" s="18"/>
      <c r="AB1413" s="18"/>
      <c r="AC1413" s="18"/>
      <c r="AD1413" s="18"/>
      <c r="AE1413" s="19"/>
      <c r="AF1413" s="20"/>
      <c r="AG1413" s="21"/>
      <c r="AH1413" s="21"/>
      <c r="AI1413" s="19"/>
      <c r="AJ1413" s="29"/>
      <c r="AK1413" s="29"/>
      <c r="AL1413" s="29"/>
    </row>
    <row r="1414" spans="2:38" s="28" customFormat="1" x14ac:dyDescent="0.3">
      <c r="B1414" s="24"/>
      <c r="C1414" s="37"/>
      <c r="D1414" s="37"/>
      <c r="E1414" s="37"/>
      <c r="F1414" s="35"/>
      <c r="G1414" s="35"/>
      <c r="H1414" s="35"/>
      <c r="I1414" s="35"/>
      <c r="J1414" s="35"/>
      <c r="K1414" s="35"/>
      <c r="L1414" s="35"/>
      <c r="M1414" s="31"/>
      <c r="N1414" s="32"/>
      <c r="O1414" s="32"/>
      <c r="P1414" s="32"/>
      <c r="Q1414" s="32"/>
      <c r="R1414" s="32"/>
      <c r="S1414" s="32"/>
      <c r="T1414" s="32"/>
      <c r="U1414" s="29"/>
      <c r="V1414" s="29"/>
      <c r="W1414" s="24"/>
      <c r="X1414" s="18"/>
      <c r="Y1414" s="18"/>
      <c r="Z1414" s="18"/>
      <c r="AA1414" s="18"/>
      <c r="AB1414" s="18"/>
      <c r="AC1414" s="18"/>
      <c r="AD1414" s="18"/>
      <c r="AE1414" s="19"/>
      <c r="AF1414" s="20"/>
      <c r="AG1414" s="21"/>
      <c r="AH1414" s="21"/>
      <c r="AI1414" s="19"/>
      <c r="AJ1414" s="29"/>
      <c r="AK1414" s="29"/>
      <c r="AL1414" s="29"/>
    </row>
    <row r="1415" spans="2:38" s="28" customFormat="1" x14ac:dyDescent="0.3">
      <c r="B1415" s="24"/>
      <c r="C1415" s="37"/>
      <c r="D1415" s="37"/>
      <c r="E1415" s="37"/>
      <c r="F1415" s="35"/>
      <c r="G1415" s="35"/>
      <c r="H1415" s="35"/>
      <c r="I1415" s="35"/>
      <c r="J1415" s="35"/>
      <c r="K1415" s="35"/>
      <c r="L1415" s="35"/>
      <c r="M1415" s="31"/>
      <c r="N1415" s="32"/>
      <c r="O1415" s="32"/>
      <c r="P1415" s="32"/>
      <c r="Q1415" s="32"/>
      <c r="R1415" s="32"/>
      <c r="S1415" s="32"/>
      <c r="T1415" s="32"/>
      <c r="U1415" s="29"/>
      <c r="V1415" s="29"/>
      <c r="W1415" s="24"/>
      <c r="X1415" s="18"/>
      <c r="Y1415" s="18"/>
      <c r="Z1415" s="18"/>
      <c r="AA1415" s="18"/>
      <c r="AB1415" s="18"/>
      <c r="AC1415" s="18"/>
      <c r="AD1415" s="18"/>
      <c r="AE1415" s="19"/>
      <c r="AF1415" s="20"/>
      <c r="AG1415" s="21"/>
      <c r="AH1415" s="21"/>
      <c r="AI1415" s="19"/>
      <c r="AJ1415" s="29"/>
      <c r="AK1415" s="29"/>
      <c r="AL1415" s="29"/>
    </row>
    <row r="1416" spans="2:38" s="28" customFormat="1" x14ac:dyDescent="0.3">
      <c r="B1416" s="24"/>
      <c r="C1416" s="37"/>
      <c r="D1416" s="37"/>
      <c r="E1416" s="37"/>
      <c r="F1416" s="35"/>
      <c r="G1416" s="35"/>
      <c r="H1416" s="35"/>
      <c r="I1416" s="35"/>
      <c r="J1416" s="35"/>
      <c r="K1416" s="35"/>
      <c r="L1416" s="35"/>
      <c r="M1416" s="31"/>
      <c r="N1416" s="32"/>
      <c r="O1416" s="32"/>
      <c r="P1416" s="32"/>
      <c r="Q1416" s="32"/>
      <c r="R1416" s="32"/>
      <c r="S1416" s="32"/>
      <c r="T1416" s="32"/>
      <c r="U1416" s="29"/>
      <c r="V1416" s="29"/>
      <c r="W1416" s="24"/>
      <c r="X1416" s="18"/>
      <c r="Y1416" s="18"/>
      <c r="Z1416" s="18"/>
      <c r="AA1416" s="18"/>
      <c r="AB1416" s="18"/>
      <c r="AC1416" s="18"/>
      <c r="AD1416" s="18"/>
      <c r="AE1416" s="19"/>
      <c r="AF1416" s="20"/>
      <c r="AG1416" s="21"/>
      <c r="AH1416" s="21"/>
      <c r="AI1416" s="19"/>
      <c r="AJ1416" s="29"/>
      <c r="AK1416" s="29"/>
      <c r="AL1416" s="29"/>
    </row>
    <row r="1417" spans="2:38" s="28" customFormat="1" x14ac:dyDescent="0.3">
      <c r="B1417" s="24"/>
      <c r="C1417" s="37"/>
      <c r="D1417" s="37"/>
      <c r="E1417" s="37"/>
      <c r="F1417" s="35"/>
      <c r="G1417" s="35"/>
      <c r="H1417" s="35"/>
      <c r="I1417" s="35"/>
      <c r="J1417" s="35"/>
      <c r="K1417" s="35"/>
      <c r="L1417" s="35"/>
      <c r="M1417" s="31"/>
      <c r="N1417" s="32"/>
      <c r="O1417" s="32"/>
      <c r="P1417" s="32"/>
      <c r="Q1417" s="32"/>
      <c r="R1417" s="32"/>
      <c r="S1417" s="32"/>
      <c r="T1417" s="32"/>
      <c r="U1417" s="29"/>
      <c r="V1417" s="29"/>
      <c r="W1417" s="24"/>
      <c r="X1417" s="18"/>
      <c r="Y1417" s="18"/>
      <c r="Z1417" s="18"/>
      <c r="AA1417" s="18"/>
      <c r="AB1417" s="18"/>
      <c r="AC1417" s="18"/>
      <c r="AD1417" s="18"/>
      <c r="AE1417" s="19"/>
      <c r="AF1417" s="20"/>
      <c r="AG1417" s="21"/>
      <c r="AH1417" s="21"/>
      <c r="AI1417" s="19"/>
      <c r="AJ1417" s="29"/>
      <c r="AK1417" s="29"/>
      <c r="AL1417" s="29"/>
    </row>
    <row r="1418" spans="2:38" s="28" customFormat="1" x14ac:dyDescent="0.3">
      <c r="B1418" s="24"/>
      <c r="C1418" s="37"/>
      <c r="D1418" s="37"/>
      <c r="E1418" s="37"/>
      <c r="F1418" s="35"/>
      <c r="G1418" s="35"/>
      <c r="H1418" s="35"/>
      <c r="I1418" s="35"/>
      <c r="J1418" s="35"/>
      <c r="K1418" s="35"/>
      <c r="L1418" s="35"/>
      <c r="M1418" s="31"/>
      <c r="N1418" s="32"/>
      <c r="O1418" s="32"/>
      <c r="P1418" s="32"/>
      <c r="Q1418" s="32"/>
      <c r="R1418" s="32"/>
      <c r="S1418" s="32"/>
      <c r="T1418" s="32"/>
      <c r="U1418" s="29"/>
      <c r="V1418" s="29"/>
      <c r="W1418" s="24"/>
      <c r="X1418" s="18"/>
      <c r="Y1418" s="18"/>
      <c r="Z1418" s="18"/>
      <c r="AA1418" s="18"/>
      <c r="AB1418" s="18"/>
      <c r="AC1418" s="18"/>
      <c r="AD1418" s="18"/>
      <c r="AE1418" s="19"/>
      <c r="AF1418" s="20"/>
      <c r="AG1418" s="21"/>
      <c r="AH1418" s="21"/>
      <c r="AI1418" s="19"/>
      <c r="AJ1418" s="29"/>
      <c r="AK1418" s="29"/>
      <c r="AL1418" s="29"/>
    </row>
    <row r="1419" spans="2:38" s="28" customFormat="1" x14ac:dyDescent="0.3">
      <c r="B1419" s="24"/>
      <c r="C1419" s="37"/>
      <c r="D1419" s="37"/>
      <c r="E1419" s="37"/>
      <c r="F1419" s="35"/>
      <c r="G1419" s="35"/>
      <c r="H1419" s="35"/>
      <c r="I1419" s="35"/>
      <c r="J1419" s="35"/>
      <c r="K1419" s="35"/>
      <c r="L1419" s="35"/>
      <c r="M1419" s="31"/>
      <c r="N1419" s="32"/>
      <c r="O1419" s="32"/>
      <c r="P1419" s="32"/>
      <c r="Q1419" s="32"/>
      <c r="R1419" s="32"/>
      <c r="S1419" s="32"/>
      <c r="T1419" s="32"/>
      <c r="U1419" s="29"/>
      <c r="V1419" s="29"/>
      <c r="W1419" s="24"/>
      <c r="X1419" s="18"/>
      <c r="Y1419" s="18"/>
      <c r="Z1419" s="18"/>
      <c r="AA1419" s="18"/>
      <c r="AB1419" s="18"/>
      <c r="AC1419" s="18"/>
      <c r="AD1419" s="18"/>
      <c r="AE1419" s="19"/>
      <c r="AF1419" s="20"/>
      <c r="AG1419" s="21"/>
      <c r="AH1419" s="21"/>
      <c r="AI1419" s="19"/>
      <c r="AJ1419" s="29"/>
      <c r="AK1419" s="29"/>
      <c r="AL1419" s="29"/>
    </row>
    <row r="1420" spans="2:38" s="28" customFormat="1" x14ac:dyDescent="0.3">
      <c r="B1420" s="24"/>
      <c r="C1420" s="37"/>
      <c r="D1420" s="37"/>
      <c r="E1420" s="37"/>
      <c r="F1420" s="35"/>
      <c r="G1420" s="35"/>
      <c r="H1420" s="35"/>
      <c r="I1420" s="35"/>
      <c r="J1420" s="35"/>
      <c r="K1420" s="35"/>
      <c r="L1420" s="35"/>
      <c r="M1420" s="31"/>
      <c r="N1420" s="32"/>
      <c r="O1420" s="32"/>
      <c r="P1420" s="32"/>
      <c r="Q1420" s="32"/>
      <c r="R1420" s="32"/>
      <c r="S1420" s="32"/>
      <c r="T1420" s="32"/>
      <c r="U1420" s="29"/>
      <c r="V1420" s="29"/>
      <c r="W1420" s="24"/>
      <c r="X1420" s="18"/>
      <c r="Y1420" s="18"/>
      <c r="Z1420" s="18"/>
      <c r="AA1420" s="18"/>
      <c r="AB1420" s="18"/>
      <c r="AC1420" s="18"/>
      <c r="AD1420" s="18"/>
      <c r="AE1420" s="19"/>
      <c r="AF1420" s="20"/>
      <c r="AG1420" s="21"/>
      <c r="AH1420" s="21"/>
      <c r="AI1420" s="19"/>
      <c r="AJ1420" s="29"/>
      <c r="AK1420" s="29"/>
      <c r="AL1420" s="29"/>
    </row>
    <row r="1421" spans="2:38" s="28" customFormat="1" x14ac:dyDescent="0.3">
      <c r="B1421" s="24"/>
      <c r="C1421" s="37"/>
      <c r="D1421" s="37"/>
      <c r="E1421" s="37"/>
      <c r="F1421" s="35"/>
      <c r="G1421" s="35"/>
      <c r="H1421" s="35"/>
      <c r="I1421" s="35"/>
      <c r="J1421" s="35"/>
      <c r="K1421" s="35"/>
      <c r="L1421" s="35"/>
      <c r="M1421" s="31"/>
      <c r="N1421" s="32"/>
      <c r="O1421" s="32"/>
      <c r="P1421" s="32"/>
      <c r="Q1421" s="32"/>
      <c r="R1421" s="32"/>
      <c r="S1421" s="32"/>
      <c r="T1421" s="32"/>
      <c r="U1421" s="29"/>
      <c r="V1421" s="29"/>
      <c r="W1421" s="24"/>
      <c r="X1421" s="18"/>
      <c r="Y1421" s="18"/>
      <c r="Z1421" s="18"/>
      <c r="AA1421" s="18"/>
      <c r="AB1421" s="18"/>
      <c r="AC1421" s="18"/>
      <c r="AD1421" s="18"/>
      <c r="AE1421" s="19"/>
      <c r="AF1421" s="20"/>
      <c r="AG1421" s="21"/>
      <c r="AH1421" s="21"/>
      <c r="AI1421" s="19"/>
      <c r="AJ1421" s="29"/>
      <c r="AK1421" s="29"/>
      <c r="AL1421" s="29"/>
    </row>
    <row r="1422" spans="2:38" s="28" customFormat="1" x14ac:dyDescent="0.3">
      <c r="B1422" s="24"/>
      <c r="C1422" s="37"/>
      <c r="D1422" s="37"/>
      <c r="E1422" s="37"/>
      <c r="F1422" s="35"/>
      <c r="G1422" s="35"/>
      <c r="H1422" s="35"/>
      <c r="I1422" s="35"/>
      <c r="J1422" s="35"/>
      <c r="K1422" s="35"/>
      <c r="L1422" s="35"/>
      <c r="M1422" s="31"/>
      <c r="N1422" s="32"/>
      <c r="O1422" s="32"/>
      <c r="P1422" s="32"/>
      <c r="Q1422" s="32"/>
      <c r="R1422" s="32"/>
      <c r="S1422" s="32"/>
      <c r="T1422" s="32"/>
      <c r="U1422" s="29"/>
      <c r="V1422" s="29"/>
      <c r="W1422" s="24"/>
      <c r="X1422" s="18"/>
      <c r="Y1422" s="18"/>
      <c r="Z1422" s="18"/>
      <c r="AA1422" s="18"/>
      <c r="AB1422" s="18"/>
      <c r="AC1422" s="18"/>
      <c r="AD1422" s="18"/>
      <c r="AE1422" s="19"/>
      <c r="AF1422" s="20"/>
      <c r="AG1422" s="21"/>
      <c r="AH1422" s="21"/>
      <c r="AI1422" s="19"/>
      <c r="AJ1422" s="29"/>
      <c r="AK1422" s="29"/>
      <c r="AL1422" s="29"/>
    </row>
    <row r="1423" spans="2:38" s="28" customFormat="1" x14ac:dyDescent="0.3">
      <c r="B1423" s="24"/>
      <c r="C1423" s="37"/>
      <c r="D1423" s="37"/>
      <c r="E1423" s="37"/>
      <c r="F1423" s="35"/>
      <c r="G1423" s="35"/>
      <c r="H1423" s="35"/>
      <c r="I1423" s="35"/>
      <c r="J1423" s="35"/>
      <c r="K1423" s="35"/>
      <c r="L1423" s="35"/>
      <c r="M1423" s="31"/>
      <c r="N1423" s="32"/>
      <c r="O1423" s="32"/>
      <c r="P1423" s="32"/>
      <c r="Q1423" s="32"/>
      <c r="R1423" s="32"/>
      <c r="S1423" s="32"/>
      <c r="T1423" s="32"/>
      <c r="U1423" s="29"/>
      <c r="V1423" s="29"/>
      <c r="W1423" s="24"/>
      <c r="X1423" s="18"/>
      <c r="Y1423" s="18"/>
      <c r="Z1423" s="18"/>
      <c r="AA1423" s="18"/>
      <c r="AB1423" s="18"/>
      <c r="AC1423" s="18"/>
      <c r="AD1423" s="18"/>
      <c r="AE1423" s="19"/>
      <c r="AF1423" s="20"/>
      <c r="AG1423" s="21"/>
      <c r="AH1423" s="21"/>
      <c r="AI1423" s="19"/>
      <c r="AJ1423" s="29"/>
      <c r="AK1423" s="29"/>
      <c r="AL1423" s="29"/>
    </row>
    <row r="1424" spans="2:38" s="28" customFormat="1" x14ac:dyDescent="0.3">
      <c r="B1424" s="24"/>
      <c r="C1424" s="37"/>
      <c r="D1424" s="37"/>
      <c r="E1424" s="37"/>
      <c r="F1424" s="35"/>
      <c r="G1424" s="35"/>
      <c r="H1424" s="35"/>
      <c r="I1424" s="35"/>
      <c r="J1424" s="35"/>
      <c r="K1424" s="35"/>
      <c r="L1424" s="35"/>
      <c r="M1424" s="31"/>
      <c r="N1424" s="32"/>
      <c r="O1424" s="32"/>
      <c r="P1424" s="32"/>
      <c r="Q1424" s="32"/>
      <c r="R1424" s="32"/>
      <c r="S1424" s="32"/>
      <c r="T1424" s="32"/>
      <c r="U1424" s="29"/>
      <c r="V1424" s="29"/>
      <c r="W1424" s="24"/>
      <c r="X1424" s="18"/>
      <c r="Y1424" s="18"/>
      <c r="Z1424" s="18"/>
      <c r="AA1424" s="18"/>
      <c r="AB1424" s="18"/>
      <c r="AC1424" s="18"/>
      <c r="AD1424" s="18"/>
      <c r="AE1424" s="19"/>
      <c r="AF1424" s="20"/>
      <c r="AG1424" s="21"/>
      <c r="AH1424" s="21"/>
      <c r="AI1424" s="19"/>
      <c r="AJ1424" s="29"/>
      <c r="AK1424" s="29"/>
      <c r="AL1424" s="29"/>
    </row>
    <row r="1425" spans="2:38" s="28" customFormat="1" x14ac:dyDescent="0.3">
      <c r="B1425" s="24"/>
      <c r="C1425" s="37"/>
      <c r="D1425" s="37"/>
      <c r="E1425" s="37"/>
      <c r="F1425" s="35"/>
      <c r="G1425" s="35"/>
      <c r="H1425" s="35"/>
      <c r="I1425" s="35"/>
      <c r="J1425" s="35"/>
      <c r="K1425" s="35"/>
      <c r="L1425" s="35"/>
      <c r="M1425" s="31"/>
      <c r="N1425" s="32"/>
      <c r="O1425" s="32"/>
      <c r="P1425" s="32"/>
      <c r="Q1425" s="32"/>
      <c r="R1425" s="32"/>
      <c r="S1425" s="32"/>
      <c r="T1425" s="32"/>
      <c r="U1425" s="29"/>
      <c r="V1425" s="29"/>
      <c r="W1425" s="24"/>
      <c r="X1425" s="18"/>
      <c r="Y1425" s="18"/>
      <c r="Z1425" s="18"/>
      <c r="AA1425" s="18"/>
      <c r="AB1425" s="18"/>
      <c r="AC1425" s="18"/>
      <c r="AD1425" s="18"/>
      <c r="AE1425" s="19"/>
      <c r="AF1425" s="20"/>
      <c r="AG1425" s="21"/>
      <c r="AH1425" s="21"/>
      <c r="AI1425" s="19"/>
      <c r="AJ1425" s="29"/>
      <c r="AK1425" s="29"/>
      <c r="AL1425" s="29"/>
    </row>
    <row r="1426" spans="2:38" s="28" customFormat="1" x14ac:dyDescent="0.3">
      <c r="B1426" s="24"/>
      <c r="C1426" s="37"/>
      <c r="D1426" s="37"/>
      <c r="E1426" s="37"/>
      <c r="F1426" s="35"/>
      <c r="G1426" s="35"/>
      <c r="H1426" s="35"/>
      <c r="I1426" s="35"/>
      <c r="J1426" s="35"/>
      <c r="K1426" s="35"/>
      <c r="L1426" s="35"/>
      <c r="M1426" s="31"/>
      <c r="N1426" s="32"/>
      <c r="O1426" s="32"/>
      <c r="P1426" s="32"/>
      <c r="Q1426" s="32"/>
      <c r="R1426" s="32"/>
      <c r="S1426" s="32"/>
      <c r="T1426" s="32"/>
      <c r="U1426" s="29"/>
      <c r="V1426" s="29"/>
      <c r="W1426" s="24"/>
      <c r="X1426" s="18"/>
      <c r="Y1426" s="18"/>
      <c r="Z1426" s="18"/>
      <c r="AA1426" s="18"/>
      <c r="AB1426" s="18"/>
      <c r="AC1426" s="18"/>
      <c r="AD1426" s="18"/>
      <c r="AE1426" s="19"/>
      <c r="AF1426" s="20"/>
      <c r="AG1426" s="21"/>
      <c r="AH1426" s="21"/>
      <c r="AI1426" s="19"/>
      <c r="AJ1426" s="29"/>
      <c r="AK1426" s="29"/>
      <c r="AL1426" s="29"/>
    </row>
    <row r="1427" spans="2:38" s="28" customFormat="1" x14ac:dyDescent="0.3">
      <c r="B1427" s="24"/>
      <c r="C1427" s="37"/>
      <c r="D1427" s="37"/>
      <c r="E1427" s="37"/>
      <c r="F1427" s="35"/>
      <c r="G1427" s="35"/>
      <c r="H1427" s="35"/>
      <c r="I1427" s="35"/>
      <c r="J1427" s="35"/>
      <c r="K1427" s="35"/>
      <c r="L1427" s="35"/>
      <c r="M1427" s="31"/>
      <c r="N1427" s="32"/>
      <c r="O1427" s="32"/>
      <c r="P1427" s="32"/>
      <c r="Q1427" s="32"/>
      <c r="R1427" s="32"/>
      <c r="S1427" s="32"/>
      <c r="T1427" s="32"/>
      <c r="U1427" s="29"/>
      <c r="V1427" s="29"/>
      <c r="W1427" s="24"/>
      <c r="X1427" s="18"/>
      <c r="Y1427" s="18"/>
      <c r="Z1427" s="18"/>
      <c r="AA1427" s="18"/>
      <c r="AB1427" s="18"/>
      <c r="AC1427" s="18"/>
      <c r="AD1427" s="18"/>
      <c r="AE1427" s="19"/>
      <c r="AF1427" s="20"/>
      <c r="AG1427" s="21"/>
      <c r="AH1427" s="21"/>
      <c r="AI1427" s="19"/>
      <c r="AJ1427" s="29"/>
      <c r="AK1427" s="29"/>
      <c r="AL1427" s="29"/>
    </row>
    <row r="1428" spans="2:38" s="28" customFormat="1" x14ac:dyDescent="0.3">
      <c r="B1428" s="24"/>
      <c r="C1428" s="37"/>
      <c r="D1428" s="37"/>
      <c r="E1428" s="37"/>
      <c r="F1428" s="35"/>
      <c r="G1428" s="35"/>
      <c r="H1428" s="35"/>
      <c r="I1428" s="35"/>
      <c r="J1428" s="35"/>
      <c r="K1428" s="35"/>
      <c r="L1428" s="35"/>
      <c r="M1428" s="31"/>
      <c r="N1428" s="32"/>
      <c r="O1428" s="32"/>
      <c r="P1428" s="32"/>
      <c r="Q1428" s="32"/>
      <c r="R1428" s="32"/>
      <c r="S1428" s="32"/>
      <c r="T1428" s="32"/>
      <c r="U1428" s="29"/>
      <c r="V1428" s="29"/>
      <c r="W1428" s="24"/>
      <c r="X1428" s="18"/>
      <c r="Y1428" s="18"/>
      <c r="Z1428" s="18"/>
      <c r="AA1428" s="18"/>
      <c r="AB1428" s="18"/>
      <c r="AC1428" s="18"/>
      <c r="AD1428" s="18"/>
      <c r="AE1428" s="19"/>
      <c r="AF1428" s="20"/>
      <c r="AG1428" s="21"/>
      <c r="AH1428" s="21"/>
      <c r="AI1428" s="19"/>
      <c r="AJ1428" s="29"/>
      <c r="AK1428" s="29"/>
      <c r="AL1428" s="29"/>
    </row>
    <row r="1429" spans="2:38" s="28" customFormat="1" x14ac:dyDescent="0.3">
      <c r="B1429" s="24"/>
      <c r="C1429" s="37"/>
      <c r="D1429" s="37"/>
      <c r="E1429" s="37"/>
      <c r="F1429" s="35"/>
      <c r="G1429" s="35"/>
      <c r="H1429" s="35"/>
      <c r="I1429" s="35"/>
      <c r="J1429" s="35"/>
      <c r="K1429" s="35"/>
      <c r="L1429" s="35"/>
      <c r="M1429" s="31"/>
      <c r="N1429" s="32"/>
      <c r="O1429" s="32"/>
      <c r="P1429" s="32"/>
      <c r="Q1429" s="32"/>
      <c r="R1429" s="32"/>
      <c r="S1429" s="32"/>
      <c r="T1429" s="32"/>
      <c r="U1429" s="29"/>
      <c r="V1429" s="29"/>
      <c r="W1429" s="24"/>
      <c r="X1429" s="18"/>
      <c r="Y1429" s="18"/>
      <c r="Z1429" s="18"/>
      <c r="AA1429" s="18"/>
      <c r="AB1429" s="18"/>
      <c r="AC1429" s="18"/>
      <c r="AD1429" s="18"/>
      <c r="AE1429" s="19"/>
      <c r="AF1429" s="20"/>
      <c r="AG1429" s="21"/>
      <c r="AH1429" s="21"/>
      <c r="AI1429" s="19"/>
      <c r="AJ1429" s="29"/>
      <c r="AK1429" s="29"/>
      <c r="AL1429" s="29"/>
    </row>
    <row r="1430" spans="2:38" s="28" customFormat="1" x14ac:dyDescent="0.3">
      <c r="B1430" s="24"/>
      <c r="C1430" s="37"/>
      <c r="D1430" s="37"/>
      <c r="E1430" s="37"/>
      <c r="F1430" s="35"/>
      <c r="G1430" s="35"/>
      <c r="H1430" s="35"/>
      <c r="I1430" s="35"/>
      <c r="J1430" s="35"/>
      <c r="K1430" s="35"/>
      <c r="L1430" s="35"/>
      <c r="M1430" s="31"/>
      <c r="N1430" s="32"/>
      <c r="O1430" s="32"/>
      <c r="P1430" s="32"/>
      <c r="Q1430" s="32"/>
      <c r="R1430" s="32"/>
      <c r="S1430" s="32"/>
      <c r="T1430" s="32"/>
      <c r="U1430" s="29"/>
      <c r="V1430" s="29"/>
      <c r="W1430" s="24"/>
      <c r="X1430" s="18"/>
      <c r="Y1430" s="18"/>
      <c r="Z1430" s="18"/>
      <c r="AA1430" s="18"/>
      <c r="AB1430" s="18"/>
      <c r="AC1430" s="18"/>
      <c r="AD1430" s="18"/>
      <c r="AE1430" s="19"/>
      <c r="AF1430" s="20"/>
      <c r="AG1430" s="21"/>
      <c r="AH1430" s="21"/>
      <c r="AI1430" s="19"/>
      <c r="AJ1430" s="29"/>
      <c r="AK1430" s="29"/>
      <c r="AL1430" s="29"/>
    </row>
    <row r="1431" spans="2:38" s="28" customFormat="1" x14ac:dyDescent="0.3">
      <c r="B1431" s="24"/>
      <c r="C1431" s="37"/>
      <c r="D1431" s="37"/>
      <c r="E1431" s="37"/>
      <c r="F1431" s="35"/>
      <c r="G1431" s="35"/>
      <c r="H1431" s="35"/>
      <c r="I1431" s="35"/>
      <c r="J1431" s="35"/>
      <c r="K1431" s="35"/>
      <c r="L1431" s="35"/>
      <c r="M1431" s="31"/>
      <c r="N1431" s="32"/>
      <c r="O1431" s="32"/>
      <c r="P1431" s="32"/>
      <c r="Q1431" s="32"/>
      <c r="R1431" s="32"/>
      <c r="S1431" s="32"/>
      <c r="T1431" s="32"/>
      <c r="U1431" s="29"/>
      <c r="V1431" s="29"/>
      <c r="W1431" s="24"/>
      <c r="X1431" s="18"/>
      <c r="Y1431" s="18"/>
      <c r="Z1431" s="18"/>
      <c r="AA1431" s="18"/>
      <c r="AB1431" s="18"/>
      <c r="AC1431" s="18"/>
      <c r="AD1431" s="18"/>
      <c r="AE1431" s="19"/>
      <c r="AF1431" s="20"/>
      <c r="AG1431" s="21"/>
      <c r="AH1431" s="21"/>
      <c r="AI1431" s="19"/>
      <c r="AJ1431" s="29"/>
      <c r="AK1431" s="29"/>
      <c r="AL1431" s="29"/>
    </row>
    <row r="1432" spans="2:38" s="28" customFormat="1" x14ac:dyDescent="0.3">
      <c r="B1432" s="24"/>
      <c r="C1432" s="37"/>
      <c r="D1432" s="37"/>
      <c r="E1432" s="37"/>
      <c r="F1432" s="35"/>
      <c r="G1432" s="35"/>
      <c r="H1432" s="35"/>
      <c r="I1432" s="35"/>
      <c r="J1432" s="35"/>
      <c r="K1432" s="35"/>
      <c r="L1432" s="35"/>
      <c r="M1432" s="31"/>
      <c r="N1432" s="32"/>
      <c r="O1432" s="32"/>
      <c r="P1432" s="32"/>
      <c r="Q1432" s="32"/>
      <c r="R1432" s="32"/>
      <c r="S1432" s="32"/>
      <c r="T1432" s="32"/>
      <c r="U1432" s="29"/>
      <c r="V1432" s="29"/>
      <c r="W1432" s="24"/>
      <c r="X1432" s="18"/>
      <c r="Y1432" s="18"/>
      <c r="Z1432" s="18"/>
      <c r="AA1432" s="18"/>
      <c r="AB1432" s="18"/>
      <c r="AC1432" s="18"/>
      <c r="AD1432" s="18"/>
      <c r="AE1432" s="19"/>
      <c r="AF1432" s="20"/>
      <c r="AG1432" s="21"/>
      <c r="AH1432" s="21"/>
      <c r="AI1432" s="19"/>
      <c r="AJ1432" s="29"/>
      <c r="AK1432" s="29"/>
      <c r="AL1432" s="29"/>
    </row>
    <row r="1433" spans="2:38" s="28" customFormat="1" x14ac:dyDescent="0.3">
      <c r="B1433" s="24"/>
      <c r="C1433" s="37"/>
      <c r="D1433" s="37"/>
      <c r="E1433" s="37"/>
      <c r="F1433" s="35"/>
      <c r="G1433" s="35"/>
      <c r="H1433" s="35"/>
      <c r="I1433" s="35"/>
      <c r="J1433" s="35"/>
      <c r="K1433" s="35"/>
      <c r="L1433" s="35"/>
      <c r="M1433" s="31"/>
      <c r="N1433" s="32"/>
      <c r="O1433" s="32"/>
      <c r="P1433" s="32"/>
      <c r="Q1433" s="32"/>
      <c r="R1433" s="32"/>
      <c r="S1433" s="32"/>
      <c r="T1433" s="32"/>
      <c r="U1433" s="29"/>
      <c r="V1433" s="29"/>
      <c r="W1433" s="24"/>
      <c r="X1433" s="18"/>
      <c r="Y1433" s="18"/>
      <c r="Z1433" s="18"/>
      <c r="AA1433" s="18"/>
      <c r="AB1433" s="18"/>
      <c r="AC1433" s="18"/>
      <c r="AD1433" s="18"/>
      <c r="AE1433" s="19"/>
      <c r="AF1433" s="20"/>
      <c r="AG1433" s="21"/>
      <c r="AH1433" s="21"/>
      <c r="AI1433" s="19"/>
      <c r="AJ1433" s="29"/>
      <c r="AK1433" s="29"/>
      <c r="AL1433" s="29"/>
    </row>
    <row r="1434" spans="2:38" s="28" customFormat="1" x14ac:dyDescent="0.3">
      <c r="B1434" s="24"/>
      <c r="C1434" s="37"/>
      <c r="D1434" s="37"/>
      <c r="E1434" s="37"/>
      <c r="F1434" s="35"/>
      <c r="G1434" s="35"/>
      <c r="H1434" s="35"/>
      <c r="I1434" s="35"/>
      <c r="J1434" s="35"/>
      <c r="K1434" s="35"/>
      <c r="L1434" s="35"/>
      <c r="M1434" s="31"/>
      <c r="N1434" s="32"/>
      <c r="O1434" s="32"/>
      <c r="P1434" s="32"/>
      <c r="Q1434" s="32"/>
      <c r="R1434" s="32"/>
      <c r="S1434" s="32"/>
      <c r="T1434" s="32"/>
      <c r="U1434" s="29"/>
      <c r="V1434" s="29"/>
      <c r="W1434" s="24"/>
      <c r="X1434" s="18"/>
      <c r="Y1434" s="18"/>
      <c r="Z1434" s="18"/>
      <c r="AA1434" s="18"/>
      <c r="AB1434" s="18"/>
      <c r="AC1434" s="18"/>
      <c r="AD1434" s="18"/>
      <c r="AE1434" s="19"/>
      <c r="AF1434" s="20"/>
      <c r="AG1434" s="21"/>
      <c r="AH1434" s="21"/>
      <c r="AI1434" s="19"/>
      <c r="AJ1434" s="29"/>
      <c r="AK1434" s="29"/>
      <c r="AL1434" s="29"/>
    </row>
    <row r="1435" spans="2:38" s="28" customFormat="1" x14ac:dyDescent="0.3">
      <c r="B1435" s="24"/>
      <c r="C1435" s="37"/>
      <c r="D1435" s="37"/>
      <c r="E1435" s="37"/>
      <c r="F1435" s="35"/>
      <c r="G1435" s="35"/>
      <c r="H1435" s="35"/>
      <c r="I1435" s="35"/>
      <c r="J1435" s="35"/>
      <c r="K1435" s="35"/>
      <c r="L1435" s="35"/>
      <c r="M1435" s="31"/>
      <c r="N1435" s="32"/>
      <c r="O1435" s="32"/>
      <c r="P1435" s="32"/>
      <c r="Q1435" s="32"/>
      <c r="R1435" s="32"/>
      <c r="S1435" s="32"/>
      <c r="T1435" s="32"/>
      <c r="U1435" s="29"/>
      <c r="V1435" s="29"/>
      <c r="W1435" s="24"/>
      <c r="X1435" s="18"/>
      <c r="Y1435" s="18"/>
      <c r="Z1435" s="18"/>
      <c r="AA1435" s="18"/>
      <c r="AB1435" s="18"/>
      <c r="AC1435" s="18"/>
      <c r="AD1435" s="18"/>
      <c r="AE1435" s="19"/>
      <c r="AF1435" s="20"/>
      <c r="AG1435" s="21"/>
      <c r="AH1435" s="21"/>
      <c r="AI1435" s="19"/>
      <c r="AJ1435" s="29"/>
      <c r="AK1435" s="29"/>
      <c r="AL1435" s="29"/>
    </row>
    <row r="1436" spans="2:38" s="28" customFormat="1" x14ac:dyDescent="0.3">
      <c r="B1436" s="24"/>
      <c r="C1436" s="37"/>
      <c r="D1436" s="37"/>
      <c r="E1436" s="37"/>
      <c r="F1436" s="35"/>
      <c r="G1436" s="35"/>
      <c r="H1436" s="35"/>
      <c r="I1436" s="35"/>
      <c r="J1436" s="35"/>
      <c r="K1436" s="35"/>
      <c r="L1436" s="35"/>
      <c r="M1436" s="31"/>
      <c r="N1436" s="32"/>
      <c r="O1436" s="32"/>
      <c r="P1436" s="32"/>
      <c r="Q1436" s="32"/>
      <c r="R1436" s="32"/>
      <c r="S1436" s="32"/>
      <c r="T1436" s="32"/>
      <c r="U1436" s="29"/>
      <c r="V1436" s="29"/>
      <c r="W1436" s="24"/>
      <c r="X1436" s="18"/>
      <c r="Y1436" s="18"/>
      <c r="Z1436" s="18"/>
      <c r="AA1436" s="18"/>
      <c r="AB1436" s="18"/>
      <c r="AC1436" s="18"/>
      <c r="AD1436" s="18"/>
      <c r="AE1436" s="19"/>
      <c r="AF1436" s="20"/>
      <c r="AG1436" s="21"/>
      <c r="AH1436" s="21"/>
      <c r="AI1436" s="19"/>
      <c r="AJ1436" s="29"/>
      <c r="AK1436" s="29"/>
      <c r="AL1436" s="29"/>
    </row>
    <row r="1437" spans="2:38" s="28" customFormat="1" x14ac:dyDescent="0.3">
      <c r="B1437" s="24"/>
      <c r="C1437" s="37"/>
      <c r="D1437" s="37"/>
      <c r="E1437" s="37"/>
      <c r="F1437" s="35"/>
      <c r="G1437" s="35"/>
      <c r="H1437" s="35"/>
      <c r="I1437" s="35"/>
      <c r="J1437" s="35"/>
      <c r="K1437" s="35"/>
      <c r="L1437" s="35"/>
      <c r="M1437" s="31"/>
      <c r="N1437" s="32"/>
      <c r="O1437" s="32"/>
      <c r="P1437" s="32"/>
      <c r="Q1437" s="32"/>
      <c r="R1437" s="32"/>
      <c r="S1437" s="32"/>
      <c r="T1437" s="32"/>
      <c r="U1437" s="29"/>
      <c r="V1437" s="29"/>
      <c r="W1437" s="24"/>
      <c r="X1437" s="18"/>
      <c r="Y1437" s="18"/>
      <c r="Z1437" s="18"/>
      <c r="AA1437" s="18"/>
      <c r="AB1437" s="18"/>
      <c r="AC1437" s="18"/>
      <c r="AD1437" s="18"/>
      <c r="AE1437" s="19"/>
      <c r="AF1437" s="20"/>
      <c r="AG1437" s="21"/>
      <c r="AH1437" s="21"/>
      <c r="AI1437" s="19"/>
      <c r="AJ1437" s="29"/>
      <c r="AK1437" s="29"/>
      <c r="AL1437" s="29"/>
    </row>
    <row r="1438" spans="2:38" s="28" customFormat="1" x14ac:dyDescent="0.3">
      <c r="B1438" s="24"/>
      <c r="C1438" s="37"/>
      <c r="D1438" s="37"/>
      <c r="E1438" s="37"/>
      <c r="F1438" s="35"/>
      <c r="G1438" s="35"/>
      <c r="H1438" s="35"/>
      <c r="I1438" s="35"/>
      <c r="J1438" s="35"/>
      <c r="K1438" s="35"/>
      <c r="L1438" s="35"/>
      <c r="M1438" s="31"/>
      <c r="N1438" s="32"/>
      <c r="O1438" s="32"/>
      <c r="P1438" s="32"/>
      <c r="Q1438" s="32"/>
      <c r="R1438" s="32"/>
      <c r="S1438" s="32"/>
      <c r="T1438" s="32"/>
      <c r="U1438" s="29"/>
      <c r="V1438" s="29"/>
      <c r="W1438" s="24"/>
      <c r="X1438" s="18"/>
      <c r="Y1438" s="18"/>
      <c r="Z1438" s="18"/>
      <c r="AA1438" s="18"/>
      <c r="AB1438" s="18"/>
      <c r="AC1438" s="18"/>
      <c r="AD1438" s="18"/>
      <c r="AE1438" s="19"/>
      <c r="AF1438" s="20"/>
      <c r="AG1438" s="21"/>
      <c r="AH1438" s="21"/>
      <c r="AI1438" s="19"/>
      <c r="AJ1438" s="29"/>
      <c r="AK1438" s="29"/>
      <c r="AL1438" s="29"/>
    </row>
    <row r="1439" spans="2:38" s="28" customFormat="1" x14ac:dyDescent="0.3">
      <c r="B1439" s="24"/>
      <c r="C1439" s="37"/>
      <c r="D1439" s="37"/>
      <c r="E1439" s="37"/>
      <c r="F1439" s="35"/>
      <c r="G1439" s="35"/>
      <c r="H1439" s="35"/>
      <c r="I1439" s="35"/>
      <c r="J1439" s="35"/>
      <c r="K1439" s="35"/>
      <c r="L1439" s="35"/>
      <c r="M1439" s="31"/>
      <c r="N1439" s="32"/>
      <c r="O1439" s="32"/>
      <c r="P1439" s="32"/>
      <c r="Q1439" s="32"/>
      <c r="R1439" s="32"/>
      <c r="S1439" s="32"/>
      <c r="T1439" s="32"/>
      <c r="U1439" s="29"/>
      <c r="V1439" s="29"/>
      <c r="W1439" s="24"/>
      <c r="X1439" s="18"/>
      <c r="Y1439" s="18"/>
      <c r="Z1439" s="18"/>
      <c r="AA1439" s="18"/>
      <c r="AB1439" s="18"/>
      <c r="AC1439" s="18"/>
      <c r="AD1439" s="18"/>
      <c r="AE1439" s="19"/>
      <c r="AF1439" s="20"/>
      <c r="AG1439" s="21"/>
      <c r="AH1439" s="21"/>
      <c r="AI1439" s="19"/>
      <c r="AJ1439" s="29"/>
      <c r="AK1439" s="29"/>
      <c r="AL1439" s="29"/>
    </row>
    <row r="1440" spans="2:38" s="28" customFormat="1" x14ac:dyDescent="0.3">
      <c r="B1440" s="24"/>
      <c r="C1440" s="37"/>
      <c r="D1440" s="37"/>
      <c r="E1440" s="37"/>
      <c r="F1440" s="35"/>
      <c r="G1440" s="35"/>
      <c r="H1440" s="35"/>
      <c r="I1440" s="35"/>
      <c r="J1440" s="35"/>
      <c r="K1440" s="35"/>
      <c r="L1440" s="35"/>
      <c r="M1440" s="31"/>
      <c r="N1440" s="32"/>
      <c r="O1440" s="32"/>
      <c r="P1440" s="32"/>
      <c r="Q1440" s="32"/>
      <c r="R1440" s="32"/>
      <c r="S1440" s="32"/>
      <c r="T1440" s="32"/>
      <c r="U1440" s="29"/>
      <c r="V1440" s="29"/>
      <c r="W1440" s="24"/>
      <c r="X1440" s="18"/>
      <c r="Y1440" s="18"/>
      <c r="Z1440" s="18"/>
      <c r="AA1440" s="18"/>
      <c r="AB1440" s="18"/>
      <c r="AC1440" s="18"/>
      <c r="AD1440" s="18"/>
      <c r="AE1440" s="19"/>
      <c r="AF1440" s="20"/>
      <c r="AG1440" s="21"/>
      <c r="AH1440" s="21"/>
      <c r="AI1440" s="19"/>
      <c r="AJ1440" s="29"/>
      <c r="AK1440" s="29"/>
      <c r="AL1440" s="29"/>
    </row>
    <row r="1441" spans="2:38" s="28" customFormat="1" x14ac:dyDescent="0.3">
      <c r="B1441" s="24"/>
      <c r="C1441" s="37"/>
      <c r="D1441" s="37"/>
      <c r="E1441" s="37"/>
      <c r="F1441" s="35"/>
      <c r="G1441" s="35"/>
      <c r="H1441" s="35"/>
      <c r="I1441" s="35"/>
      <c r="J1441" s="35"/>
      <c r="K1441" s="35"/>
      <c r="L1441" s="35"/>
      <c r="M1441" s="31"/>
      <c r="N1441" s="32"/>
      <c r="O1441" s="32"/>
      <c r="P1441" s="32"/>
      <c r="Q1441" s="32"/>
      <c r="R1441" s="32"/>
      <c r="S1441" s="32"/>
      <c r="T1441" s="32"/>
      <c r="U1441" s="29"/>
      <c r="V1441" s="29"/>
      <c r="W1441" s="24"/>
      <c r="X1441" s="18"/>
      <c r="Y1441" s="18"/>
      <c r="Z1441" s="18"/>
      <c r="AA1441" s="18"/>
      <c r="AB1441" s="18"/>
      <c r="AC1441" s="18"/>
      <c r="AD1441" s="18"/>
      <c r="AE1441" s="19"/>
      <c r="AF1441" s="20"/>
      <c r="AG1441" s="21"/>
      <c r="AH1441" s="21"/>
      <c r="AI1441" s="19"/>
      <c r="AJ1441" s="29"/>
      <c r="AK1441" s="29"/>
      <c r="AL1441" s="29"/>
    </row>
    <row r="1442" spans="2:38" s="28" customFormat="1" x14ac:dyDescent="0.3">
      <c r="B1442" s="24"/>
      <c r="C1442" s="37"/>
      <c r="D1442" s="37"/>
      <c r="E1442" s="37"/>
      <c r="F1442" s="35"/>
      <c r="G1442" s="35"/>
      <c r="H1442" s="35"/>
      <c r="I1442" s="35"/>
      <c r="J1442" s="35"/>
      <c r="K1442" s="35"/>
      <c r="L1442" s="35"/>
      <c r="M1442" s="31"/>
      <c r="N1442" s="32"/>
      <c r="O1442" s="32"/>
      <c r="P1442" s="32"/>
      <c r="Q1442" s="32"/>
      <c r="R1442" s="32"/>
      <c r="S1442" s="32"/>
      <c r="T1442" s="32"/>
      <c r="U1442" s="29"/>
      <c r="V1442" s="29"/>
      <c r="W1442" s="24"/>
      <c r="X1442" s="18"/>
      <c r="Y1442" s="18"/>
      <c r="Z1442" s="18"/>
      <c r="AA1442" s="18"/>
      <c r="AB1442" s="18"/>
      <c r="AC1442" s="18"/>
      <c r="AD1442" s="18"/>
      <c r="AE1442" s="19"/>
      <c r="AF1442" s="20"/>
      <c r="AG1442" s="21"/>
      <c r="AH1442" s="21"/>
      <c r="AI1442" s="19"/>
      <c r="AJ1442" s="29"/>
      <c r="AK1442" s="29"/>
      <c r="AL1442" s="29"/>
    </row>
    <row r="1443" spans="2:38" s="28" customFormat="1" x14ac:dyDescent="0.3">
      <c r="B1443" s="24"/>
      <c r="C1443" s="37"/>
      <c r="D1443" s="37"/>
      <c r="E1443" s="37"/>
      <c r="F1443" s="35"/>
      <c r="G1443" s="35"/>
      <c r="H1443" s="35"/>
      <c r="I1443" s="35"/>
      <c r="J1443" s="35"/>
      <c r="K1443" s="35"/>
      <c r="L1443" s="35"/>
      <c r="M1443" s="31"/>
      <c r="N1443" s="32"/>
      <c r="O1443" s="32"/>
      <c r="P1443" s="32"/>
      <c r="Q1443" s="32"/>
      <c r="R1443" s="32"/>
      <c r="S1443" s="32"/>
      <c r="T1443" s="32"/>
      <c r="U1443" s="29"/>
      <c r="V1443" s="29"/>
      <c r="W1443" s="24"/>
      <c r="X1443" s="18"/>
      <c r="Y1443" s="18"/>
      <c r="Z1443" s="18"/>
      <c r="AA1443" s="18"/>
      <c r="AB1443" s="18"/>
      <c r="AC1443" s="18"/>
      <c r="AD1443" s="18"/>
      <c r="AE1443" s="19"/>
      <c r="AF1443" s="20"/>
      <c r="AG1443" s="21"/>
      <c r="AH1443" s="21"/>
      <c r="AI1443" s="19"/>
      <c r="AJ1443" s="29"/>
      <c r="AK1443" s="29"/>
      <c r="AL1443" s="29"/>
    </row>
    <row r="1444" spans="2:38" s="28" customFormat="1" x14ac:dyDescent="0.3">
      <c r="B1444" s="24"/>
      <c r="C1444" s="37"/>
      <c r="D1444" s="37"/>
      <c r="E1444" s="37"/>
      <c r="F1444" s="35"/>
      <c r="G1444" s="35"/>
      <c r="H1444" s="35"/>
      <c r="I1444" s="35"/>
      <c r="J1444" s="35"/>
      <c r="K1444" s="35"/>
      <c r="L1444" s="35"/>
      <c r="M1444" s="31"/>
      <c r="N1444" s="32"/>
      <c r="O1444" s="32"/>
      <c r="P1444" s="32"/>
      <c r="Q1444" s="32"/>
      <c r="R1444" s="32"/>
      <c r="S1444" s="32"/>
      <c r="T1444" s="32"/>
      <c r="U1444" s="29"/>
      <c r="V1444" s="29"/>
      <c r="W1444" s="24"/>
      <c r="X1444" s="18"/>
      <c r="Y1444" s="18"/>
      <c r="Z1444" s="18"/>
      <c r="AA1444" s="18"/>
      <c r="AB1444" s="18"/>
      <c r="AC1444" s="18"/>
      <c r="AD1444" s="18"/>
      <c r="AE1444" s="19"/>
      <c r="AF1444" s="20"/>
      <c r="AG1444" s="21"/>
      <c r="AH1444" s="21"/>
      <c r="AI1444" s="19"/>
      <c r="AJ1444" s="29"/>
      <c r="AK1444" s="29"/>
      <c r="AL1444" s="29"/>
    </row>
    <row r="1445" spans="2:38" s="28" customFormat="1" x14ac:dyDescent="0.3">
      <c r="B1445" s="24"/>
      <c r="C1445" s="37"/>
      <c r="D1445" s="37"/>
      <c r="E1445" s="37"/>
      <c r="F1445" s="35"/>
      <c r="G1445" s="35"/>
      <c r="H1445" s="35"/>
      <c r="I1445" s="35"/>
      <c r="J1445" s="35"/>
      <c r="K1445" s="35"/>
      <c r="L1445" s="35"/>
      <c r="M1445" s="31"/>
      <c r="N1445" s="32"/>
      <c r="O1445" s="32"/>
      <c r="P1445" s="32"/>
      <c r="Q1445" s="32"/>
      <c r="R1445" s="32"/>
      <c r="S1445" s="32"/>
      <c r="T1445" s="32"/>
      <c r="U1445" s="29"/>
      <c r="V1445" s="29"/>
      <c r="W1445" s="24"/>
      <c r="X1445" s="18"/>
      <c r="Y1445" s="18"/>
      <c r="Z1445" s="18"/>
      <c r="AA1445" s="18"/>
      <c r="AB1445" s="18"/>
      <c r="AC1445" s="18"/>
      <c r="AD1445" s="18"/>
      <c r="AE1445" s="19"/>
      <c r="AF1445" s="20"/>
      <c r="AG1445" s="21"/>
      <c r="AH1445" s="21"/>
      <c r="AI1445" s="19"/>
      <c r="AJ1445" s="29"/>
      <c r="AK1445" s="29"/>
      <c r="AL1445" s="29"/>
    </row>
    <row r="1446" spans="2:38" s="28" customFormat="1" x14ac:dyDescent="0.3">
      <c r="B1446" s="24"/>
      <c r="C1446" s="37"/>
      <c r="D1446" s="37"/>
      <c r="E1446" s="37"/>
      <c r="F1446" s="35"/>
      <c r="G1446" s="35"/>
      <c r="H1446" s="35"/>
      <c r="I1446" s="35"/>
      <c r="J1446" s="35"/>
      <c r="K1446" s="35"/>
      <c r="L1446" s="35"/>
      <c r="M1446" s="31"/>
      <c r="N1446" s="32"/>
      <c r="O1446" s="32"/>
      <c r="P1446" s="32"/>
      <c r="Q1446" s="32"/>
      <c r="R1446" s="32"/>
      <c r="S1446" s="32"/>
      <c r="T1446" s="32"/>
      <c r="U1446" s="29"/>
      <c r="V1446" s="29"/>
      <c r="W1446" s="24"/>
      <c r="X1446" s="18"/>
      <c r="Y1446" s="18"/>
      <c r="Z1446" s="18"/>
      <c r="AA1446" s="18"/>
      <c r="AB1446" s="18"/>
      <c r="AC1446" s="18"/>
      <c r="AD1446" s="18"/>
      <c r="AE1446" s="19"/>
      <c r="AF1446" s="20"/>
      <c r="AG1446" s="21"/>
      <c r="AH1446" s="21"/>
      <c r="AI1446" s="19"/>
      <c r="AJ1446" s="29"/>
      <c r="AK1446" s="29"/>
      <c r="AL1446" s="29"/>
    </row>
    <row r="1447" spans="2:38" s="28" customFormat="1" x14ac:dyDescent="0.3">
      <c r="B1447" s="24"/>
      <c r="C1447" s="37"/>
      <c r="D1447" s="37"/>
      <c r="E1447" s="37"/>
      <c r="F1447" s="35"/>
      <c r="G1447" s="35"/>
      <c r="H1447" s="35"/>
      <c r="I1447" s="35"/>
      <c r="J1447" s="35"/>
      <c r="K1447" s="35"/>
      <c r="L1447" s="35"/>
      <c r="M1447" s="31"/>
      <c r="N1447" s="32"/>
      <c r="O1447" s="32"/>
      <c r="P1447" s="32"/>
      <c r="Q1447" s="32"/>
      <c r="R1447" s="32"/>
      <c r="S1447" s="32"/>
      <c r="T1447" s="32"/>
      <c r="U1447" s="29"/>
      <c r="V1447" s="29"/>
      <c r="W1447" s="24"/>
      <c r="X1447" s="18"/>
      <c r="Y1447" s="18"/>
      <c r="Z1447" s="18"/>
      <c r="AA1447" s="18"/>
      <c r="AB1447" s="18"/>
      <c r="AC1447" s="18"/>
      <c r="AD1447" s="18"/>
      <c r="AE1447" s="19"/>
      <c r="AF1447" s="20"/>
      <c r="AG1447" s="21"/>
      <c r="AH1447" s="21"/>
      <c r="AI1447" s="19"/>
      <c r="AJ1447" s="29"/>
      <c r="AK1447" s="29"/>
      <c r="AL1447" s="29"/>
    </row>
    <row r="1448" spans="2:38" s="28" customFormat="1" x14ac:dyDescent="0.3">
      <c r="B1448" s="24"/>
      <c r="C1448" s="37"/>
      <c r="D1448" s="37"/>
      <c r="E1448" s="37"/>
      <c r="F1448" s="35"/>
      <c r="G1448" s="35"/>
      <c r="H1448" s="35"/>
      <c r="I1448" s="35"/>
      <c r="J1448" s="35"/>
      <c r="K1448" s="35"/>
      <c r="L1448" s="35"/>
      <c r="M1448" s="31"/>
      <c r="N1448" s="32"/>
      <c r="O1448" s="32"/>
      <c r="P1448" s="32"/>
      <c r="Q1448" s="32"/>
      <c r="R1448" s="32"/>
      <c r="S1448" s="32"/>
      <c r="T1448" s="32"/>
      <c r="U1448" s="29"/>
      <c r="V1448" s="29"/>
      <c r="W1448" s="24"/>
      <c r="X1448" s="18"/>
      <c r="Y1448" s="18"/>
      <c r="Z1448" s="18"/>
      <c r="AA1448" s="18"/>
      <c r="AB1448" s="18"/>
      <c r="AC1448" s="18"/>
      <c r="AD1448" s="18"/>
      <c r="AE1448" s="19"/>
      <c r="AF1448" s="20"/>
      <c r="AG1448" s="21"/>
      <c r="AH1448" s="21"/>
      <c r="AI1448" s="19"/>
      <c r="AJ1448" s="29"/>
      <c r="AK1448" s="29"/>
      <c r="AL1448" s="29"/>
    </row>
    <row r="1449" spans="2:38" s="28" customFormat="1" x14ac:dyDescent="0.3">
      <c r="B1449" s="24"/>
      <c r="C1449" s="37"/>
      <c r="D1449" s="37"/>
      <c r="E1449" s="37"/>
      <c r="F1449" s="35"/>
      <c r="G1449" s="35"/>
      <c r="H1449" s="35"/>
      <c r="I1449" s="35"/>
      <c r="J1449" s="35"/>
      <c r="K1449" s="35"/>
      <c r="L1449" s="35"/>
      <c r="M1449" s="31"/>
      <c r="N1449" s="32"/>
      <c r="O1449" s="32"/>
      <c r="P1449" s="32"/>
      <c r="Q1449" s="32"/>
      <c r="R1449" s="32"/>
      <c r="S1449" s="32"/>
      <c r="T1449" s="32"/>
      <c r="U1449" s="29"/>
      <c r="V1449" s="29"/>
      <c r="W1449" s="24"/>
      <c r="X1449" s="18"/>
      <c r="Y1449" s="18"/>
      <c r="Z1449" s="18"/>
      <c r="AA1449" s="18"/>
      <c r="AB1449" s="18"/>
      <c r="AC1449" s="18"/>
      <c r="AD1449" s="18"/>
      <c r="AE1449" s="19"/>
      <c r="AF1449" s="20"/>
      <c r="AG1449" s="21"/>
      <c r="AH1449" s="21"/>
      <c r="AI1449" s="19"/>
      <c r="AJ1449" s="29"/>
      <c r="AK1449" s="29"/>
      <c r="AL1449" s="29"/>
    </row>
    <row r="1450" spans="2:38" s="28" customFormat="1" x14ac:dyDescent="0.3">
      <c r="B1450" s="24"/>
      <c r="C1450" s="37"/>
      <c r="D1450" s="37"/>
      <c r="E1450" s="37"/>
      <c r="F1450" s="35"/>
      <c r="G1450" s="35"/>
      <c r="H1450" s="35"/>
      <c r="I1450" s="35"/>
      <c r="J1450" s="35"/>
      <c r="K1450" s="35"/>
      <c r="L1450" s="35"/>
      <c r="M1450" s="31"/>
      <c r="N1450" s="32"/>
      <c r="O1450" s="32"/>
      <c r="P1450" s="32"/>
      <c r="Q1450" s="32"/>
      <c r="R1450" s="32"/>
      <c r="S1450" s="32"/>
      <c r="T1450" s="32"/>
      <c r="U1450" s="29"/>
      <c r="V1450" s="29"/>
      <c r="W1450" s="24"/>
      <c r="X1450" s="18"/>
      <c r="Y1450" s="18"/>
      <c r="Z1450" s="18"/>
      <c r="AA1450" s="18"/>
      <c r="AB1450" s="18"/>
      <c r="AC1450" s="18"/>
      <c r="AD1450" s="18"/>
      <c r="AE1450" s="19"/>
      <c r="AF1450" s="20"/>
      <c r="AG1450" s="21"/>
      <c r="AH1450" s="21"/>
      <c r="AI1450" s="19"/>
      <c r="AJ1450" s="29"/>
      <c r="AK1450" s="29"/>
      <c r="AL1450" s="29"/>
    </row>
    <row r="1451" spans="2:38" s="28" customFormat="1" x14ac:dyDescent="0.3">
      <c r="B1451" s="24"/>
      <c r="C1451" s="37"/>
      <c r="D1451" s="37"/>
      <c r="E1451" s="37"/>
      <c r="F1451" s="35"/>
      <c r="G1451" s="35"/>
      <c r="H1451" s="35"/>
      <c r="I1451" s="35"/>
      <c r="J1451" s="35"/>
      <c r="K1451" s="35"/>
      <c r="L1451" s="35"/>
      <c r="M1451" s="31"/>
      <c r="N1451" s="32"/>
      <c r="O1451" s="32"/>
      <c r="P1451" s="32"/>
      <c r="Q1451" s="32"/>
      <c r="R1451" s="32"/>
      <c r="S1451" s="32"/>
      <c r="T1451" s="32"/>
      <c r="U1451" s="29"/>
      <c r="V1451" s="29"/>
      <c r="W1451" s="24"/>
      <c r="X1451" s="18"/>
      <c r="Y1451" s="18"/>
      <c r="Z1451" s="18"/>
      <c r="AA1451" s="18"/>
      <c r="AB1451" s="18"/>
      <c r="AC1451" s="18"/>
      <c r="AD1451" s="18"/>
      <c r="AE1451" s="19"/>
      <c r="AF1451" s="20"/>
      <c r="AG1451" s="21"/>
      <c r="AH1451" s="21"/>
      <c r="AI1451" s="19"/>
      <c r="AJ1451" s="29"/>
      <c r="AK1451" s="29"/>
      <c r="AL1451" s="29"/>
    </row>
    <row r="1452" spans="2:38" s="28" customFormat="1" x14ac:dyDescent="0.3">
      <c r="B1452" s="24"/>
      <c r="C1452" s="37"/>
      <c r="D1452" s="37"/>
      <c r="E1452" s="37"/>
      <c r="F1452" s="35"/>
      <c r="G1452" s="35"/>
      <c r="H1452" s="35"/>
      <c r="I1452" s="35"/>
      <c r="J1452" s="35"/>
      <c r="K1452" s="35"/>
      <c r="L1452" s="35"/>
      <c r="M1452" s="31"/>
      <c r="N1452" s="32"/>
      <c r="O1452" s="32"/>
      <c r="P1452" s="32"/>
      <c r="Q1452" s="32"/>
      <c r="R1452" s="32"/>
      <c r="S1452" s="32"/>
      <c r="T1452" s="32"/>
      <c r="U1452" s="29"/>
      <c r="V1452" s="29"/>
      <c r="W1452" s="24"/>
      <c r="X1452" s="18"/>
      <c r="Y1452" s="18"/>
      <c r="Z1452" s="18"/>
      <c r="AA1452" s="18"/>
      <c r="AB1452" s="18"/>
      <c r="AC1452" s="18"/>
      <c r="AD1452" s="18"/>
      <c r="AE1452" s="19"/>
      <c r="AF1452" s="20"/>
      <c r="AG1452" s="21"/>
      <c r="AH1452" s="21"/>
      <c r="AI1452" s="19"/>
      <c r="AJ1452" s="29"/>
      <c r="AK1452" s="29"/>
      <c r="AL1452" s="29"/>
    </row>
    <row r="1453" spans="2:38" s="28" customFormat="1" x14ac:dyDescent="0.3">
      <c r="B1453" s="24"/>
      <c r="C1453" s="37"/>
      <c r="D1453" s="37"/>
      <c r="E1453" s="37"/>
      <c r="F1453" s="35"/>
      <c r="G1453" s="35"/>
      <c r="H1453" s="35"/>
      <c r="I1453" s="35"/>
      <c r="J1453" s="35"/>
      <c r="K1453" s="35"/>
      <c r="L1453" s="35"/>
      <c r="M1453" s="31"/>
      <c r="N1453" s="32"/>
      <c r="O1453" s="32"/>
      <c r="P1453" s="32"/>
      <c r="Q1453" s="32"/>
      <c r="R1453" s="32"/>
      <c r="S1453" s="32"/>
      <c r="T1453" s="32"/>
      <c r="U1453" s="29"/>
      <c r="V1453" s="29"/>
      <c r="W1453" s="24"/>
      <c r="X1453" s="18"/>
      <c r="Y1453" s="18"/>
      <c r="Z1453" s="18"/>
      <c r="AA1453" s="18"/>
      <c r="AB1453" s="18"/>
      <c r="AC1453" s="18"/>
      <c r="AD1453" s="18"/>
      <c r="AE1453" s="19"/>
      <c r="AF1453" s="20"/>
      <c r="AG1453" s="21"/>
      <c r="AH1453" s="21"/>
      <c r="AI1453" s="19"/>
      <c r="AJ1453" s="29"/>
      <c r="AK1453" s="29"/>
      <c r="AL1453" s="29"/>
    </row>
    <row r="1454" spans="2:38" s="28" customFormat="1" x14ac:dyDescent="0.3">
      <c r="B1454" s="24"/>
      <c r="C1454" s="37"/>
      <c r="D1454" s="37"/>
      <c r="E1454" s="37"/>
      <c r="F1454" s="35"/>
      <c r="G1454" s="35"/>
      <c r="H1454" s="35"/>
      <c r="I1454" s="35"/>
      <c r="J1454" s="35"/>
      <c r="K1454" s="35"/>
      <c r="L1454" s="35"/>
      <c r="M1454" s="31"/>
      <c r="N1454" s="32"/>
      <c r="O1454" s="32"/>
      <c r="P1454" s="32"/>
      <c r="Q1454" s="32"/>
      <c r="R1454" s="32"/>
      <c r="S1454" s="32"/>
      <c r="T1454" s="32"/>
      <c r="U1454" s="29"/>
      <c r="V1454" s="29"/>
      <c r="W1454" s="24"/>
      <c r="X1454" s="18"/>
      <c r="Y1454" s="18"/>
      <c r="Z1454" s="18"/>
      <c r="AA1454" s="18"/>
      <c r="AB1454" s="18"/>
      <c r="AC1454" s="18"/>
      <c r="AD1454" s="18"/>
      <c r="AE1454" s="19"/>
      <c r="AF1454" s="20"/>
      <c r="AG1454" s="21"/>
      <c r="AH1454" s="21"/>
      <c r="AI1454" s="19"/>
      <c r="AJ1454" s="29"/>
      <c r="AK1454" s="29"/>
      <c r="AL1454" s="29"/>
    </row>
    <row r="1455" spans="2:38" s="28" customFormat="1" x14ac:dyDescent="0.3">
      <c r="B1455" s="24"/>
      <c r="C1455" s="37"/>
      <c r="D1455" s="37"/>
      <c r="E1455" s="37"/>
      <c r="F1455" s="35"/>
      <c r="G1455" s="35"/>
      <c r="H1455" s="35"/>
      <c r="I1455" s="35"/>
      <c r="J1455" s="35"/>
      <c r="K1455" s="35"/>
      <c r="L1455" s="35"/>
      <c r="M1455" s="31"/>
      <c r="N1455" s="32"/>
      <c r="O1455" s="32"/>
      <c r="P1455" s="32"/>
      <c r="Q1455" s="32"/>
      <c r="R1455" s="32"/>
      <c r="S1455" s="32"/>
      <c r="T1455" s="32"/>
      <c r="U1455" s="29"/>
      <c r="V1455" s="29"/>
      <c r="W1455" s="24"/>
      <c r="X1455" s="18"/>
      <c r="Y1455" s="18"/>
      <c r="Z1455" s="18"/>
      <c r="AA1455" s="18"/>
      <c r="AB1455" s="18"/>
      <c r="AC1455" s="18"/>
      <c r="AD1455" s="18"/>
      <c r="AE1455" s="19"/>
      <c r="AF1455" s="20"/>
      <c r="AG1455" s="21"/>
      <c r="AH1455" s="21"/>
      <c r="AI1455" s="19"/>
      <c r="AJ1455" s="29"/>
      <c r="AK1455" s="29"/>
      <c r="AL1455" s="29"/>
    </row>
    <row r="1456" spans="2:38" s="28" customFormat="1" x14ac:dyDescent="0.3">
      <c r="B1456" s="24"/>
      <c r="C1456" s="37"/>
      <c r="D1456" s="37"/>
      <c r="E1456" s="37"/>
      <c r="F1456" s="35"/>
      <c r="G1456" s="35"/>
      <c r="H1456" s="35"/>
      <c r="I1456" s="35"/>
      <c r="J1456" s="35"/>
      <c r="K1456" s="35"/>
      <c r="L1456" s="35"/>
      <c r="M1456" s="31"/>
      <c r="N1456" s="32"/>
      <c r="O1456" s="32"/>
      <c r="P1456" s="32"/>
      <c r="Q1456" s="32"/>
      <c r="R1456" s="32"/>
      <c r="S1456" s="32"/>
      <c r="T1456" s="32"/>
      <c r="U1456" s="29"/>
      <c r="V1456" s="29"/>
      <c r="W1456" s="24"/>
      <c r="X1456" s="18"/>
      <c r="Y1456" s="18"/>
      <c r="Z1456" s="18"/>
      <c r="AA1456" s="18"/>
      <c r="AB1456" s="18"/>
      <c r="AC1456" s="18"/>
      <c r="AD1456" s="18"/>
      <c r="AE1456" s="19"/>
      <c r="AF1456" s="20"/>
      <c r="AG1456" s="21"/>
      <c r="AH1456" s="21"/>
      <c r="AI1456" s="19"/>
      <c r="AJ1456" s="29"/>
      <c r="AK1456" s="29"/>
      <c r="AL1456" s="29"/>
    </row>
    <row r="1457" spans="2:38" s="28" customFormat="1" x14ac:dyDescent="0.3">
      <c r="B1457" s="24"/>
      <c r="C1457" s="37"/>
      <c r="D1457" s="37"/>
      <c r="E1457" s="37"/>
      <c r="F1457" s="35"/>
      <c r="G1457" s="35"/>
      <c r="H1457" s="35"/>
      <c r="I1457" s="35"/>
      <c r="J1457" s="35"/>
      <c r="K1457" s="35"/>
      <c r="L1457" s="35"/>
      <c r="M1457" s="31"/>
      <c r="N1457" s="32"/>
      <c r="O1457" s="32"/>
      <c r="P1457" s="32"/>
      <c r="Q1457" s="32"/>
      <c r="R1457" s="32"/>
      <c r="S1457" s="32"/>
      <c r="T1457" s="32"/>
      <c r="U1457" s="29"/>
      <c r="V1457" s="29"/>
      <c r="W1457" s="24"/>
      <c r="X1457" s="18"/>
      <c r="Y1457" s="18"/>
      <c r="Z1457" s="18"/>
      <c r="AA1457" s="18"/>
      <c r="AB1457" s="18"/>
      <c r="AC1457" s="18"/>
      <c r="AD1457" s="18"/>
      <c r="AE1457" s="19"/>
      <c r="AF1457" s="20"/>
      <c r="AG1457" s="21"/>
      <c r="AH1457" s="21"/>
      <c r="AI1457" s="19"/>
      <c r="AJ1457" s="29"/>
      <c r="AK1457" s="29"/>
      <c r="AL1457" s="29"/>
    </row>
    <row r="1458" spans="2:38" s="28" customFormat="1" x14ac:dyDescent="0.3">
      <c r="B1458" s="24"/>
      <c r="C1458" s="37"/>
      <c r="D1458" s="37"/>
      <c r="E1458" s="37"/>
      <c r="F1458" s="35"/>
      <c r="G1458" s="35"/>
      <c r="H1458" s="35"/>
      <c r="I1458" s="35"/>
      <c r="J1458" s="35"/>
      <c r="K1458" s="35"/>
      <c r="L1458" s="35"/>
      <c r="M1458" s="31"/>
      <c r="N1458" s="32"/>
      <c r="O1458" s="32"/>
      <c r="P1458" s="32"/>
      <c r="Q1458" s="32"/>
      <c r="R1458" s="32"/>
      <c r="S1458" s="32"/>
      <c r="T1458" s="32"/>
      <c r="U1458" s="29"/>
      <c r="V1458" s="29"/>
      <c r="W1458" s="24"/>
      <c r="X1458" s="18"/>
      <c r="Y1458" s="18"/>
      <c r="Z1458" s="18"/>
      <c r="AA1458" s="18"/>
      <c r="AB1458" s="18"/>
      <c r="AC1458" s="18"/>
      <c r="AD1458" s="18"/>
      <c r="AE1458" s="19"/>
      <c r="AF1458" s="20"/>
      <c r="AG1458" s="21"/>
      <c r="AH1458" s="21"/>
      <c r="AI1458" s="19"/>
      <c r="AJ1458" s="29"/>
      <c r="AK1458" s="29"/>
      <c r="AL1458" s="29"/>
    </row>
    <row r="1459" spans="2:38" s="28" customFormat="1" x14ac:dyDescent="0.3">
      <c r="B1459" s="24"/>
      <c r="C1459" s="37"/>
      <c r="D1459" s="37"/>
      <c r="E1459" s="37"/>
      <c r="F1459" s="35"/>
      <c r="G1459" s="35"/>
      <c r="H1459" s="35"/>
      <c r="I1459" s="35"/>
      <c r="J1459" s="35"/>
      <c r="K1459" s="35"/>
      <c r="L1459" s="35"/>
      <c r="M1459" s="31"/>
      <c r="N1459" s="32"/>
      <c r="O1459" s="32"/>
      <c r="P1459" s="32"/>
      <c r="Q1459" s="32"/>
      <c r="R1459" s="32"/>
      <c r="S1459" s="32"/>
      <c r="T1459" s="32"/>
      <c r="U1459" s="29"/>
      <c r="V1459" s="29"/>
      <c r="W1459" s="24"/>
      <c r="X1459" s="18"/>
      <c r="Y1459" s="18"/>
      <c r="Z1459" s="18"/>
      <c r="AA1459" s="18"/>
      <c r="AB1459" s="18"/>
      <c r="AC1459" s="18"/>
      <c r="AD1459" s="18"/>
      <c r="AE1459" s="19"/>
      <c r="AF1459" s="20"/>
      <c r="AG1459" s="21"/>
      <c r="AH1459" s="21"/>
      <c r="AI1459" s="19"/>
      <c r="AJ1459" s="29"/>
      <c r="AK1459" s="29"/>
      <c r="AL1459" s="29"/>
    </row>
    <row r="1460" spans="2:38" s="28" customFormat="1" x14ac:dyDescent="0.3">
      <c r="B1460" s="24"/>
      <c r="C1460" s="37"/>
      <c r="D1460" s="37"/>
      <c r="E1460" s="37"/>
      <c r="F1460" s="35"/>
      <c r="G1460" s="35"/>
      <c r="H1460" s="35"/>
      <c r="I1460" s="35"/>
      <c r="J1460" s="35"/>
      <c r="K1460" s="35"/>
      <c r="L1460" s="35"/>
      <c r="M1460" s="31"/>
      <c r="N1460" s="32"/>
      <c r="O1460" s="32"/>
      <c r="P1460" s="32"/>
      <c r="Q1460" s="32"/>
      <c r="R1460" s="32"/>
      <c r="S1460" s="32"/>
      <c r="T1460" s="32"/>
      <c r="U1460" s="29"/>
      <c r="V1460" s="29"/>
      <c r="W1460" s="24"/>
      <c r="X1460" s="18"/>
      <c r="Y1460" s="18"/>
      <c r="Z1460" s="18"/>
      <c r="AA1460" s="18"/>
      <c r="AB1460" s="18"/>
      <c r="AC1460" s="18"/>
      <c r="AD1460" s="18"/>
      <c r="AE1460" s="19"/>
      <c r="AF1460" s="20"/>
      <c r="AG1460" s="21"/>
      <c r="AH1460" s="21"/>
      <c r="AI1460" s="19"/>
      <c r="AJ1460" s="29"/>
      <c r="AK1460" s="29"/>
      <c r="AL1460" s="29"/>
    </row>
    <row r="1461" spans="2:38" s="28" customFormat="1" x14ac:dyDescent="0.3">
      <c r="B1461" s="24"/>
      <c r="C1461" s="37"/>
      <c r="D1461" s="37"/>
      <c r="E1461" s="37"/>
      <c r="F1461" s="35"/>
      <c r="G1461" s="35"/>
      <c r="H1461" s="35"/>
      <c r="I1461" s="35"/>
      <c r="J1461" s="35"/>
      <c r="K1461" s="35"/>
      <c r="L1461" s="35"/>
      <c r="M1461" s="31"/>
      <c r="N1461" s="32"/>
      <c r="O1461" s="32"/>
      <c r="P1461" s="32"/>
      <c r="Q1461" s="32"/>
      <c r="R1461" s="32"/>
      <c r="S1461" s="32"/>
      <c r="T1461" s="32"/>
      <c r="U1461" s="29"/>
      <c r="V1461" s="29"/>
      <c r="W1461" s="24"/>
      <c r="X1461" s="18"/>
      <c r="Y1461" s="18"/>
      <c r="Z1461" s="18"/>
      <c r="AA1461" s="18"/>
      <c r="AB1461" s="18"/>
      <c r="AC1461" s="18"/>
      <c r="AD1461" s="18"/>
      <c r="AE1461" s="19"/>
      <c r="AF1461" s="20"/>
      <c r="AG1461" s="21"/>
      <c r="AH1461" s="21"/>
      <c r="AI1461" s="19"/>
      <c r="AJ1461" s="29"/>
      <c r="AK1461" s="29"/>
      <c r="AL1461" s="29"/>
    </row>
    <row r="1462" spans="2:38" s="28" customFormat="1" x14ac:dyDescent="0.3">
      <c r="B1462" s="24"/>
      <c r="C1462" s="37"/>
      <c r="D1462" s="37"/>
      <c r="E1462" s="37"/>
      <c r="F1462" s="35"/>
      <c r="G1462" s="35"/>
      <c r="H1462" s="35"/>
      <c r="I1462" s="35"/>
      <c r="J1462" s="35"/>
      <c r="K1462" s="35"/>
      <c r="L1462" s="35"/>
      <c r="M1462" s="31"/>
      <c r="N1462" s="32"/>
      <c r="O1462" s="32"/>
      <c r="P1462" s="32"/>
      <c r="Q1462" s="32"/>
      <c r="R1462" s="32"/>
      <c r="S1462" s="32"/>
      <c r="T1462" s="32"/>
      <c r="U1462" s="29"/>
      <c r="V1462" s="29"/>
      <c r="W1462" s="24"/>
      <c r="X1462" s="18"/>
      <c r="Y1462" s="18"/>
      <c r="Z1462" s="18"/>
      <c r="AA1462" s="18"/>
      <c r="AB1462" s="18"/>
      <c r="AC1462" s="18"/>
      <c r="AD1462" s="18"/>
      <c r="AE1462" s="19"/>
      <c r="AF1462" s="20"/>
      <c r="AG1462" s="21"/>
      <c r="AH1462" s="21"/>
      <c r="AI1462" s="19"/>
      <c r="AJ1462" s="29"/>
      <c r="AK1462" s="29"/>
      <c r="AL1462" s="29"/>
    </row>
    <row r="1463" spans="2:38" s="28" customFormat="1" x14ac:dyDescent="0.3">
      <c r="B1463" s="24"/>
      <c r="C1463" s="37"/>
      <c r="D1463" s="37"/>
      <c r="E1463" s="37"/>
      <c r="F1463" s="35"/>
      <c r="G1463" s="35"/>
      <c r="H1463" s="35"/>
      <c r="I1463" s="35"/>
      <c r="J1463" s="35"/>
      <c r="K1463" s="35"/>
      <c r="L1463" s="35"/>
      <c r="M1463" s="31"/>
      <c r="N1463" s="32"/>
      <c r="O1463" s="32"/>
      <c r="P1463" s="32"/>
      <c r="Q1463" s="32"/>
      <c r="R1463" s="32"/>
      <c r="S1463" s="32"/>
      <c r="T1463" s="32"/>
      <c r="U1463" s="29"/>
      <c r="V1463" s="29"/>
      <c r="W1463" s="24"/>
      <c r="X1463" s="18"/>
      <c r="Y1463" s="18"/>
      <c r="Z1463" s="18"/>
      <c r="AA1463" s="18"/>
      <c r="AB1463" s="18"/>
      <c r="AC1463" s="18"/>
      <c r="AD1463" s="18"/>
      <c r="AE1463" s="19"/>
      <c r="AF1463" s="20"/>
      <c r="AG1463" s="21"/>
      <c r="AH1463" s="21"/>
      <c r="AI1463" s="19"/>
      <c r="AJ1463" s="29"/>
      <c r="AK1463" s="29"/>
      <c r="AL1463" s="29"/>
    </row>
    <row r="1464" spans="2:38" s="28" customFormat="1" x14ac:dyDescent="0.3">
      <c r="B1464" s="24"/>
      <c r="C1464" s="37"/>
      <c r="D1464" s="37"/>
      <c r="E1464" s="37"/>
      <c r="F1464" s="35"/>
      <c r="G1464" s="35"/>
      <c r="H1464" s="35"/>
      <c r="I1464" s="35"/>
      <c r="J1464" s="35"/>
      <c r="K1464" s="35"/>
      <c r="L1464" s="35"/>
      <c r="M1464" s="31"/>
      <c r="N1464" s="32"/>
      <c r="O1464" s="32"/>
      <c r="P1464" s="32"/>
      <c r="Q1464" s="32"/>
      <c r="R1464" s="32"/>
      <c r="S1464" s="32"/>
      <c r="T1464" s="32"/>
      <c r="U1464" s="29"/>
      <c r="V1464" s="29"/>
      <c r="W1464" s="24"/>
      <c r="X1464" s="18"/>
      <c r="Y1464" s="18"/>
      <c r="Z1464" s="18"/>
      <c r="AA1464" s="18"/>
      <c r="AB1464" s="18"/>
      <c r="AC1464" s="18"/>
      <c r="AD1464" s="18"/>
      <c r="AE1464" s="19"/>
      <c r="AF1464" s="20"/>
      <c r="AG1464" s="21"/>
      <c r="AH1464" s="21"/>
      <c r="AI1464" s="19"/>
      <c r="AJ1464" s="29"/>
      <c r="AK1464" s="29"/>
      <c r="AL1464" s="29"/>
    </row>
    <row r="1465" spans="2:38" s="28" customFormat="1" x14ac:dyDescent="0.3">
      <c r="B1465" s="24"/>
      <c r="C1465" s="37"/>
      <c r="D1465" s="37"/>
      <c r="E1465" s="37"/>
      <c r="F1465" s="35"/>
      <c r="G1465" s="35"/>
      <c r="H1465" s="35"/>
      <c r="I1465" s="35"/>
      <c r="J1465" s="35"/>
      <c r="K1465" s="35"/>
      <c r="L1465" s="35"/>
      <c r="M1465" s="31"/>
      <c r="N1465" s="32"/>
      <c r="O1465" s="32"/>
      <c r="P1465" s="32"/>
      <c r="Q1465" s="32"/>
      <c r="R1465" s="32"/>
      <c r="S1465" s="32"/>
      <c r="T1465" s="32"/>
      <c r="U1465" s="29"/>
      <c r="V1465" s="29"/>
      <c r="W1465" s="24"/>
      <c r="X1465" s="18"/>
      <c r="Y1465" s="18"/>
      <c r="Z1465" s="18"/>
      <c r="AA1465" s="18"/>
      <c r="AB1465" s="18"/>
      <c r="AC1465" s="18"/>
      <c r="AD1465" s="18"/>
      <c r="AE1465" s="19"/>
      <c r="AF1465" s="20"/>
      <c r="AG1465" s="21"/>
      <c r="AH1465" s="21"/>
      <c r="AI1465" s="19"/>
      <c r="AJ1465" s="29"/>
      <c r="AK1465" s="29"/>
      <c r="AL1465" s="29"/>
    </row>
    <row r="1466" spans="2:38" s="28" customFormat="1" x14ac:dyDescent="0.3">
      <c r="B1466" s="24"/>
      <c r="C1466" s="37"/>
      <c r="D1466" s="37"/>
      <c r="E1466" s="37"/>
      <c r="F1466" s="35"/>
      <c r="G1466" s="35"/>
      <c r="H1466" s="35"/>
      <c r="I1466" s="35"/>
      <c r="J1466" s="35"/>
      <c r="K1466" s="35"/>
      <c r="L1466" s="35"/>
      <c r="M1466" s="31"/>
      <c r="N1466" s="32"/>
      <c r="O1466" s="32"/>
      <c r="P1466" s="32"/>
      <c r="Q1466" s="32"/>
      <c r="R1466" s="32"/>
      <c r="S1466" s="32"/>
      <c r="T1466" s="32"/>
      <c r="U1466" s="29"/>
      <c r="V1466" s="29"/>
      <c r="W1466" s="24"/>
      <c r="X1466" s="18"/>
      <c r="Y1466" s="18"/>
      <c r="Z1466" s="18"/>
      <c r="AA1466" s="18"/>
      <c r="AB1466" s="18"/>
      <c r="AC1466" s="18"/>
      <c r="AD1466" s="18"/>
      <c r="AE1466" s="19"/>
      <c r="AF1466" s="20"/>
      <c r="AG1466" s="21"/>
      <c r="AH1466" s="21"/>
      <c r="AI1466" s="19"/>
      <c r="AJ1466" s="29"/>
      <c r="AK1466" s="29"/>
      <c r="AL1466" s="29"/>
    </row>
    <row r="1467" spans="2:38" s="28" customFormat="1" x14ac:dyDescent="0.3">
      <c r="B1467" s="24"/>
      <c r="C1467" s="37"/>
      <c r="D1467" s="37"/>
      <c r="E1467" s="37"/>
      <c r="F1467" s="35"/>
      <c r="G1467" s="35"/>
      <c r="H1467" s="35"/>
      <c r="I1467" s="35"/>
      <c r="J1467" s="35"/>
      <c r="K1467" s="35"/>
      <c r="L1467" s="35"/>
      <c r="M1467" s="31"/>
      <c r="N1467" s="32"/>
      <c r="O1467" s="32"/>
      <c r="P1467" s="32"/>
      <c r="Q1467" s="32"/>
      <c r="R1467" s="32"/>
      <c r="S1467" s="32"/>
      <c r="T1467" s="32"/>
      <c r="U1467" s="29"/>
      <c r="V1467" s="29"/>
      <c r="W1467" s="24"/>
      <c r="X1467" s="18"/>
      <c r="Y1467" s="18"/>
      <c r="Z1467" s="18"/>
      <c r="AA1467" s="18"/>
      <c r="AB1467" s="18"/>
      <c r="AC1467" s="18"/>
      <c r="AD1467" s="18"/>
      <c r="AE1467" s="19"/>
      <c r="AF1467" s="20"/>
      <c r="AG1467" s="21"/>
      <c r="AH1467" s="21"/>
      <c r="AI1467" s="19"/>
      <c r="AJ1467" s="29"/>
      <c r="AK1467" s="29"/>
      <c r="AL1467" s="29"/>
    </row>
    <row r="1468" spans="2:38" s="28" customFormat="1" x14ac:dyDescent="0.3">
      <c r="B1468" s="24"/>
      <c r="C1468" s="37"/>
      <c r="D1468" s="37"/>
      <c r="E1468" s="37"/>
      <c r="F1468" s="35"/>
      <c r="G1468" s="35"/>
      <c r="H1468" s="35"/>
      <c r="I1468" s="35"/>
      <c r="J1468" s="35"/>
      <c r="K1468" s="35"/>
      <c r="L1468" s="35"/>
      <c r="M1468" s="31"/>
      <c r="N1468" s="32"/>
      <c r="O1468" s="32"/>
      <c r="P1468" s="32"/>
      <c r="Q1468" s="32"/>
      <c r="R1468" s="32"/>
      <c r="S1468" s="32"/>
      <c r="T1468" s="32"/>
      <c r="U1468" s="29"/>
      <c r="V1468" s="29"/>
      <c r="W1468" s="24"/>
      <c r="X1468" s="18"/>
      <c r="Y1468" s="18"/>
      <c r="Z1468" s="18"/>
      <c r="AA1468" s="18"/>
      <c r="AB1468" s="18"/>
      <c r="AC1468" s="18"/>
      <c r="AD1468" s="18"/>
      <c r="AE1468" s="19"/>
      <c r="AF1468" s="20"/>
      <c r="AG1468" s="21"/>
      <c r="AH1468" s="21"/>
      <c r="AI1468" s="19"/>
      <c r="AJ1468" s="29"/>
      <c r="AK1468" s="29"/>
      <c r="AL1468" s="29"/>
    </row>
    <row r="1469" spans="2:38" s="28" customFormat="1" x14ac:dyDescent="0.3">
      <c r="B1469" s="24"/>
      <c r="C1469" s="37"/>
      <c r="D1469" s="37"/>
      <c r="E1469" s="37"/>
      <c r="F1469" s="35"/>
      <c r="G1469" s="35"/>
      <c r="H1469" s="35"/>
      <c r="I1469" s="35"/>
      <c r="J1469" s="35"/>
      <c r="K1469" s="35"/>
      <c r="L1469" s="35"/>
      <c r="M1469" s="31"/>
      <c r="N1469" s="32"/>
      <c r="O1469" s="32"/>
      <c r="P1469" s="32"/>
      <c r="Q1469" s="32"/>
      <c r="R1469" s="32"/>
      <c r="S1469" s="32"/>
      <c r="T1469" s="32"/>
      <c r="U1469" s="29"/>
      <c r="V1469" s="29"/>
      <c r="W1469" s="24"/>
      <c r="X1469" s="18"/>
      <c r="Y1469" s="18"/>
      <c r="Z1469" s="18"/>
      <c r="AA1469" s="18"/>
      <c r="AB1469" s="18"/>
      <c r="AC1469" s="18"/>
      <c r="AD1469" s="18"/>
      <c r="AE1469" s="19"/>
      <c r="AF1469" s="20"/>
      <c r="AG1469" s="21"/>
      <c r="AH1469" s="21"/>
      <c r="AI1469" s="19"/>
      <c r="AJ1469" s="29"/>
      <c r="AK1469" s="29"/>
      <c r="AL1469" s="29"/>
    </row>
    <row r="1470" spans="2:38" s="28" customFormat="1" x14ac:dyDescent="0.3">
      <c r="B1470" s="24"/>
      <c r="C1470" s="37"/>
      <c r="D1470" s="37"/>
      <c r="E1470" s="37"/>
      <c r="F1470" s="35"/>
      <c r="G1470" s="35"/>
      <c r="H1470" s="35"/>
      <c r="I1470" s="35"/>
      <c r="J1470" s="35"/>
      <c r="K1470" s="35"/>
      <c r="L1470" s="35"/>
      <c r="M1470" s="31"/>
      <c r="N1470" s="32"/>
      <c r="O1470" s="32"/>
      <c r="P1470" s="32"/>
      <c r="Q1470" s="32"/>
      <c r="R1470" s="32"/>
      <c r="S1470" s="32"/>
      <c r="T1470" s="32"/>
      <c r="U1470" s="29"/>
      <c r="V1470" s="29"/>
      <c r="W1470" s="24"/>
      <c r="X1470" s="18"/>
      <c r="Y1470" s="18"/>
      <c r="Z1470" s="18"/>
      <c r="AA1470" s="18"/>
      <c r="AB1470" s="18"/>
      <c r="AC1470" s="18"/>
      <c r="AD1470" s="18"/>
      <c r="AE1470" s="19"/>
      <c r="AF1470" s="20"/>
      <c r="AG1470" s="21"/>
      <c r="AH1470" s="21"/>
      <c r="AI1470" s="19"/>
      <c r="AJ1470" s="29"/>
      <c r="AK1470" s="29"/>
      <c r="AL1470" s="29"/>
    </row>
    <row r="1471" spans="2:38" s="28" customFormat="1" x14ac:dyDescent="0.3">
      <c r="B1471" s="24"/>
      <c r="C1471" s="37"/>
      <c r="D1471" s="37"/>
      <c r="E1471" s="37"/>
      <c r="F1471" s="35"/>
      <c r="G1471" s="35"/>
      <c r="H1471" s="35"/>
      <c r="I1471" s="35"/>
      <c r="J1471" s="35"/>
      <c r="K1471" s="35"/>
      <c r="L1471" s="35"/>
      <c r="M1471" s="31"/>
      <c r="N1471" s="32"/>
      <c r="O1471" s="32"/>
      <c r="P1471" s="32"/>
      <c r="Q1471" s="32"/>
      <c r="R1471" s="32"/>
      <c r="S1471" s="32"/>
      <c r="T1471" s="32"/>
      <c r="U1471" s="29"/>
      <c r="V1471" s="29"/>
      <c r="W1471" s="24"/>
      <c r="X1471" s="18"/>
      <c r="Y1471" s="18"/>
      <c r="Z1471" s="18"/>
      <c r="AA1471" s="18"/>
      <c r="AB1471" s="18"/>
      <c r="AC1471" s="18"/>
      <c r="AD1471" s="18"/>
      <c r="AE1471" s="19"/>
      <c r="AF1471" s="20"/>
      <c r="AG1471" s="21"/>
      <c r="AH1471" s="21"/>
      <c r="AI1471" s="19"/>
      <c r="AJ1471" s="29"/>
      <c r="AK1471" s="29"/>
      <c r="AL1471" s="29"/>
    </row>
    <row r="1472" spans="2:38" s="28" customFormat="1" x14ac:dyDescent="0.3">
      <c r="B1472" s="24"/>
      <c r="C1472" s="37"/>
      <c r="D1472" s="37"/>
      <c r="E1472" s="37"/>
      <c r="F1472" s="35"/>
      <c r="G1472" s="35"/>
      <c r="H1472" s="35"/>
      <c r="I1472" s="35"/>
      <c r="J1472" s="35"/>
      <c r="K1472" s="35"/>
      <c r="L1472" s="35"/>
      <c r="M1472" s="31"/>
      <c r="N1472" s="32"/>
      <c r="O1472" s="32"/>
      <c r="P1472" s="32"/>
      <c r="Q1472" s="32"/>
      <c r="R1472" s="32"/>
      <c r="S1472" s="32"/>
      <c r="T1472" s="32"/>
      <c r="U1472" s="29"/>
      <c r="V1472" s="29"/>
      <c r="W1472" s="24"/>
      <c r="X1472" s="18"/>
      <c r="Y1472" s="18"/>
      <c r="Z1472" s="18"/>
      <c r="AA1472" s="18"/>
      <c r="AB1472" s="18"/>
      <c r="AC1472" s="18"/>
      <c r="AD1472" s="18"/>
      <c r="AE1472" s="19"/>
      <c r="AF1472" s="20"/>
      <c r="AG1472" s="21"/>
      <c r="AH1472" s="21"/>
      <c r="AI1472" s="19"/>
      <c r="AJ1472" s="29"/>
      <c r="AK1472" s="29"/>
      <c r="AL1472" s="29"/>
    </row>
  </sheetData>
  <sheetProtection algorithmName="SHA-512" hashValue="jUlS0ByVCWcTXyyoKTNZlgaeKXLGoQzMGhViAfOn1n1iAYeYroTlSOKG0sLyQ+4e5vpouUPDQ88/926G0aU5Xg==" saltValue="e+/RIOej2EGnaTD0IlbZqg==" spinCount="100000" sheet="1" objects="1" scenarios="1"/>
  <mergeCells count="17">
    <mergeCell ref="J4:N4"/>
    <mergeCell ref="D1:T2"/>
    <mergeCell ref="P4:U4"/>
    <mergeCell ref="P7:Q7"/>
    <mergeCell ref="P8:Q8"/>
    <mergeCell ref="P5:Q5"/>
    <mergeCell ref="R5:S5"/>
    <mergeCell ref="J6:M6"/>
    <mergeCell ref="J8:M8"/>
    <mergeCell ref="B5:D5"/>
    <mergeCell ref="B7:D7"/>
    <mergeCell ref="P9:Q9"/>
    <mergeCell ref="R6:S6"/>
    <mergeCell ref="R7:S7"/>
    <mergeCell ref="R8:S8"/>
    <mergeCell ref="R9:S9"/>
    <mergeCell ref="P6:Q6"/>
  </mergeCells>
  <phoneticPr fontId="1" type="noConversion"/>
  <conditionalFormatting sqref="M12:N31">
    <cfRule type="cellIs" dxfId="2" priority="16" operator="equal">
      <formula>"change input"</formula>
    </cfRule>
  </conditionalFormatting>
  <conditionalFormatting sqref="N8">
    <cfRule type="expression" dxfId="1" priority="3">
      <formula>$C$9="solid"</formula>
    </cfRule>
  </conditionalFormatting>
  <conditionalFormatting sqref="Q12:T31">
    <cfRule type="cellIs" dxfId="0" priority="1" operator="greaterThanOrEqual">
      <formula>1</formula>
    </cfRule>
  </conditionalFormatting>
  <dataValidations count="18">
    <dataValidation type="list" allowBlank="1" showInputMessage="1" showErrorMessage="1" error="data input not valid; please select from list" sqref="WWA983052:WWA983061 JO12:JO21 TK12:TK21 ADG12:ADG21 ANC12:ANC21 AWY12:AWY21 BGU12:BGU21 BQQ12:BQQ21 CAM12:CAM21 CKI12:CKI21 CUE12:CUE21 DEA12:DEA21 DNW12:DNW21 DXS12:DXS21 EHO12:EHO21 ERK12:ERK21 FBG12:FBG21 FLC12:FLC21 FUY12:FUY21 GEU12:GEU21 GOQ12:GOQ21 GYM12:GYM21 HII12:HII21 HSE12:HSE21 ICA12:ICA21 ILW12:ILW21 IVS12:IVS21 JFO12:JFO21 JPK12:JPK21 JZG12:JZG21 KJC12:KJC21 KSY12:KSY21 LCU12:LCU21 LMQ12:LMQ21 LWM12:LWM21 MGI12:MGI21 MQE12:MQE21 NAA12:NAA21 NJW12:NJW21 NTS12:NTS21 ODO12:ODO21 ONK12:ONK21 OXG12:OXG21 PHC12:PHC21 PQY12:PQY21 QAU12:QAU21 QKQ12:QKQ21 QUM12:QUM21 REI12:REI21 ROE12:ROE21 RYA12:RYA21 SHW12:SHW21 SRS12:SRS21 TBO12:TBO21 TLK12:TLK21 TVG12:TVG21 UFC12:UFC21 UOY12:UOY21 UYU12:UYU21 VIQ12:VIQ21 VSM12:VSM21 WCI12:WCI21 WME12:WME21 WWA12:WWA21 I65548:I65557 JO65548:JO65557 TK65548:TK65557 ADG65548:ADG65557 ANC65548:ANC65557 AWY65548:AWY65557 BGU65548:BGU65557 BQQ65548:BQQ65557 CAM65548:CAM65557 CKI65548:CKI65557 CUE65548:CUE65557 DEA65548:DEA65557 DNW65548:DNW65557 DXS65548:DXS65557 EHO65548:EHO65557 ERK65548:ERK65557 FBG65548:FBG65557 FLC65548:FLC65557 FUY65548:FUY65557 GEU65548:GEU65557 GOQ65548:GOQ65557 GYM65548:GYM65557 HII65548:HII65557 HSE65548:HSE65557 ICA65548:ICA65557 ILW65548:ILW65557 IVS65548:IVS65557 JFO65548:JFO65557 JPK65548:JPK65557 JZG65548:JZG65557 KJC65548:KJC65557 KSY65548:KSY65557 LCU65548:LCU65557 LMQ65548:LMQ65557 LWM65548:LWM65557 MGI65548:MGI65557 MQE65548:MQE65557 NAA65548:NAA65557 NJW65548:NJW65557 NTS65548:NTS65557 ODO65548:ODO65557 ONK65548:ONK65557 OXG65548:OXG65557 PHC65548:PHC65557 PQY65548:PQY65557 QAU65548:QAU65557 QKQ65548:QKQ65557 QUM65548:QUM65557 REI65548:REI65557 ROE65548:ROE65557 RYA65548:RYA65557 SHW65548:SHW65557 SRS65548:SRS65557 TBO65548:TBO65557 TLK65548:TLK65557 TVG65548:TVG65557 UFC65548:UFC65557 UOY65548:UOY65557 UYU65548:UYU65557 VIQ65548:VIQ65557 VSM65548:VSM65557 WCI65548:WCI65557 WME65548:WME65557 WWA65548:WWA65557 I131084:I131093 JO131084:JO131093 TK131084:TK131093 ADG131084:ADG131093 ANC131084:ANC131093 AWY131084:AWY131093 BGU131084:BGU131093 BQQ131084:BQQ131093 CAM131084:CAM131093 CKI131084:CKI131093 CUE131084:CUE131093 DEA131084:DEA131093 DNW131084:DNW131093 DXS131084:DXS131093 EHO131084:EHO131093 ERK131084:ERK131093 FBG131084:FBG131093 FLC131084:FLC131093 FUY131084:FUY131093 GEU131084:GEU131093 GOQ131084:GOQ131093 GYM131084:GYM131093 HII131084:HII131093 HSE131084:HSE131093 ICA131084:ICA131093 ILW131084:ILW131093 IVS131084:IVS131093 JFO131084:JFO131093 JPK131084:JPK131093 JZG131084:JZG131093 KJC131084:KJC131093 KSY131084:KSY131093 LCU131084:LCU131093 LMQ131084:LMQ131093 LWM131084:LWM131093 MGI131084:MGI131093 MQE131084:MQE131093 NAA131084:NAA131093 NJW131084:NJW131093 NTS131084:NTS131093 ODO131084:ODO131093 ONK131084:ONK131093 OXG131084:OXG131093 PHC131084:PHC131093 PQY131084:PQY131093 QAU131084:QAU131093 QKQ131084:QKQ131093 QUM131084:QUM131093 REI131084:REI131093 ROE131084:ROE131093 RYA131084:RYA131093 SHW131084:SHW131093 SRS131084:SRS131093 TBO131084:TBO131093 TLK131084:TLK131093 TVG131084:TVG131093 UFC131084:UFC131093 UOY131084:UOY131093 UYU131084:UYU131093 VIQ131084:VIQ131093 VSM131084:VSM131093 WCI131084:WCI131093 WME131084:WME131093 WWA131084:WWA131093 I196620:I196629 JO196620:JO196629 TK196620:TK196629 ADG196620:ADG196629 ANC196620:ANC196629 AWY196620:AWY196629 BGU196620:BGU196629 BQQ196620:BQQ196629 CAM196620:CAM196629 CKI196620:CKI196629 CUE196620:CUE196629 DEA196620:DEA196629 DNW196620:DNW196629 DXS196620:DXS196629 EHO196620:EHO196629 ERK196620:ERK196629 FBG196620:FBG196629 FLC196620:FLC196629 FUY196620:FUY196629 GEU196620:GEU196629 GOQ196620:GOQ196629 GYM196620:GYM196629 HII196620:HII196629 HSE196620:HSE196629 ICA196620:ICA196629 ILW196620:ILW196629 IVS196620:IVS196629 JFO196620:JFO196629 JPK196620:JPK196629 JZG196620:JZG196629 KJC196620:KJC196629 KSY196620:KSY196629 LCU196620:LCU196629 LMQ196620:LMQ196629 LWM196620:LWM196629 MGI196620:MGI196629 MQE196620:MQE196629 NAA196620:NAA196629 NJW196620:NJW196629 NTS196620:NTS196629 ODO196620:ODO196629 ONK196620:ONK196629 OXG196620:OXG196629 PHC196620:PHC196629 PQY196620:PQY196629 QAU196620:QAU196629 QKQ196620:QKQ196629 QUM196620:QUM196629 REI196620:REI196629 ROE196620:ROE196629 RYA196620:RYA196629 SHW196620:SHW196629 SRS196620:SRS196629 TBO196620:TBO196629 TLK196620:TLK196629 TVG196620:TVG196629 UFC196620:UFC196629 UOY196620:UOY196629 UYU196620:UYU196629 VIQ196620:VIQ196629 VSM196620:VSM196629 WCI196620:WCI196629 WME196620:WME196629 WWA196620:WWA196629 I262156:I262165 JO262156:JO262165 TK262156:TK262165 ADG262156:ADG262165 ANC262156:ANC262165 AWY262156:AWY262165 BGU262156:BGU262165 BQQ262156:BQQ262165 CAM262156:CAM262165 CKI262156:CKI262165 CUE262156:CUE262165 DEA262156:DEA262165 DNW262156:DNW262165 DXS262156:DXS262165 EHO262156:EHO262165 ERK262156:ERK262165 FBG262156:FBG262165 FLC262156:FLC262165 FUY262156:FUY262165 GEU262156:GEU262165 GOQ262156:GOQ262165 GYM262156:GYM262165 HII262156:HII262165 HSE262156:HSE262165 ICA262156:ICA262165 ILW262156:ILW262165 IVS262156:IVS262165 JFO262156:JFO262165 JPK262156:JPK262165 JZG262156:JZG262165 KJC262156:KJC262165 KSY262156:KSY262165 LCU262156:LCU262165 LMQ262156:LMQ262165 LWM262156:LWM262165 MGI262156:MGI262165 MQE262156:MQE262165 NAA262156:NAA262165 NJW262156:NJW262165 NTS262156:NTS262165 ODO262156:ODO262165 ONK262156:ONK262165 OXG262156:OXG262165 PHC262156:PHC262165 PQY262156:PQY262165 QAU262156:QAU262165 QKQ262156:QKQ262165 QUM262156:QUM262165 REI262156:REI262165 ROE262156:ROE262165 RYA262156:RYA262165 SHW262156:SHW262165 SRS262156:SRS262165 TBO262156:TBO262165 TLK262156:TLK262165 TVG262156:TVG262165 UFC262156:UFC262165 UOY262156:UOY262165 UYU262156:UYU262165 VIQ262156:VIQ262165 VSM262156:VSM262165 WCI262156:WCI262165 WME262156:WME262165 WWA262156:WWA262165 I327692:I327701 JO327692:JO327701 TK327692:TK327701 ADG327692:ADG327701 ANC327692:ANC327701 AWY327692:AWY327701 BGU327692:BGU327701 BQQ327692:BQQ327701 CAM327692:CAM327701 CKI327692:CKI327701 CUE327692:CUE327701 DEA327692:DEA327701 DNW327692:DNW327701 DXS327692:DXS327701 EHO327692:EHO327701 ERK327692:ERK327701 FBG327692:FBG327701 FLC327692:FLC327701 FUY327692:FUY327701 GEU327692:GEU327701 GOQ327692:GOQ327701 GYM327692:GYM327701 HII327692:HII327701 HSE327692:HSE327701 ICA327692:ICA327701 ILW327692:ILW327701 IVS327692:IVS327701 JFO327692:JFO327701 JPK327692:JPK327701 JZG327692:JZG327701 KJC327692:KJC327701 KSY327692:KSY327701 LCU327692:LCU327701 LMQ327692:LMQ327701 LWM327692:LWM327701 MGI327692:MGI327701 MQE327692:MQE327701 NAA327692:NAA327701 NJW327692:NJW327701 NTS327692:NTS327701 ODO327692:ODO327701 ONK327692:ONK327701 OXG327692:OXG327701 PHC327692:PHC327701 PQY327692:PQY327701 QAU327692:QAU327701 QKQ327692:QKQ327701 QUM327692:QUM327701 REI327692:REI327701 ROE327692:ROE327701 RYA327692:RYA327701 SHW327692:SHW327701 SRS327692:SRS327701 TBO327692:TBO327701 TLK327692:TLK327701 TVG327692:TVG327701 UFC327692:UFC327701 UOY327692:UOY327701 UYU327692:UYU327701 VIQ327692:VIQ327701 VSM327692:VSM327701 WCI327692:WCI327701 WME327692:WME327701 WWA327692:WWA327701 I393228:I393237 JO393228:JO393237 TK393228:TK393237 ADG393228:ADG393237 ANC393228:ANC393237 AWY393228:AWY393237 BGU393228:BGU393237 BQQ393228:BQQ393237 CAM393228:CAM393237 CKI393228:CKI393237 CUE393228:CUE393237 DEA393228:DEA393237 DNW393228:DNW393237 DXS393228:DXS393237 EHO393228:EHO393237 ERK393228:ERK393237 FBG393228:FBG393237 FLC393228:FLC393237 FUY393228:FUY393237 GEU393228:GEU393237 GOQ393228:GOQ393237 GYM393228:GYM393237 HII393228:HII393237 HSE393228:HSE393237 ICA393228:ICA393237 ILW393228:ILW393237 IVS393228:IVS393237 JFO393228:JFO393237 JPK393228:JPK393237 JZG393228:JZG393237 KJC393228:KJC393237 KSY393228:KSY393237 LCU393228:LCU393237 LMQ393228:LMQ393237 LWM393228:LWM393237 MGI393228:MGI393237 MQE393228:MQE393237 NAA393228:NAA393237 NJW393228:NJW393237 NTS393228:NTS393237 ODO393228:ODO393237 ONK393228:ONK393237 OXG393228:OXG393237 PHC393228:PHC393237 PQY393228:PQY393237 QAU393228:QAU393237 QKQ393228:QKQ393237 QUM393228:QUM393237 REI393228:REI393237 ROE393228:ROE393237 RYA393228:RYA393237 SHW393228:SHW393237 SRS393228:SRS393237 TBO393228:TBO393237 TLK393228:TLK393237 TVG393228:TVG393237 UFC393228:UFC393237 UOY393228:UOY393237 UYU393228:UYU393237 VIQ393228:VIQ393237 VSM393228:VSM393237 WCI393228:WCI393237 WME393228:WME393237 WWA393228:WWA393237 I458764:I458773 JO458764:JO458773 TK458764:TK458773 ADG458764:ADG458773 ANC458764:ANC458773 AWY458764:AWY458773 BGU458764:BGU458773 BQQ458764:BQQ458773 CAM458764:CAM458773 CKI458764:CKI458773 CUE458764:CUE458773 DEA458764:DEA458773 DNW458764:DNW458773 DXS458764:DXS458773 EHO458764:EHO458773 ERK458764:ERK458773 FBG458764:FBG458773 FLC458764:FLC458773 FUY458764:FUY458773 GEU458764:GEU458773 GOQ458764:GOQ458773 GYM458764:GYM458773 HII458764:HII458773 HSE458764:HSE458773 ICA458764:ICA458773 ILW458764:ILW458773 IVS458764:IVS458773 JFO458764:JFO458773 JPK458764:JPK458773 JZG458764:JZG458773 KJC458764:KJC458773 KSY458764:KSY458773 LCU458764:LCU458773 LMQ458764:LMQ458773 LWM458764:LWM458773 MGI458764:MGI458773 MQE458764:MQE458773 NAA458764:NAA458773 NJW458764:NJW458773 NTS458764:NTS458773 ODO458764:ODO458773 ONK458764:ONK458773 OXG458764:OXG458773 PHC458764:PHC458773 PQY458764:PQY458773 QAU458764:QAU458773 QKQ458764:QKQ458773 QUM458764:QUM458773 REI458764:REI458773 ROE458764:ROE458773 RYA458764:RYA458773 SHW458764:SHW458773 SRS458764:SRS458773 TBO458764:TBO458773 TLK458764:TLK458773 TVG458764:TVG458773 UFC458764:UFC458773 UOY458764:UOY458773 UYU458764:UYU458773 VIQ458764:VIQ458773 VSM458764:VSM458773 WCI458764:WCI458773 WME458764:WME458773 WWA458764:WWA458773 I524300:I524309 JO524300:JO524309 TK524300:TK524309 ADG524300:ADG524309 ANC524300:ANC524309 AWY524300:AWY524309 BGU524300:BGU524309 BQQ524300:BQQ524309 CAM524300:CAM524309 CKI524300:CKI524309 CUE524300:CUE524309 DEA524300:DEA524309 DNW524300:DNW524309 DXS524300:DXS524309 EHO524300:EHO524309 ERK524300:ERK524309 FBG524300:FBG524309 FLC524300:FLC524309 FUY524300:FUY524309 GEU524300:GEU524309 GOQ524300:GOQ524309 GYM524300:GYM524309 HII524300:HII524309 HSE524300:HSE524309 ICA524300:ICA524309 ILW524300:ILW524309 IVS524300:IVS524309 JFO524300:JFO524309 JPK524300:JPK524309 JZG524300:JZG524309 KJC524300:KJC524309 KSY524300:KSY524309 LCU524300:LCU524309 LMQ524300:LMQ524309 LWM524300:LWM524309 MGI524300:MGI524309 MQE524300:MQE524309 NAA524300:NAA524309 NJW524300:NJW524309 NTS524300:NTS524309 ODO524300:ODO524309 ONK524300:ONK524309 OXG524300:OXG524309 PHC524300:PHC524309 PQY524300:PQY524309 QAU524300:QAU524309 QKQ524300:QKQ524309 QUM524300:QUM524309 REI524300:REI524309 ROE524300:ROE524309 RYA524300:RYA524309 SHW524300:SHW524309 SRS524300:SRS524309 TBO524300:TBO524309 TLK524300:TLK524309 TVG524300:TVG524309 UFC524300:UFC524309 UOY524300:UOY524309 UYU524300:UYU524309 VIQ524300:VIQ524309 VSM524300:VSM524309 WCI524300:WCI524309 WME524300:WME524309 WWA524300:WWA524309 I589836:I589845 JO589836:JO589845 TK589836:TK589845 ADG589836:ADG589845 ANC589836:ANC589845 AWY589836:AWY589845 BGU589836:BGU589845 BQQ589836:BQQ589845 CAM589836:CAM589845 CKI589836:CKI589845 CUE589836:CUE589845 DEA589836:DEA589845 DNW589836:DNW589845 DXS589836:DXS589845 EHO589836:EHO589845 ERK589836:ERK589845 FBG589836:FBG589845 FLC589836:FLC589845 FUY589836:FUY589845 GEU589836:GEU589845 GOQ589836:GOQ589845 GYM589836:GYM589845 HII589836:HII589845 HSE589836:HSE589845 ICA589836:ICA589845 ILW589836:ILW589845 IVS589836:IVS589845 JFO589836:JFO589845 JPK589836:JPK589845 JZG589836:JZG589845 KJC589836:KJC589845 KSY589836:KSY589845 LCU589836:LCU589845 LMQ589836:LMQ589845 LWM589836:LWM589845 MGI589836:MGI589845 MQE589836:MQE589845 NAA589836:NAA589845 NJW589836:NJW589845 NTS589836:NTS589845 ODO589836:ODO589845 ONK589836:ONK589845 OXG589836:OXG589845 PHC589836:PHC589845 PQY589836:PQY589845 QAU589836:QAU589845 QKQ589836:QKQ589845 QUM589836:QUM589845 REI589836:REI589845 ROE589836:ROE589845 RYA589836:RYA589845 SHW589836:SHW589845 SRS589836:SRS589845 TBO589836:TBO589845 TLK589836:TLK589845 TVG589836:TVG589845 UFC589836:UFC589845 UOY589836:UOY589845 UYU589836:UYU589845 VIQ589836:VIQ589845 VSM589836:VSM589845 WCI589836:WCI589845 WME589836:WME589845 WWA589836:WWA589845 I655372:I655381 JO655372:JO655381 TK655372:TK655381 ADG655372:ADG655381 ANC655372:ANC655381 AWY655372:AWY655381 BGU655372:BGU655381 BQQ655372:BQQ655381 CAM655372:CAM655381 CKI655372:CKI655381 CUE655372:CUE655381 DEA655372:DEA655381 DNW655372:DNW655381 DXS655372:DXS655381 EHO655372:EHO655381 ERK655372:ERK655381 FBG655372:FBG655381 FLC655372:FLC655381 FUY655372:FUY655381 GEU655372:GEU655381 GOQ655372:GOQ655381 GYM655372:GYM655381 HII655372:HII655381 HSE655372:HSE655381 ICA655372:ICA655381 ILW655372:ILW655381 IVS655372:IVS655381 JFO655372:JFO655381 JPK655372:JPK655381 JZG655372:JZG655381 KJC655372:KJC655381 KSY655372:KSY655381 LCU655372:LCU655381 LMQ655372:LMQ655381 LWM655372:LWM655381 MGI655372:MGI655381 MQE655372:MQE655381 NAA655372:NAA655381 NJW655372:NJW655381 NTS655372:NTS655381 ODO655372:ODO655381 ONK655372:ONK655381 OXG655372:OXG655381 PHC655372:PHC655381 PQY655372:PQY655381 QAU655372:QAU655381 QKQ655372:QKQ655381 QUM655372:QUM655381 REI655372:REI655381 ROE655372:ROE655381 RYA655372:RYA655381 SHW655372:SHW655381 SRS655372:SRS655381 TBO655372:TBO655381 TLK655372:TLK655381 TVG655372:TVG655381 UFC655372:UFC655381 UOY655372:UOY655381 UYU655372:UYU655381 VIQ655372:VIQ655381 VSM655372:VSM655381 WCI655372:WCI655381 WME655372:WME655381 WWA655372:WWA655381 I720908:I720917 JO720908:JO720917 TK720908:TK720917 ADG720908:ADG720917 ANC720908:ANC720917 AWY720908:AWY720917 BGU720908:BGU720917 BQQ720908:BQQ720917 CAM720908:CAM720917 CKI720908:CKI720917 CUE720908:CUE720917 DEA720908:DEA720917 DNW720908:DNW720917 DXS720908:DXS720917 EHO720908:EHO720917 ERK720908:ERK720917 FBG720908:FBG720917 FLC720908:FLC720917 FUY720908:FUY720917 GEU720908:GEU720917 GOQ720908:GOQ720917 GYM720908:GYM720917 HII720908:HII720917 HSE720908:HSE720917 ICA720908:ICA720917 ILW720908:ILW720917 IVS720908:IVS720917 JFO720908:JFO720917 JPK720908:JPK720917 JZG720908:JZG720917 KJC720908:KJC720917 KSY720908:KSY720917 LCU720908:LCU720917 LMQ720908:LMQ720917 LWM720908:LWM720917 MGI720908:MGI720917 MQE720908:MQE720917 NAA720908:NAA720917 NJW720908:NJW720917 NTS720908:NTS720917 ODO720908:ODO720917 ONK720908:ONK720917 OXG720908:OXG720917 PHC720908:PHC720917 PQY720908:PQY720917 QAU720908:QAU720917 QKQ720908:QKQ720917 QUM720908:QUM720917 REI720908:REI720917 ROE720908:ROE720917 RYA720908:RYA720917 SHW720908:SHW720917 SRS720908:SRS720917 TBO720908:TBO720917 TLK720908:TLK720917 TVG720908:TVG720917 UFC720908:UFC720917 UOY720908:UOY720917 UYU720908:UYU720917 VIQ720908:VIQ720917 VSM720908:VSM720917 WCI720908:WCI720917 WME720908:WME720917 WWA720908:WWA720917 I786444:I786453 JO786444:JO786453 TK786444:TK786453 ADG786444:ADG786453 ANC786444:ANC786453 AWY786444:AWY786453 BGU786444:BGU786453 BQQ786444:BQQ786453 CAM786444:CAM786453 CKI786444:CKI786453 CUE786444:CUE786453 DEA786444:DEA786453 DNW786444:DNW786453 DXS786444:DXS786453 EHO786444:EHO786453 ERK786444:ERK786453 FBG786444:FBG786453 FLC786444:FLC786453 FUY786444:FUY786453 GEU786444:GEU786453 GOQ786444:GOQ786453 GYM786444:GYM786453 HII786444:HII786453 HSE786444:HSE786453 ICA786444:ICA786453 ILW786444:ILW786453 IVS786444:IVS786453 JFO786444:JFO786453 JPK786444:JPK786453 JZG786444:JZG786453 KJC786444:KJC786453 KSY786444:KSY786453 LCU786444:LCU786453 LMQ786444:LMQ786453 LWM786444:LWM786453 MGI786444:MGI786453 MQE786444:MQE786453 NAA786444:NAA786453 NJW786444:NJW786453 NTS786444:NTS786453 ODO786444:ODO786453 ONK786444:ONK786453 OXG786444:OXG786453 PHC786444:PHC786453 PQY786444:PQY786453 QAU786444:QAU786453 QKQ786444:QKQ786453 QUM786444:QUM786453 REI786444:REI786453 ROE786444:ROE786453 RYA786444:RYA786453 SHW786444:SHW786453 SRS786444:SRS786453 TBO786444:TBO786453 TLK786444:TLK786453 TVG786444:TVG786453 UFC786444:UFC786453 UOY786444:UOY786453 UYU786444:UYU786453 VIQ786444:VIQ786453 VSM786444:VSM786453 WCI786444:WCI786453 WME786444:WME786453 WWA786444:WWA786453 I851980:I851989 JO851980:JO851989 TK851980:TK851989 ADG851980:ADG851989 ANC851980:ANC851989 AWY851980:AWY851989 BGU851980:BGU851989 BQQ851980:BQQ851989 CAM851980:CAM851989 CKI851980:CKI851989 CUE851980:CUE851989 DEA851980:DEA851989 DNW851980:DNW851989 DXS851980:DXS851989 EHO851980:EHO851989 ERK851980:ERK851989 FBG851980:FBG851989 FLC851980:FLC851989 FUY851980:FUY851989 GEU851980:GEU851989 GOQ851980:GOQ851989 GYM851980:GYM851989 HII851980:HII851989 HSE851980:HSE851989 ICA851980:ICA851989 ILW851980:ILW851989 IVS851980:IVS851989 JFO851980:JFO851989 JPK851980:JPK851989 JZG851980:JZG851989 KJC851980:KJC851989 KSY851980:KSY851989 LCU851980:LCU851989 LMQ851980:LMQ851989 LWM851980:LWM851989 MGI851980:MGI851989 MQE851980:MQE851989 NAA851980:NAA851989 NJW851980:NJW851989 NTS851980:NTS851989 ODO851980:ODO851989 ONK851980:ONK851989 OXG851980:OXG851989 PHC851980:PHC851989 PQY851980:PQY851989 QAU851980:QAU851989 QKQ851980:QKQ851989 QUM851980:QUM851989 REI851980:REI851989 ROE851980:ROE851989 RYA851980:RYA851989 SHW851980:SHW851989 SRS851980:SRS851989 TBO851980:TBO851989 TLK851980:TLK851989 TVG851980:TVG851989 UFC851980:UFC851989 UOY851980:UOY851989 UYU851980:UYU851989 VIQ851980:VIQ851989 VSM851980:VSM851989 WCI851980:WCI851989 WME851980:WME851989 WWA851980:WWA851989 I917516:I917525 JO917516:JO917525 TK917516:TK917525 ADG917516:ADG917525 ANC917516:ANC917525 AWY917516:AWY917525 BGU917516:BGU917525 BQQ917516:BQQ917525 CAM917516:CAM917525 CKI917516:CKI917525 CUE917516:CUE917525 DEA917516:DEA917525 DNW917516:DNW917525 DXS917516:DXS917525 EHO917516:EHO917525 ERK917516:ERK917525 FBG917516:FBG917525 FLC917516:FLC917525 FUY917516:FUY917525 GEU917516:GEU917525 GOQ917516:GOQ917525 GYM917516:GYM917525 HII917516:HII917525 HSE917516:HSE917525 ICA917516:ICA917525 ILW917516:ILW917525 IVS917516:IVS917525 JFO917516:JFO917525 JPK917516:JPK917525 JZG917516:JZG917525 KJC917516:KJC917525 KSY917516:KSY917525 LCU917516:LCU917525 LMQ917516:LMQ917525 LWM917516:LWM917525 MGI917516:MGI917525 MQE917516:MQE917525 NAA917516:NAA917525 NJW917516:NJW917525 NTS917516:NTS917525 ODO917516:ODO917525 ONK917516:ONK917525 OXG917516:OXG917525 PHC917516:PHC917525 PQY917516:PQY917525 QAU917516:QAU917525 QKQ917516:QKQ917525 QUM917516:QUM917525 REI917516:REI917525 ROE917516:ROE917525 RYA917516:RYA917525 SHW917516:SHW917525 SRS917516:SRS917525 TBO917516:TBO917525 TLK917516:TLK917525 TVG917516:TVG917525 UFC917516:UFC917525 UOY917516:UOY917525 UYU917516:UYU917525 VIQ917516:VIQ917525 VSM917516:VSM917525 WCI917516:WCI917525 WME917516:WME917525 WWA917516:WWA917525 I983052:I983061 JO983052:JO983061 TK983052:TK983061 ADG983052:ADG983061 ANC983052:ANC983061 AWY983052:AWY983061 BGU983052:BGU983061 BQQ983052:BQQ983061 CAM983052:CAM983061 CKI983052:CKI983061 CUE983052:CUE983061 DEA983052:DEA983061 DNW983052:DNW983061 DXS983052:DXS983061 EHO983052:EHO983061 ERK983052:ERK983061 FBG983052:FBG983061 FLC983052:FLC983061 FUY983052:FUY983061 GEU983052:GEU983061 GOQ983052:GOQ983061 GYM983052:GYM983061 HII983052:HII983061 HSE983052:HSE983061 ICA983052:ICA983061 ILW983052:ILW983061 IVS983052:IVS983061 JFO983052:JFO983061 JPK983052:JPK983061 JZG983052:JZG983061 KJC983052:KJC983061 KSY983052:KSY983061 LCU983052:LCU983061 LMQ983052:LMQ983061 LWM983052:LWM983061 MGI983052:MGI983061 MQE983052:MQE983061 NAA983052:NAA983061 NJW983052:NJW983061 NTS983052:NTS983061 ODO983052:ODO983061 ONK983052:ONK983061 OXG983052:OXG983061 PHC983052:PHC983061 PQY983052:PQY983061 QAU983052:QAU983061 QKQ983052:QKQ983061 QUM983052:QUM983061 REI983052:REI983061 ROE983052:ROE983061 RYA983052:RYA983061 SHW983052:SHW983061 SRS983052:SRS983061 TBO983052:TBO983061 TLK983052:TLK983061 TVG983052:TVG983061 UFC983052:UFC983061 UOY983052:UOY983061 UYU983052:UYU983061 VIQ983052:VIQ983061 VSM983052:VSM983061 WCI983052:WCI983061 WME983052:WME983061" xr:uid="{2AF08198-B7CA-47B7-BF28-96587DBC23DB}">
      <formula1>"outdoors,indoors, no or basic ventilation,indoors, good ventilation,indoors, enhanced ventilation"</formula1>
    </dataValidation>
    <dataValidation type="list" allowBlank="1" showInputMessage="1" showErrorMessage="1" error="data input not valid; please select from list" sqref="WWG983052:WWG983061 JU12:JU21 TQ12:TQ21 ADM12:ADM21 ANI12:ANI21 AXE12:AXE21 BHA12:BHA21 BQW12:BQW21 CAS12:CAS21 CKO12:CKO21 CUK12:CUK21 DEG12:DEG21 DOC12:DOC21 DXY12:DXY21 EHU12:EHU21 ERQ12:ERQ21 FBM12:FBM21 FLI12:FLI21 FVE12:FVE21 GFA12:GFA21 GOW12:GOW21 GYS12:GYS21 HIO12:HIO21 HSK12:HSK21 ICG12:ICG21 IMC12:IMC21 IVY12:IVY21 JFU12:JFU21 JPQ12:JPQ21 JZM12:JZM21 KJI12:KJI21 KTE12:KTE21 LDA12:LDA21 LMW12:LMW21 LWS12:LWS21 MGO12:MGO21 MQK12:MQK21 NAG12:NAG21 NKC12:NKC21 NTY12:NTY21 ODU12:ODU21 ONQ12:ONQ21 OXM12:OXM21 PHI12:PHI21 PRE12:PRE21 QBA12:QBA21 QKW12:QKW21 QUS12:QUS21 REO12:REO21 ROK12:ROK21 RYG12:RYG21 SIC12:SIC21 SRY12:SRY21 TBU12:TBU21 TLQ12:TLQ21 TVM12:TVM21 UFI12:UFI21 UPE12:UPE21 UZA12:UZA21 VIW12:VIW21 VSS12:VSS21 WCO12:WCO21 WMK12:WMK21 WWG12:WWG21 AA65548:AD65557 JU65548:JU65557 TQ65548:TQ65557 ADM65548:ADM65557 ANI65548:ANI65557 AXE65548:AXE65557 BHA65548:BHA65557 BQW65548:BQW65557 CAS65548:CAS65557 CKO65548:CKO65557 CUK65548:CUK65557 DEG65548:DEG65557 DOC65548:DOC65557 DXY65548:DXY65557 EHU65548:EHU65557 ERQ65548:ERQ65557 FBM65548:FBM65557 FLI65548:FLI65557 FVE65548:FVE65557 GFA65548:GFA65557 GOW65548:GOW65557 GYS65548:GYS65557 HIO65548:HIO65557 HSK65548:HSK65557 ICG65548:ICG65557 IMC65548:IMC65557 IVY65548:IVY65557 JFU65548:JFU65557 JPQ65548:JPQ65557 JZM65548:JZM65557 KJI65548:KJI65557 KTE65548:KTE65557 LDA65548:LDA65557 LMW65548:LMW65557 LWS65548:LWS65557 MGO65548:MGO65557 MQK65548:MQK65557 NAG65548:NAG65557 NKC65548:NKC65557 NTY65548:NTY65557 ODU65548:ODU65557 ONQ65548:ONQ65557 OXM65548:OXM65557 PHI65548:PHI65557 PRE65548:PRE65557 QBA65548:QBA65557 QKW65548:QKW65557 QUS65548:QUS65557 REO65548:REO65557 ROK65548:ROK65557 RYG65548:RYG65557 SIC65548:SIC65557 SRY65548:SRY65557 TBU65548:TBU65557 TLQ65548:TLQ65557 TVM65548:TVM65557 UFI65548:UFI65557 UPE65548:UPE65557 UZA65548:UZA65557 VIW65548:VIW65557 VSS65548:VSS65557 WCO65548:WCO65557 WMK65548:WMK65557 WWG65548:WWG65557 AA131084:AD131093 JU131084:JU131093 TQ131084:TQ131093 ADM131084:ADM131093 ANI131084:ANI131093 AXE131084:AXE131093 BHA131084:BHA131093 BQW131084:BQW131093 CAS131084:CAS131093 CKO131084:CKO131093 CUK131084:CUK131093 DEG131084:DEG131093 DOC131084:DOC131093 DXY131084:DXY131093 EHU131084:EHU131093 ERQ131084:ERQ131093 FBM131084:FBM131093 FLI131084:FLI131093 FVE131084:FVE131093 GFA131084:GFA131093 GOW131084:GOW131093 GYS131084:GYS131093 HIO131084:HIO131093 HSK131084:HSK131093 ICG131084:ICG131093 IMC131084:IMC131093 IVY131084:IVY131093 JFU131084:JFU131093 JPQ131084:JPQ131093 JZM131084:JZM131093 KJI131084:KJI131093 KTE131084:KTE131093 LDA131084:LDA131093 LMW131084:LMW131093 LWS131084:LWS131093 MGO131084:MGO131093 MQK131084:MQK131093 NAG131084:NAG131093 NKC131084:NKC131093 NTY131084:NTY131093 ODU131084:ODU131093 ONQ131084:ONQ131093 OXM131084:OXM131093 PHI131084:PHI131093 PRE131084:PRE131093 QBA131084:QBA131093 QKW131084:QKW131093 QUS131084:QUS131093 REO131084:REO131093 ROK131084:ROK131093 RYG131084:RYG131093 SIC131084:SIC131093 SRY131084:SRY131093 TBU131084:TBU131093 TLQ131084:TLQ131093 TVM131084:TVM131093 UFI131084:UFI131093 UPE131084:UPE131093 UZA131084:UZA131093 VIW131084:VIW131093 VSS131084:VSS131093 WCO131084:WCO131093 WMK131084:WMK131093 WWG131084:WWG131093 AA196620:AD196629 JU196620:JU196629 TQ196620:TQ196629 ADM196620:ADM196629 ANI196620:ANI196629 AXE196620:AXE196629 BHA196620:BHA196629 BQW196620:BQW196629 CAS196620:CAS196629 CKO196620:CKO196629 CUK196620:CUK196629 DEG196620:DEG196629 DOC196620:DOC196629 DXY196620:DXY196629 EHU196620:EHU196629 ERQ196620:ERQ196629 FBM196620:FBM196629 FLI196620:FLI196629 FVE196620:FVE196629 GFA196620:GFA196629 GOW196620:GOW196629 GYS196620:GYS196629 HIO196620:HIO196629 HSK196620:HSK196629 ICG196620:ICG196629 IMC196620:IMC196629 IVY196620:IVY196629 JFU196620:JFU196629 JPQ196620:JPQ196629 JZM196620:JZM196629 KJI196620:KJI196629 KTE196620:KTE196629 LDA196620:LDA196629 LMW196620:LMW196629 LWS196620:LWS196629 MGO196620:MGO196629 MQK196620:MQK196629 NAG196620:NAG196629 NKC196620:NKC196629 NTY196620:NTY196629 ODU196620:ODU196629 ONQ196620:ONQ196629 OXM196620:OXM196629 PHI196620:PHI196629 PRE196620:PRE196629 QBA196620:QBA196629 QKW196620:QKW196629 QUS196620:QUS196629 REO196620:REO196629 ROK196620:ROK196629 RYG196620:RYG196629 SIC196620:SIC196629 SRY196620:SRY196629 TBU196620:TBU196629 TLQ196620:TLQ196629 TVM196620:TVM196629 UFI196620:UFI196629 UPE196620:UPE196629 UZA196620:UZA196629 VIW196620:VIW196629 VSS196620:VSS196629 WCO196620:WCO196629 WMK196620:WMK196629 WWG196620:WWG196629 AA262156:AD262165 JU262156:JU262165 TQ262156:TQ262165 ADM262156:ADM262165 ANI262156:ANI262165 AXE262156:AXE262165 BHA262156:BHA262165 BQW262156:BQW262165 CAS262156:CAS262165 CKO262156:CKO262165 CUK262156:CUK262165 DEG262156:DEG262165 DOC262156:DOC262165 DXY262156:DXY262165 EHU262156:EHU262165 ERQ262156:ERQ262165 FBM262156:FBM262165 FLI262156:FLI262165 FVE262156:FVE262165 GFA262156:GFA262165 GOW262156:GOW262165 GYS262156:GYS262165 HIO262156:HIO262165 HSK262156:HSK262165 ICG262156:ICG262165 IMC262156:IMC262165 IVY262156:IVY262165 JFU262156:JFU262165 JPQ262156:JPQ262165 JZM262156:JZM262165 KJI262156:KJI262165 KTE262156:KTE262165 LDA262156:LDA262165 LMW262156:LMW262165 LWS262156:LWS262165 MGO262156:MGO262165 MQK262156:MQK262165 NAG262156:NAG262165 NKC262156:NKC262165 NTY262156:NTY262165 ODU262156:ODU262165 ONQ262156:ONQ262165 OXM262156:OXM262165 PHI262156:PHI262165 PRE262156:PRE262165 QBA262156:QBA262165 QKW262156:QKW262165 QUS262156:QUS262165 REO262156:REO262165 ROK262156:ROK262165 RYG262156:RYG262165 SIC262156:SIC262165 SRY262156:SRY262165 TBU262156:TBU262165 TLQ262156:TLQ262165 TVM262156:TVM262165 UFI262156:UFI262165 UPE262156:UPE262165 UZA262156:UZA262165 VIW262156:VIW262165 VSS262156:VSS262165 WCO262156:WCO262165 WMK262156:WMK262165 WWG262156:WWG262165 AA327692:AD327701 JU327692:JU327701 TQ327692:TQ327701 ADM327692:ADM327701 ANI327692:ANI327701 AXE327692:AXE327701 BHA327692:BHA327701 BQW327692:BQW327701 CAS327692:CAS327701 CKO327692:CKO327701 CUK327692:CUK327701 DEG327692:DEG327701 DOC327692:DOC327701 DXY327692:DXY327701 EHU327692:EHU327701 ERQ327692:ERQ327701 FBM327692:FBM327701 FLI327692:FLI327701 FVE327692:FVE327701 GFA327692:GFA327701 GOW327692:GOW327701 GYS327692:GYS327701 HIO327692:HIO327701 HSK327692:HSK327701 ICG327692:ICG327701 IMC327692:IMC327701 IVY327692:IVY327701 JFU327692:JFU327701 JPQ327692:JPQ327701 JZM327692:JZM327701 KJI327692:KJI327701 KTE327692:KTE327701 LDA327692:LDA327701 LMW327692:LMW327701 LWS327692:LWS327701 MGO327692:MGO327701 MQK327692:MQK327701 NAG327692:NAG327701 NKC327692:NKC327701 NTY327692:NTY327701 ODU327692:ODU327701 ONQ327692:ONQ327701 OXM327692:OXM327701 PHI327692:PHI327701 PRE327692:PRE327701 QBA327692:QBA327701 QKW327692:QKW327701 QUS327692:QUS327701 REO327692:REO327701 ROK327692:ROK327701 RYG327692:RYG327701 SIC327692:SIC327701 SRY327692:SRY327701 TBU327692:TBU327701 TLQ327692:TLQ327701 TVM327692:TVM327701 UFI327692:UFI327701 UPE327692:UPE327701 UZA327692:UZA327701 VIW327692:VIW327701 VSS327692:VSS327701 WCO327692:WCO327701 WMK327692:WMK327701 WWG327692:WWG327701 AA393228:AD393237 JU393228:JU393237 TQ393228:TQ393237 ADM393228:ADM393237 ANI393228:ANI393237 AXE393228:AXE393237 BHA393228:BHA393237 BQW393228:BQW393237 CAS393228:CAS393237 CKO393228:CKO393237 CUK393228:CUK393237 DEG393228:DEG393237 DOC393228:DOC393237 DXY393228:DXY393237 EHU393228:EHU393237 ERQ393228:ERQ393237 FBM393228:FBM393237 FLI393228:FLI393237 FVE393228:FVE393237 GFA393228:GFA393237 GOW393228:GOW393237 GYS393228:GYS393237 HIO393228:HIO393237 HSK393228:HSK393237 ICG393228:ICG393237 IMC393228:IMC393237 IVY393228:IVY393237 JFU393228:JFU393237 JPQ393228:JPQ393237 JZM393228:JZM393237 KJI393228:KJI393237 KTE393228:KTE393237 LDA393228:LDA393237 LMW393228:LMW393237 LWS393228:LWS393237 MGO393228:MGO393237 MQK393228:MQK393237 NAG393228:NAG393237 NKC393228:NKC393237 NTY393228:NTY393237 ODU393228:ODU393237 ONQ393228:ONQ393237 OXM393228:OXM393237 PHI393228:PHI393237 PRE393228:PRE393237 QBA393228:QBA393237 QKW393228:QKW393237 QUS393228:QUS393237 REO393228:REO393237 ROK393228:ROK393237 RYG393228:RYG393237 SIC393228:SIC393237 SRY393228:SRY393237 TBU393228:TBU393237 TLQ393228:TLQ393237 TVM393228:TVM393237 UFI393228:UFI393237 UPE393228:UPE393237 UZA393228:UZA393237 VIW393228:VIW393237 VSS393228:VSS393237 WCO393228:WCO393237 WMK393228:WMK393237 WWG393228:WWG393237 AA458764:AD458773 JU458764:JU458773 TQ458764:TQ458773 ADM458764:ADM458773 ANI458764:ANI458773 AXE458764:AXE458773 BHA458764:BHA458773 BQW458764:BQW458773 CAS458764:CAS458773 CKO458764:CKO458773 CUK458764:CUK458773 DEG458764:DEG458773 DOC458764:DOC458773 DXY458764:DXY458773 EHU458764:EHU458773 ERQ458764:ERQ458773 FBM458764:FBM458773 FLI458764:FLI458773 FVE458764:FVE458773 GFA458764:GFA458773 GOW458764:GOW458773 GYS458764:GYS458773 HIO458764:HIO458773 HSK458764:HSK458773 ICG458764:ICG458773 IMC458764:IMC458773 IVY458764:IVY458773 JFU458764:JFU458773 JPQ458764:JPQ458773 JZM458764:JZM458773 KJI458764:KJI458773 KTE458764:KTE458773 LDA458764:LDA458773 LMW458764:LMW458773 LWS458764:LWS458773 MGO458764:MGO458773 MQK458764:MQK458773 NAG458764:NAG458773 NKC458764:NKC458773 NTY458764:NTY458773 ODU458764:ODU458773 ONQ458764:ONQ458773 OXM458764:OXM458773 PHI458764:PHI458773 PRE458764:PRE458773 QBA458764:QBA458773 QKW458764:QKW458773 QUS458764:QUS458773 REO458764:REO458773 ROK458764:ROK458773 RYG458764:RYG458773 SIC458764:SIC458773 SRY458764:SRY458773 TBU458764:TBU458773 TLQ458764:TLQ458773 TVM458764:TVM458773 UFI458764:UFI458773 UPE458764:UPE458773 UZA458764:UZA458773 VIW458764:VIW458773 VSS458764:VSS458773 WCO458764:WCO458773 WMK458764:WMK458773 WWG458764:WWG458773 AA524300:AD524309 JU524300:JU524309 TQ524300:TQ524309 ADM524300:ADM524309 ANI524300:ANI524309 AXE524300:AXE524309 BHA524300:BHA524309 BQW524300:BQW524309 CAS524300:CAS524309 CKO524300:CKO524309 CUK524300:CUK524309 DEG524300:DEG524309 DOC524300:DOC524309 DXY524300:DXY524309 EHU524300:EHU524309 ERQ524300:ERQ524309 FBM524300:FBM524309 FLI524300:FLI524309 FVE524300:FVE524309 GFA524300:GFA524309 GOW524300:GOW524309 GYS524300:GYS524309 HIO524300:HIO524309 HSK524300:HSK524309 ICG524300:ICG524309 IMC524300:IMC524309 IVY524300:IVY524309 JFU524300:JFU524309 JPQ524300:JPQ524309 JZM524300:JZM524309 KJI524300:KJI524309 KTE524300:KTE524309 LDA524300:LDA524309 LMW524300:LMW524309 LWS524300:LWS524309 MGO524300:MGO524309 MQK524300:MQK524309 NAG524300:NAG524309 NKC524300:NKC524309 NTY524300:NTY524309 ODU524300:ODU524309 ONQ524300:ONQ524309 OXM524300:OXM524309 PHI524300:PHI524309 PRE524300:PRE524309 QBA524300:QBA524309 QKW524300:QKW524309 QUS524300:QUS524309 REO524300:REO524309 ROK524300:ROK524309 RYG524300:RYG524309 SIC524300:SIC524309 SRY524300:SRY524309 TBU524300:TBU524309 TLQ524300:TLQ524309 TVM524300:TVM524309 UFI524300:UFI524309 UPE524300:UPE524309 UZA524300:UZA524309 VIW524300:VIW524309 VSS524300:VSS524309 WCO524300:WCO524309 WMK524300:WMK524309 WWG524300:WWG524309 AA589836:AD589845 JU589836:JU589845 TQ589836:TQ589845 ADM589836:ADM589845 ANI589836:ANI589845 AXE589836:AXE589845 BHA589836:BHA589845 BQW589836:BQW589845 CAS589836:CAS589845 CKO589836:CKO589845 CUK589836:CUK589845 DEG589836:DEG589845 DOC589836:DOC589845 DXY589836:DXY589845 EHU589836:EHU589845 ERQ589836:ERQ589845 FBM589836:FBM589845 FLI589836:FLI589845 FVE589836:FVE589845 GFA589836:GFA589845 GOW589836:GOW589845 GYS589836:GYS589845 HIO589836:HIO589845 HSK589836:HSK589845 ICG589836:ICG589845 IMC589836:IMC589845 IVY589836:IVY589845 JFU589836:JFU589845 JPQ589836:JPQ589845 JZM589836:JZM589845 KJI589836:KJI589845 KTE589836:KTE589845 LDA589836:LDA589845 LMW589836:LMW589845 LWS589836:LWS589845 MGO589836:MGO589845 MQK589836:MQK589845 NAG589836:NAG589845 NKC589836:NKC589845 NTY589836:NTY589845 ODU589836:ODU589845 ONQ589836:ONQ589845 OXM589836:OXM589845 PHI589836:PHI589845 PRE589836:PRE589845 QBA589836:QBA589845 QKW589836:QKW589845 QUS589836:QUS589845 REO589836:REO589845 ROK589836:ROK589845 RYG589836:RYG589845 SIC589836:SIC589845 SRY589836:SRY589845 TBU589836:TBU589845 TLQ589836:TLQ589845 TVM589836:TVM589845 UFI589836:UFI589845 UPE589836:UPE589845 UZA589836:UZA589845 VIW589836:VIW589845 VSS589836:VSS589845 WCO589836:WCO589845 WMK589836:WMK589845 WWG589836:WWG589845 AA655372:AD655381 JU655372:JU655381 TQ655372:TQ655381 ADM655372:ADM655381 ANI655372:ANI655381 AXE655372:AXE655381 BHA655372:BHA655381 BQW655372:BQW655381 CAS655372:CAS655381 CKO655372:CKO655381 CUK655372:CUK655381 DEG655372:DEG655381 DOC655372:DOC655381 DXY655372:DXY655381 EHU655372:EHU655381 ERQ655372:ERQ655381 FBM655372:FBM655381 FLI655372:FLI655381 FVE655372:FVE655381 GFA655372:GFA655381 GOW655372:GOW655381 GYS655372:GYS655381 HIO655372:HIO655381 HSK655372:HSK655381 ICG655372:ICG655381 IMC655372:IMC655381 IVY655372:IVY655381 JFU655372:JFU655381 JPQ655372:JPQ655381 JZM655372:JZM655381 KJI655372:KJI655381 KTE655372:KTE655381 LDA655372:LDA655381 LMW655372:LMW655381 LWS655372:LWS655381 MGO655372:MGO655381 MQK655372:MQK655381 NAG655372:NAG655381 NKC655372:NKC655381 NTY655372:NTY655381 ODU655372:ODU655381 ONQ655372:ONQ655381 OXM655372:OXM655381 PHI655372:PHI655381 PRE655372:PRE655381 QBA655372:QBA655381 QKW655372:QKW655381 QUS655372:QUS655381 REO655372:REO655381 ROK655372:ROK655381 RYG655372:RYG655381 SIC655372:SIC655381 SRY655372:SRY655381 TBU655372:TBU655381 TLQ655372:TLQ655381 TVM655372:TVM655381 UFI655372:UFI655381 UPE655372:UPE655381 UZA655372:UZA655381 VIW655372:VIW655381 VSS655372:VSS655381 WCO655372:WCO655381 WMK655372:WMK655381 WWG655372:WWG655381 AA720908:AD720917 JU720908:JU720917 TQ720908:TQ720917 ADM720908:ADM720917 ANI720908:ANI720917 AXE720908:AXE720917 BHA720908:BHA720917 BQW720908:BQW720917 CAS720908:CAS720917 CKO720908:CKO720917 CUK720908:CUK720917 DEG720908:DEG720917 DOC720908:DOC720917 DXY720908:DXY720917 EHU720908:EHU720917 ERQ720908:ERQ720917 FBM720908:FBM720917 FLI720908:FLI720917 FVE720908:FVE720917 GFA720908:GFA720917 GOW720908:GOW720917 GYS720908:GYS720917 HIO720908:HIO720917 HSK720908:HSK720917 ICG720908:ICG720917 IMC720908:IMC720917 IVY720908:IVY720917 JFU720908:JFU720917 JPQ720908:JPQ720917 JZM720908:JZM720917 KJI720908:KJI720917 KTE720908:KTE720917 LDA720908:LDA720917 LMW720908:LMW720917 LWS720908:LWS720917 MGO720908:MGO720917 MQK720908:MQK720917 NAG720908:NAG720917 NKC720908:NKC720917 NTY720908:NTY720917 ODU720908:ODU720917 ONQ720908:ONQ720917 OXM720908:OXM720917 PHI720908:PHI720917 PRE720908:PRE720917 QBA720908:QBA720917 QKW720908:QKW720917 QUS720908:QUS720917 REO720908:REO720917 ROK720908:ROK720917 RYG720908:RYG720917 SIC720908:SIC720917 SRY720908:SRY720917 TBU720908:TBU720917 TLQ720908:TLQ720917 TVM720908:TVM720917 UFI720908:UFI720917 UPE720908:UPE720917 UZA720908:UZA720917 VIW720908:VIW720917 VSS720908:VSS720917 WCO720908:WCO720917 WMK720908:WMK720917 WWG720908:WWG720917 AA786444:AD786453 JU786444:JU786453 TQ786444:TQ786453 ADM786444:ADM786453 ANI786444:ANI786453 AXE786444:AXE786453 BHA786444:BHA786453 BQW786444:BQW786453 CAS786444:CAS786453 CKO786444:CKO786453 CUK786444:CUK786453 DEG786444:DEG786453 DOC786444:DOC786453 DXY786444:DXY786453 EHU786444:EHU786453 ERQ786444:ERQ786453 FBM786444:FBM786453 FLI786444:FLI786453 FVE786444:FVE786453 GFA786444:GFA786453 GOW786444:GOW786453 GYS786444:GYS786453 HIO786444:HIO786453 HSK786444:HSK786453 ICG786444:ICG786453 IMC786444:IMC786453 IVY786444:IVY786453 JFU786444:JFU786453 JPQ786444:JPQ786453 JZM786444:JZM786453 KJI786444:KJI786453 KTE786444:KTE786453 LDA786444:LDA786453 LMW786444:LMW786453 LWS786444:LWS786453 MGO786444:MGO786453 MQK786444:MQK786453 NAG786444:NAG786453 NKC786444:NKC786453 NTY786444:NTY786453 ODU786444:ODU786453 ONQ786444:ONQ786453 OXM786444:OXM786453 PHI786444:PHI786453 PRE786444:PRE786453 QBA786444:QBA786453 QKW786444:QKW786453 QUS786444:QUS786453 REO786444:REO786453 ROK786444:ROK786453 RYG786444:RYG786453 SIC786444:SIC786453 SRY786444:SRY786453 TBU786444:TBU786453 TLQ786444:TLQ786453 TVM786444:TVM786453 UFI786444:UFI786453 UPE786444:UPE786453 UZA786444:UZA786453 VIW786444:VIW786453 VSS786444:VSS786453 WCO786444:WCO786453 WMK786444:WMK786453 WWG786444:WWG786453 AA851980:AD851989 JU851980:JU851989 TQ851980:TQ851989 ADM851980:ADM851989 ANI851980:ANI851989 AXE851980:AXE851989 BHA851980:BHA851989 BQW851980:BQW851989 CAS851980:CAS851989 CKO851980:CKO851989 CUK851980:CUK851989 DEG851980:DEG851989 DOC851980:DOC851989 DXY851980:DXY851989 EHU851980:EHU851989 ERQ851980:ERQ851989 FBM851980:FBM851989 FLI851980:FLI851989 FVE851980:FVE851989 GFA851980:GFA851989 GOW851980:GOW851989 GYS851980:GYS851989 HIO851980:HIO851989 HSK851980:HSK851989 ICG851980:ICG851989 IMC851980:IMC851989 IVY851980:IVY851989 JFU851980:JFU851989 JPQ851980:JPQ851989 JZM851980:JZM851989 KJI851980:KJI851989 KTE851980:KTE851989 LDA851980:LDA851989 LMW851980:LMW851989 LWS851980:LWS851989 MGO851980:MGO851989 MQK851980:MQK851989 NAG851980:NAG851989 NKC851980:NKC851989 NTY851980:NTY851989 ODU851980:ODU851989 ONQ851980:ONQ851989 OXM851980:OXM851989 PHI851980:PHI851989 PRE851980:PRE851989 QBA851980:QBA851989 QKW851980:QKW851989 QUS851980:QUS851989 REO851980:REO851989 ROK851980:ROK851989 RYG851980:RYG851989 SIC851980:SIC851989 SRY851980:SRY851989 TBU851980:TBU851989 TLQ851980:TLQ851989 TVM851980:TVM851989 UFI851980:UFI851989 UPE851980:UPE851989 UZA851980:UZA851989 VIW851980:VIW851989 VSS851980:VSS851989 WCO851980:WCO851989 WMK851980:WMK851989 WWG851980:WWG851989 AA917516:AD917525 JU917516:JU917525 TQ917516:TQ917525 ADM917516:ADM917525 ANI917516:ANI917525 AXE917516:AXE917525 BHA917516:BHA917525 BQW917516:BQW917525 CAS917516:CAS917525 CKO917516:CKO917525 CUK917516:CUK917525 DEG917516:DEG917525 DOC917516:DOC917525 DXY917516:DXY917525 EHU917516:EHU917525 ERQ917516:ERQ917525 FBM917516:FBM917525 FLI917516:FLI917525 FVE917516:FVE917525 GFA917516:GFA917525 GOW917516:GOW917525 GYS917516:GYS917525 HIO917516:HIO917525 HSK917516:HSK917525 ICG917516:ICG917525 IMC917516:IMC917525 IVY917516:IVY917525 JFU917516:JFU917525 JPQ917516:JPQ917525 JZM917516:JZM917525 KJI917516:KJI917525 KTE917516:KTE917525 LDA917516:LDA917525 LMW917516:LMW917525 LWS917516:LWS917525 MGO917516:MGO917525 MQK917516:MQK917525 NAG917516:NAG917525 NKC917516:NKC917525 NTY917516:NTY917525 ODU917516:ODU917525 ONQ917516:ONQ917525 OXM917516:OXM917525 PHI917516:PHI917525 PRE917516:PRE917525 QBA917516:QBA917525 QKW917516:QKW917525 QUS917516:QUS917525 REO917516:REO917525 ROK917516:ROK917525 RYG917516:RYG917525 SIC917516:SIC917525 SRY917516:SRY917525 TBU917516:TBU917525 TLQ917516:TLQ917525 TVM917516:TVM917525 UFI917516:UFI917525 UPE917516:UPE917525 UZA917516:UZA917525 VIW917516:VIW917525 VSS917516:VSS917525 WCO917516:WCO917525 WMK917516:WMK917525 WWG917516:WWG917525 AA983052:AD983061 JU983052:JU983061 TQ983052:TQ983061 ADM983052:ADM983061 ANI983052:ANI983061 AXE983052:AXE983061 BHA983052:BHA983061 BQW983052:BQW983061 CAS983052:CAS983061 CKO983052:CKO983061 CUK983052:CUK983061 DEG983052:DEG983061 DOC983052:DOC983061 DXY983052:DXY983061 EHU983052:EHU983061 ERQ983052:ERQ983061 FBM983052:FBM983061 FLI983052:FLI983061 FVE983052:FVE983061 GFA983052:GFA983061 GOW983052:GOW983061 GYS983052:GYS983061 HIO983052:HIO983061 HSK983052:HSK983061 ICG983052:ICG983061 IMC983052:IMC983061 IVY983052:IVY983061 JFU983052:JFU983061 JPQ983052:JPQ983061 JZM983052:JZM983061 KJI983052:KJI983061 KTE983052:KTE983061 LDA983052:LDA983061 LMW983052:LMW983061 LWS983052:LWS983061 MGO983052:MGO983061 MQK983052:MQK983061 NAG983052:NAG983061 NKC983052:NKC983061 NTY983052:NTY983061 ODU983052:ODU983061 ONQ983052:ONQ983061 OXM983052:OXM983061 PHI983052:PHI983061 PRE983052:PRE983061 QBA983052:QBA983061 QKW983052:QKW983061 QUS983052:QUS983061 REO983052:REO983061 ROK983052:ROK983061 RYG983052:RYG983061 SIC983052:SIC983061 SRY983052:SRY983061 TBU983052:TBU983061 TLQ983052:TLQ983061 TVM983052:TVM983061 UFI983052:UFI983061 UPE983052:UPE983061 UZA983052:UZA983061 VIW983052:VIW983061 VSS983052:VSS983061 WCO983052:WCO983061 WMK983052:WMK983061" xr:uid="{8439C102-DE90-4789-9AF7-D5D69A4EFCFB}">
      <formula1>"noPPE,PPE80%,PPE90%,PPE95%"</formula1>
    </dataValidation>
    <dataValidation type="list" allowBlank="1" showInputMessage="1" showErrorMessage="1" error="data input not valid; please select from list" sqref="Y983052:Z983061 JT12:JT21 TP12:TP21 ADL12:ADL21 ANH12:ANH21 AXD12:AXD21 BGZ12:BGZ21 BQV12:BQV21 CAR12:CAR21 CKN12:CKN21 CUJ12:CUJ21 DEF12:DEF21 DOB12:DOB21 DXX12:DXX21 EHT12:EHT21 ERP12:ERP21 FBL12:FBL21 FLH12:FLH21 FVD12:FVD21 GEZ12:GEZ21 GOV12:GOV21 GYR12:GYR21 HIN12:HIN21 HSJ12:HSJ21 ICF12:ICF21 IMB12:IMB21 IVX12:IVX21 JFT12:JFT21 JPP12:JPP21 JZL12:JZL21 KJH12:KJH21 KTD12:KTD21 LCZ12:LCZ21 LMV12:LMV21 LWR12:LWR21 MGN12:MGN21 MQJ12:MQJ21 NAF12:NAF21 NKB12:NKB21 NTX12:NTX21 ODT12:ODT21 ONP12:ONP21 OXL12:OXL21 PHH12:PHH21 PRD12:PRD21 QAZ12:QAZ21 QKV12:QKV21 QUR12:QUR21 REN12:REN21 ROJ12:ROJ21 RYF12:RYF21 SIB12:SIB21 SRX12:SRX21 TBT12:TBT21 TLP12:TLP21 TVL12:TVL21 UFH12:UFH21 UPD12:UPD21 UYZ12:UYZ21 VIV12:VIV21 VSR12:VSR21 WCN12:WCN21 WMJ12:WMJ21 WWF12:WWF21 JT65548:JT65557 TP65548:TP65557 ADL65548:ADL65557 ANH65548:ANH65557 AXD65548:AXD65557 BGZ65548:BGZ65557 BQV65548:BQV65557 CAR65548:CAR65557 CKN65548:CKN65557 CUJ65548:CUJ65557 DEF65548:DEF65557 DOB65548:DOB65557 DXX65548:DXX65557 EHT65548:EHT65557 ERP65548:ERP65557 FBL65548:FBL65557 FLH65548:FLH65557 FVD65548:FVD65557 GEZ65548:GEZ65557 GOV65548:GOV65557 GYR65548:GYR65557 HIN65548:HIN65557 HSJ65548:HSJ65557 ICF65548:ICF65557 IMB65548:IMB65557 IVX65548:IVX65557 JFT65548:JFT65557 JPP65548:JPP65557 JZL65548:JZL65557 KJH65548:KJH65557 KTD65548:KTD65557 LCZ65548:LCZ65557 LMV65548:LMV65557 LWR65548:LWR65557 MGN65548:MGN65557 MQJ65548:MQJ65557 NAF65548:NAF65557 NKB65548:NKB65557 NTX65548:NTX65557 ODT65548:ODT65557 ONP65548:ONP65557 OXL65548:OXL65557 PHH65548:PHH65557 PRD65548:PRD65557 QAZ65548:QAZ65557 QKV65548:QKV65557 QUR65548:QUR65557 REN65548:REN65557 ROJ65548:ROJ65557 RYF65548:RYF65557 SIB65548:SIB65557 SRX65548:SRX65557 TBT65548:TBT65557 TLP65548:TLP65557 TVL65548:TVL65557 UFH65548:UFH65557 UPD65548:UPD65557 UYZ65548:UYZ65557 VIV65548:VIV65557 VSR65548:VSR65557 WCN65548:WCN65557 WMJ65548:WMJ65557 WWF65548:WWF65557 JT131084:JT131093 TP131084:TP131093 ADL131084:ADL131093 ANH131084:ANH131093 AXD131084:AXD131093 BGZ131084:BGZ131093 BQV131084:BQV131093 CAR131084:CAR131093 CKN131084:CKN131093 CUJ131084:CUJ131093 DEF131084:DEF131093 DOB131084:DOB131093 DXX131084:DXX131093 EHT131084:EHT131093 ERP131084:ERP131093 FBL131084:FBL131093 FLH131084:FLH131093 FVD131084:FVD131093 GEZ131084:GEZ131093 GOV131084:GOV131093 GYR131084:GYR131093 HIN131084:HIN131093 HSJ131084:HSJ131093 ICF131084:ICF131093 IMB131084:IMB131093 IVX131084:IVX131093 JFT131084:JFT131093 JPP131084:JPP131093 JZL131084:JZL131093 KJH131084:KJH131093 KTD131084:KTD131093 LCZ131084:LCZ131093 LMV131084:LMV131093 LWR131084:LWR131093 MGN131084:MGN131093 MQJ131084:MQJ131093 NAF131084:NAF131093 NKB131084:NKB131093 NTX131084:NTX131093 ODT131084:ODT131093 ONP131084:ONP131093 OXL131084:OXL131093 PHH131084:PHH131093 PRD131084:PRD131093 QAZ131084:QAZ131093 QKV131084:QKV131093 QUR131084:QUR131093 REN131084:REN131093 ROJ131084:ROJ131093 RYF131084:RYF131093 SIB131084:SIB131093 SRX131084:SRX131093 TBT131084:TBT131093 TLP131084:TLP131093 TVL131084:TVL131093 UFH131084:UFH131093 UPD131084:UPD131093 UYZ131084:UYZ131093 VIV131084:VIV131093 VSR131084:VSR131093 WCN131084:WCN131093 WMJ131084:WMJ131093 WWF131084:WWF131093 JT196620:JT196629 TP196620:TP196629 ADL196620:ADL196629 ANH196620:ANH196629 AXD196620:AXD196629 BGZ196620:BGZ196629 BQV196620:BQV196629 CAR196620:CAR196629 CKN196620:CKN196629 CUJ196620:CUJ196629 DEF196620:DEF196629 DOB196620:DOB196629 DXX196620:DXX196629 EHT196620:EHT196629 ERP196620:ERP196629 FBL196620:FBL196629 FLH196620:FLH196629 FVD196620:FVD196629 GEZ196620:GEZ196629 GOV196620:GOV196629 GYR196620:GYR196629 HIN196620:HIN196629 HSJ196620:HSJ196629 ICF196620:ICF196629 IMB196620:IMB196629 IVX196620:IVX196629 JFT196620:JFT196629 JPP196620:JPP196629 JZL196620:JZL196629 KJH196620:KJH196629 KTD196620:KTD196629 LCZ196620:LCZ196629 LMV196620:LMV196629 LWR196620:LWR196629 MGN196620:MGN196629 MQJ196620:MQJ196629 NAF196620:NAF196629 NKB196620:NKB196629 NTX196620:NTX196629 ODT196620:ODT196629 ONP196620:ONP196629 OXL196620:OXL196629 PHH196620:PHH196629 PRD196620:PRD196629 QAZ196620:QAZ196629 QKV196620:QKV196629 QUR196620:QUR196629 REN196620:REN196629 ROJ196620:ROJ196629 RYF196620:RYF196629 SIB196620:SIB196629 SRX196620:SRX196629 TBT196620:TBT196629 TLP196620:TLP196629 TVL196620:TVL196629 UFH196620:UFH196629 UPD196620:UPD196629 UYZ196620:UYZ196629 VIV196620:VIV196629 VSR196620:VSR196629 WCN196620:WCN196629 WMJ196620:WMJ196629 WWF196620:WWF196629 JT262156:JT262165 TP262156:TP262165 ADL262156:ADL262165 ANH262156:ANH262165 AXD262156:AXD262165 BGZ262156:BGZ262165 BQV262156:BQV262165 CAR262156:CAR262165 CKN262156:CKN262165 CUJ262156:CUJ262165 DEF262156:DEF262165 DOB262156:DOB262165 DXX262156:DXX262165 EHT262156:EHT262165 ERP262156:ERP262165 FBL262156:FBL262165 FLH262156:FLH262165 FVD262156:FVD262165 GEZ262156:GEZ262165 GOV262156:GOV262165 GYR262156:GYR262165 HIN262156:HIN262165 HSJ262156:HSJ262165 ICF262156:ICF262165 IMB262156:IMB262165 IVX262156:IVX262165 JFT262156:JFT262165 JPP262156:JPP262165 JZL262156:JZL262165 KJH262156:KJH262165 KTD262156:KTD262165 LCZ262156:LCZ262165 LMV262156:LMV262165 LWR262156:LWR262165 MGN262156:MGN262165 MQJ262156:MQJ262165 NAF262156:NAF262165 NKB262156:NKB262165 NTX262156:NTX262165 ODT262156:ODT262165 ONP262156:ONP262165 OXL262156:OXL262165 PHH262156:PHH262165 PRD262156:PRD262165 QAZ262156:QAZ262165 QKV262156:QKV262165 QUR262156:QUR262165 REN262156:REN262165 ROJ262156:ROJ262165 RYF262156:RYF262165 SIB262156:SIB262165 SRX262156:SRX262165 TBT262156:TBT262165 TLP262156:TLP262165 TVL262156:TVL262165 UFH262156:UFH262165 UPD262156:UPD262165 UYZ262156:UYZ262165 VIV262156:VIV262165 VSR262156:VSR262165 WCN262156:WCN262165 WMJ262156:WMJ262165 WWF262156:WWF262165 JT327692:JT327701 TP327692:TP327701 ADL327692:ADL327701 ANH327692:ANH327701 AXD327692:AXD327701 BGZ327692:BGZ327701 BQV327692:BQV327701 CAR327692:CAR327701 CKN327692:CKN327701 CUJ327692:CUJ327701 DEF327692:DEF327701 DOB327692:DOB327701 DXX327692:DXX327701 EHT327692:EHT327701 ERP327692:ERP327701 FBL327692:FBL327701 FLH327692:FLH327701 FVD327692:FVD327701 GEZ327692:GEZ327701 GOV327692:GOV327701 GYR327692:GYR327701 HIN327692:HIN327701 HSJ327692:HSJ327701 ICF327692:ICF327701 IMB327692:IMB327701 IVX327692:IVX327701 JFT327692:JFT327701 JPP327692:JPP327701 JZL327692:JZL327701 KJH327692:KJH327701 KTD327692:KTD327701 LCZ327692:LCZ327701 LMV327692:LMV327701 LWR327692:LWR327701 MGN327692:MGN327701 MQJ327692:MQJ327701 NAF327692:NAF327701 NKB327692:NKB327701 NTX327692:NTX327701 ODT327692:ODT327701 ONP327692:ONP327701 OXL327692:OXL327701 PHH327692:PHH327701 PRD327692:PRD327701 QAZ327692:QAZ327701 QKV327692:QKV327701 QUR327692:QUR327701 REN327692:REN327701 ROJ327692:ROJ327701 RYF327692:RYF327701 SIB327692:SIB327701 SRX327692:SRX327701 TBT327692:TBT327701 TLP327692:TLP327701 TVL327692:TVL327701 UFH327692:UFH327701 UPD327692:UPD327701 UYZ327692:UYZ327701 VIV327692:VIV327701 VSR327692:VSR327701 WCN327692:WCN327701 WMJ327692:WMJ327701 WWF327692:WWF327701 JT393228:JT393237 TP393228:TP393237 ADL393228:ADL393237 ANH393228:ANH393237 AXD393228:AXD393237 BGZ393228:BGZ393237 BQV393228:BQV393237 CAR393228:CAR393237 CKN393228:CKN393237 CUJ393228:CUJ393237 DEF393228:DEF393237 DOB393228:DOB393237 DXX393228:DXX393237 EHT393228:EHT393237 ERP393228:ERP393237 FBL393228:FBL393237 FLH393228:FLH393237 FVD393228:FVD393237 GEZ393228:GEZ393237 GOV393228:GOV393237 GYR393228:GYR393237 HIN393228:HIN393237 HSJ393228:HSJ393237 ICF393228:ICF393237 IMB393228:IMB393237 IVX393228:IVX393237 JFT393228:JFT393237 JPP393228:JPP393237 JZL393228:JZL393237 KJH393228:KJH393237 KTD393228:KTD393237 LCZ393228:LCZ393237 LMV393228:LMV393237 LWR393228:LWR393237 MGN393228:MGN393237 MQJ393228:MQJ393237 NAF393228:NAF393237 NKB393228:NKB393237 NTX393228:NTX393237 ODT393228:ODT393237 ONP393228:ONP393237 OXL393228:OXL393237 PHH393228:PHH393237 PRD393228:PRD393237 QAZ393228:QAZ393237 QKV393228:QKV393237 QUR393228:QUR393237 REN393228:REN393237 ROJ393228:ROJ393237 RYF393228:RYF393237 SIB393228:SIB393237 SRX393228:SRX393237 TBT393228:TBT393237 TLP393228:TLP393237 TVL393228:TVL393237 UFH393228:UFH393237 UPD393228:UPD393237 UYZ393228:UYZ393237 VIV393228:VIV393237 VSR393228:VSR393237 WCN393228:WCN393237 WMJ393228:WMJ393237 WWF393228:WWF393237 JT458764:JT458773 TP458764:TP458773 ADL458764:ADL458773 ANH458764:ANH458773 AXD458764:AXD458773 BGZ458764:BGZ458773 BQV458764:BQV458773 CAR458764:CAR458773 CKN458764:CKN458773 CUJ458764:CUJ458773 DEF458764:DEF458773 DOB458764:DOB458773 DXX458764:DXX458773 EHT458764:EHT458773 ERP458764:ERP458773 FBL458764:FBL458773 FLH458764:FLH458773 FVD458764:FVD458773 GEZ458764:GEZ458773 GOV458764:GOV458773 GYR458764:GYR458773 HIN458764:HIN458773 HSJ458764:HSJ458773 ICF458764:ICF458773 IMB458764:IMB458773 IVX458764:IVX458773 JFT458764:JFT458773 JPP458764:JPP458773 JZL458764:JZL458773 KJH458764:KJH458773 KTD458764:KTD458773 LCZ458764:LCZ458773 LMV458764:LMV458773 LWR458764:LWR458773 MGN458764:MGN458773 MQJ458764:MQJ458773 NAF458764:NAF458773 NKB458764:NKB458773 NTX458764:NTX458773 ODT458764:ODT458773 ONP458764:ONP458773 OXL458764:OXL458773 PHH458764:PHH458773 PRD458764:PRD458773 QAZ458764:QAZ458773 QKV458764:QKV458773 QUR458764:QUR458773 REN458764:REN458773 ROJ458764:ROJ458773 RYF458764:RYF458773 SIB458764:SIB458773 SRX458764:SRX458773 TBT458764:TBT458773 TLP458764:TLP458773 TVL458764:TVL458773 UFH458764:UFH458773 UPD458764:UPD458773 UYZ458764:UYZ458773 VIV458764:VIV458773 VSR458764:VSR458773 WCN458764:WCN458773 WMJ458764:WMJ458773 WWF458764:WWF458773 JT524300:JT524309 TP524300:TP524309 ADL524300:ADL524309 ANH524300:ANH524309 AXD524300:AXD524309 BGZ524300:BGZ524309 BQV524300:BQV524309 CAR524300:CAR524309 CKN524300:CKN524309 CUJ524300:CUJ524309 DEF524300:DEF524309 DOB524300:DOB524309 DXX524300:DXX524309 EHT524300:EHT524309 ERP524300:ERP524309 FBL524300:FBL524309 FLH524300:FLH524309 FVD524300:FVD524309 GEZ524300:GEZ524309 GOV524300:GOV524309 GYR524300:GYR524309 HIN524300:HIN524309 HSJ524300:HSJ524309 ICF524300:ICF524309 IMB524300:IMB524309 IVX524300:IVX524309 JFT524300:JFT524309 JPP524300:JPP524309 JZL524300:JZL524309 KJH524300:KJH524309 KTD524300:KTD524309 LCZ524300:LCZ524309 LMV524300:LMV524309 LWR524300:LWR524309 MGN524300:MGN524309 MQJ524300:MQJ524309 NAF524300:NAF524309 NKB524300:NKB524309 NTX524300:NTX524309 ODT524300:ODT524309 ONP524300:ONP524309 OXL524300:OXL524309 PHH524300:PHH524309 PRD524300:PRD524309 QAZ524300:QAZ524309 QKV524300:QKV524309 QUR524300:QUR524309 REN524300:REN524309 ROJ524300:ROJ524309 RYF524300:RYF524309 SIB524300:SIB524309 SRX524300:SRX524309 TBT524300:TBT524309 TLP524300:TLP524309 TVL524300:TVL524309 UFH524300:UFH524309 UPD524300:UPD524309 UYZ524300:UYZ524309 VIV524300:VIV524309 VSR524300:VSR524309 WCN524300:WCN524309 WMJ524300:WMJ524309 WWF524300:WWF524309 JT589836:JT589845 TP589836:TP589845 ADL589836:ADL589845 ANH589836:ANH589845 AXD589836:AXD589845 BGZ589836:BGZ589845 BQV589836:BQV589845 CAR589836:CAR589845 CKN589836:CKN589845 CUJ589836:CUJ589845 DEF589836:DEF589845 DOB589836:DOB589845 DXX589836:DXX589845 EHT589836:EHT589845 ERP589836:ERP589845 FBL589836:FBL589845 FLH589836:FLH589845 FVD589836:FVD589845 GEZ589836:GEZ589845 GOV589836:GOV589845 GYR589836:GYR589845 HIN589836:HIN589845 HSJ589836:HSJ589845 ICF589836:ICF589845 IMB589836:IMB589845 IVX589836:IVX589845 JFT589836:JFT589845 JPP589836:JPP589845 JZL589836:JZL589845 KJH589836:KJH589845 KTD589836:KTD589845 LCZ589836:LCZ589845 LMV589836:LMV589845 LWR589836:LWR589845 MGN589836:MGN589845 MQJ589836:MQJ589845 NAF589836:NAF589845 NKB589836:NKB589845 NTX589836:NTX589845 ODT589836:ODT589845 ONP589836:ONP589845 OXL589836:OXL589845 PHH589836:PHH589845 PRD589836:PRD589845 QAZ589836:QAZ589845 QKV589836:QKV589845 QUR589836:QUR589845 REN589836:REN589845 ROJ589836:ROJ589845 RYF589836:RYF589845 SIB589836:SIB589845 SRX589836:SRX589845 TBT589836:TBT589845 TLP589836:TLP589845 TVL589836:TVL589845 UFH589836:UFH589845 UPD589836:UPD589845 UYZ589836:UYZ589845 VIV589836:VIV589845 VSR589836:VSR589845 WCN589836:WCN589845 WMJ589836:WMJ589845 WWF589836:WWF589845 JT655372:JT655381 TP655372:TP655381 ADL655372:ADL655381 ANH655372:ANH655381 AXD655372:AXD655381 BGZ655372:BGZ655381 BQV655372:BQV655381 CAR655372:CAR655381 CKN655372:CKN655381 CUJ655372:CUJ655381 DEF655372:DEF655381 DOB655372:DOB655381 DXX655372:DXX655381 EHT655372:EHT655381 ERP655372:ERP655381 FBL655372:FBL655381 FLH655372:FLH655381 FVD655372:FVD655381 GEZ655372:GEZ655381 GOV655372:GOV655381 GYR655372:GYR655381 HIN655372:HIN655381 HSJ655372:HSJ655381 ICF655372:ICF655381 IMB655372:IMB655381 IVX655372:IVX655381 JFT655372:JFT655381 JPP655372:JPP655381 JZL655372:JZL655381 KJH655372:KJH655381 KTD655372:KTD655381 LCZ655372:LCZ655381 LMV655372:LMV655381 LWR655372:LWR655381 MGN655372:MGN655381 MQJ655372:MQJ655381 NAF655372:NAF655381 NKB655372:NKB655381 NTX655372:NTX655381 ODT655372:ODT655381 ONP655372:ONP655381 OXL655372:OXL655381 PHH655372:PHH655381 PRD655372:PRD655381 QAZ655372:QAZ655381 QKV655372:QKV655381 QUR655372:QUR655381 REN655372:REN655381 ROJ655372:ROJ655381 RYF655372:RYF655381 SIB655372:SIB655381 SRX655372:SRX655381 TBT655372:TBT655381 TLP655372:TLP655381 TVL655372:TVL655381 UFH655372:UFH655381 UPD655372:UPD655381 UYZ655372:UYZ655381 VIV655372:VIV655381 VSR655372:VSR655381 WCN655372:WCN655381 WMJ655372:WMJ655381 WWF655372:WWF655381 JT720908:JT720917 TP720908:TP720917 ADL720908:ADL720917 ANH720908:ANH720917 AXD720908:AXD720917 BGZ720908:BGZ720917 BQV720908:BQV720917 CAR720908:CAR720917 CKN720908:CKN720917 CUJ720908:CUJ720917 DEF720908:DEF720917 DOB720908:DOB720917 DXX720908:DXX720917 EHT720908:EHT720917 ERP720908:ERP720917 FBL720908:FBL720917 FLH720908:FLH720917 FVD720908:FVD720917 GEZ720908:GEZ720917 GOV720908:GOV720917 GYR720908:GYR720917 HIN720908:HIN720917 HSJ720908:HSJ720917 ICF720908:ICF720917 IMB720908:IMB720917 IVX720908:IVX720917 JFT720908:JFT720917 JPP720908:JPP720917 JZL720908:JZL720917 KJH720908:KJH720917 KTD720908:KTD720917 LCZ720908:LCZ720917 LMV720908:LMV720917 LWR720908:LWR720917 MGN720908:MGN720917 MQJ720908:MQJ720917 NAF720908:NAF720917 NKB720908:NKB720917 NTX720908:NTX720917 ODT720908:ODT720917 ONP720908:ONP720917 OXL720908:OXL720917 PHH720908:PHH720917 PRD720908:PRD720917 QAZ720908:QAZ720917 QKV720908:QKV720917 QUR720908:QUR720917 REN720908:REN720917 ROJ720908:ROJ720917 RYF720908:RYF720917 SIB720908:SIB720917 SRX720908:SRX720917 TBT720908:TBT720917 TLP720908:TLP720917 TVL720908:TVL720917 UFH720908:UFH720917 UPD720908:UPD720917 UYZ720908:UYZ720917 VIV720908:VIV720917 VSR720908:VSR720917 WCN720908:WCN720917 WMJ720908:WMJ720917 WWF720908:WWF720917 JT786444:JT786453 TP786444:TP786453 ADL786444:ADL786453 ANH786444:ANH786453 AXD786444:AXD786453 BGZ786444:BGZ786453 BQV786444:BQV786453 CAR786444:CAR786453 CKN786444:CKN786453 CUJ786444:CUJ786453 DEF786444:DEF786453 DOB786444:DOB786453 DXX786444:DXX786453 EHT786444:EHT786453 ERP786444:ERP786453 FBL786444:FBL786453 FLH786444:FLH786453 FVD786444:FVD786453 GEZ786444:GEZ786453 GOV786444:GOV786453 GYR786444:GYR786453 HIN786444:HIN786453 HSJ786444:HSJ786453 ICF786444:ICF786453 IMB786444:IMB786453 IVX786444:IVX786453 JFT786444:JFT786453 JPP786444:JPP786453 JZL786444:JZL786453 KJH786444:KJH786453 KTD786444:KTD786453 LCZ786444:LCZ786453 LMV786444:LMV786453 LWR786444:LWR786453 MGN786444:MGN786453 MQJ786444:MQJ786453 NAF786444:NAF786453 NKB786444:NKB786453 NTX786444:NTX786453 ODT786444:ODT786453 ONP786444:ONP786453 OXL786444:OXL786453 PHH786444:PHH786453 PRD786444:PRD786453 QAZ786444:QAZ786453 QKV786444:QKV786453 QUR786444:QUR786453 REN786444:REN786453 ROJ786444:ROJ786453 RYF786444:RYF786453 SIB786444:SIB786453 SRX786444:SRX786453 TBT786444:TBT786453 TLP786444:TLP786453 TVL786444:TVL786453 UFH786444:UFH786453 UPD786444:UPD786453 UYZ786444:UYZ786453 VIV786444:VIV786453 VSR786444:VSR786453 WCN786444:WCN786453 WMJ786444:WMJ786453 WWF786444:WWF786453 JT851980:JT851989 TP851980:TP851989 ADL851980:ADL851989 ANH851980:ANH851989 AXD851980:AXD851989 BGZ851980:BGZ851989 BQV851980:BQV851989 CAR851980:CAR851989 CKN851980:CKN851989 CUJ851980:CUJ851989 DEF851980:DEF851989 DOB851980:DOB851989 DXX851980:DXX851989 EHT851980:EHT851989 ERP851980:ERP851989 FBL851980:FBL851989 FLH851980:FLH851989 FVD851980:FVD851989 GEZ851980:GEZ851989 GOV851980:GOV851989 GYR851980:GYR851989 HIN851980:HIN851989 HSJ851980:HSJ851989 ICF851980:ICF851989 IMB851980:IMB851989 IVX851980:IVX851989 JFT851980:JFT851989 JPP851980:JPP851989 JZL851980:JZL851989 KJH851980:KJH851989 KTD851980:KTD851989 LCZ851980:LCZ851989 LMV851980:LMV851989 LWR851980:LWR851989 MGN851980:MGN851989 MQJ851980:MQJ851989 NAF851980:NAF851989 NKB851980:NKB851989 NTX851980:NTX851989 ODT851980:ODT851989 ONP851980:ONP851989 OXL851980:OXL851989 PHH851980:PHH851989 PRD851980:PRD851989 QAZ851980:QAZ851989 QKV851980:QKV851989 QUR851980:QUR851989 REN851980:REN851989 ROJ851980:ROJ851989 RYF851980:RYF851989 SIB851980:SIB851989 SRX851980:SRX851989 TBT851980:TBT851989 TLP851980:TLP851989 TVL851980:TVL851989 UFH851980:UFH851989 UPD851980:UPD851989 UYZ851980:UYZ851989 VIV851980:VIV851989 VSR851980:VSR851989 WCN851980:WCN851989 WMJ851980:WMJ851989 WWF851980:WWF851989 JT917516:JT917525 TP917516:TP917525 ADL917516:ADL917525 ANH917516:ANH917525 AXD917516:AXD917525 BGZ917516:BGZ917525 BQV917516:BQV917525 CAR917516:CAR917525 CKN917516:CKN917525 CUJ917516:CUJ917525 DEF917516:DEF917525 DOB917516:DOB917525 DXX917516:DXX917525 EHT917516:EHT917525 ERP917516:ERP917525 FBL917516:FBL917525 FLH917516:FLH917525 FVD917516:FVD917525 GEZ917516:GEZ917525 GOV917516:GOV917525 GYR917516:GYR917525 HIN917516:HIN917525 HSJ917516:HSJ917525 ICF917516:ICF917525 IMB917516:IMB917525 IVX917516:IVX917525 JFT917516:JFT917525 JPP917516:JPP917525 JZL917516:JZL917525 KJH917516:KJH917525 KTD917516:KTD917525 LCZ917516:LCZ917525 LMV917516:LMV917525 LWR917516:LWR917525 MGN917516:MGN917525 MQJ917516:MQJ917525 NAF917516:NAF917525 NKB917516:NKB917525 NTX917516:NTX917525 ODT917516:ODT917525 ONP917516:ONP917525 OXL917516:OXL917525 PHH917516:PHH917525 PRD917516:PRD917525 QAZ917516:QAZ917525 QKV917516:QKV917525 QUR917516:QUR917525 REN917516:REN917525 ROJ917516:ROJ917525 RYF917516:RYF917525 SIB917516:SIB917525 SRX917516:SRX917525 TBT917516:TBT917525 TLP917516:TLP917525 TVL917516:TVL917525 UFH917516:UFH917525 UPD917516:UPD917525 UYZ917516:UYZ917525 VIV917516:VIV917525 VSR917516:VSR917525 WCN917516:WCN917525 WMJ917516:WMJ917525 WWF917516:WWF917525 JT983052:JT983061 TP983052:TP983061 ADL983052:ADL983061 ANH983052:ANH983061 AXD983052:AXD983061 BGZ983052:BGZ983061 BQV983052:BQV983061 CAR983052:CAR983061 CKN983052:CKN983061 CUJ983052:CUJ983061 DEF983052:DEF983061 DOB983052:DOB983061 DXX983052:DXX983061 EHT983052:EHT983061 ERP983052:ERP983061 FBL983052:FBL983061 FLH983052:FLH983061 FVD983052:FVD983061 GEZ983052:GEZ983061 GOV983052:GOV983061 GYR983052:GYR983061 HIN983052:HIN983061 HSJ983052:HSJ983061 ICF983052:ICF983061 IMB983052:IMB983061 IVX983052:IVX983061 JFT983052:JFT983061 JPP983052:JPP983061 JZL983052:JZL983061 KJH983052:KJH983061 KTD983052:KTD983061 LCZ983052:LCZ983061 LMV983052:LMV983061 LWR983052:LWR983061 MGN983052:MGN983061 MQJ983052:MQJ983061 NAF983052:NAF983061 NKB983052:NKB983061 NTX983052:NTX983061 ODT983052:ODT983061 ONP983052:ONP983061 OXL983052:OXL983061 PHH983052:PHH983061 PRD983052:PRD983061 QAZ983052:QAZ983061 QKV983052:QKV983061 QUR983052:QUR983061 REN983052:REN983061 ROJ983052:ROJ983061 RYF983052:RYF983061 SIB983052:SIB983061 SRX983052:SRX983061 TBT983052:TBT983061 TLP983052:TLP983061 TVL983052:TVL983061 UFH983052:UFH983061 UPD983052:UPD983061 UYZ983052:UYZ983061 VIV983052:VIV983061 VSR983052:VSR983061 WCN983052:WCN983061 WMJ983052:WMJ983061 WWF983052:WWF983061 Y65548:Z65557 Y131084:Z131093 Y196620:Z196629 Y262156:Z262165 Y327692:Z327701 Y393228:Z393237 Y458764:Z458773 Y524300:Z524309 Y589836:Z589845 Y655372:Z655381 Y720908:Z720917 Y786444:Z786453 Y851980:Z851989 Y917516:Z917525 J12:J31" xr:uid="{C6F03CC3-2A04-4AAF-867D-25B6FD484C40}">
      <formula1>"no RPE, RPE90%,RPE95%"</formula1>
    </dataValidation>
    <dataValidation type="list" allowBlank="1" showInputMessage="1" showErrorMessage="1" error="data input not valid; please select from list" sqref="I12:I31 JR12:JS21 TN12:TO21 ADJ12:ADK21 ANF12:ANG21 AXB12:AXC21 BGX12:BGY21 BQT12:BQU21 CAP12:CAQ21 CKL12:CKM21 CUH12:CUI21 DED12:DEE21 DNZ12:DOA21 DXV12:DXW21 EHR12:EHS21 ERN12:ERO21 FBJ12:FBK21 FLF12:FLG21 FVB12:FVC21 GEX12:GEY21 GOT12:GOU21 GYP12:GYQ21 HIL12:HIM21 HSH12:HSI21 ICD12:ICE21 ILZ12:IMA21 IVV12:IVW21 JFR12:JFS21 JPN12:JPO21 JZJ12:JZK21 KJF12:KJG21 KTB12:KTC21 LCX12:LCY21 LMT12:LMU21 LWP12:LWQ21 MGL12:MGM21 MQH12:MQI21 NAD12:NAE21 NJZ12:NKA21 NTV12:NTW21 ODR12:ODS21 ONN12:ONO21 OXJ12:OXK21 PHF12:PHG21 PRB12:PRC21 QAX12:QAY21 QKT12:QKU21 QUP12:QUQ21 REL12:REM21 ROH12:ROI21 RYD12:RYE21 SHZ12:SIA21 SRV12:SRW21 TBR12:TBS21 TLN12:TLO21 TVJ12:TVK21 UFF12:UFG21 UPB12:UPC21 UYX12:UYY21 VIT12:VIU21 VSP12:VSQ21 WCL12:WCM21 WMH12:WMI21 WWD12:WWE21 JR65548:JS65557 TN65548:TO65557 ADJ65548:ADK65557 ANF65548:ANG65557 AXB65548:AXC65557 BGX65548:BGY65557 BQT65548:BQU65557 CAP65548:CAQ65557 CKL65548:CKM65557 CUH65548:CUI65557 DED65548:DEE65557 DNZ65548:DOA65557 DXV65548:DXW65557 EHR65548:EHS65557 ERN65548:ERO65557 FBJ65548:FBK65557 FLF65548:FLG65557 FVB65548:FVC65557 GEX65548:GEY65557 GOT65548:GOU65557 GYP65548:GYQ65557 HIL65548:HIM65557 HSH65548:HSI65557 ICD65548:ICE65557 ILZ65548:IMA65557 IVV65548:IVW65557 JFR65548:JFS65557 JPN65548:JPO65557 JZJ65548:JZK65557 KJF65548:KJG65557 KTB65548:KTC65557 LCX65548:LCY65557 LMT65548:LMU65557 LWP65548:LWQ65557 MGL65548:MGM65557 MQH65548:MQI65557 NAD65548:NAE65557 NJZ65548:NKA65557 NTV65548:NTW65557 ODR65548:ODS65557 ONN65548:ONO65557 OXJ65548:OXK65557 PHF65548:PHG65557 PRB65548:PRC65557 QAX65548:QAY65557 QKT65548:QKU65557 QUP65548:QUQ65557 REL65548:REM65557 ROH65548:ROI65557 RYD65548:RYE65557 SHZ65548:SIA65557 SRV65548:SRW65557 TBR65548:TBS65557 TLN65548:TLO65557 TVJ65548:TVK65557 UFF65548:UFG65557 UPB65548:UPC65557 UYX65548:UYY65557 VIT65548:VIU65557 VSP65548:VSQ65557 WCL65548:WCM65557 WMH65548:WMI65557 WWD65548:WWE65557 JR131084:JS131093 TN131084:TO131093 ADJ131084:ADK131093 ANF131084:ANG131093 AXB131084:AXC131093 BGX131084:BGY131093 BQT131084:BQU131093 CAP131084:CAQ131093 CKL131084:CKM131093 CUH131084:CUI131093 DED131084:DEE131093 DNZ131084:DOA131093 DXV131084:DXW131093 EHR131084:EHS131093 ERN131084:ERO131093 FBJ131084:FBK131093 FLF131084:FLG131093 FVB131084:FVC131093 GEX131084:GEY131093 GOT131084:GOU131093 GYP131084:GYQ131093 HIL131084:HIM131093 HSH131084:HSI131093 ICD131084:ICE131093 ILZ131084:IMA131093 IVV131084:IVW131093 JFR131084:JFS131093 JPN131084:JPO131093 JZJ131084:JZK131093 KJF131084:KJG131093 KTB131084:KTC131093 LCX131084:LCY131093 LMT131084:LMU131093 LWP131084:LWQ131093 MGL131084:MGM131093 MQH131084:MQI131093 NAD131084:NAE131093 NJZ131084:NKA131093 NTV131084:NTW131093 ODR131084:ODS131093 ONN131084:ONO131093 OXJ131084:OXK131093 PHF131084:PHG131093 PRB131084:PRC131093 QAX131084:QAY131093 QKT131084:QKU131093 QUP131084:QUQ131093 REL131084:REM131093 ROH131084:ROI131093 RYD131084:RYE131093 SHZ131084:SIA131093 SRV131084:SRW131093 TBR131084:TBS131093 TLN131084:TLO131093 TVJ131084:TVK131093 UFF131084:UFG131093 UPB131084:UPC131093 UYX131084:UYY131093 VIT131084:VIU131093 VSP131084:VSQ131093 WCL131084:WCM131093 WMH131084:WMI131093 WWD131084:WWE131093 JR196620:JS196629 TN196620:TO196629 ADJ196620:ADK196629 ANF196620:ANG196629 AXB196620:AXC196629 BGX196620:BGY196629 BQT196620:BQU196629 CAP196620:CAQ196629 CKL196620:CKM196629 CUH196620:CUI196629 DED196620:DEE196629 DNZ196620:DOA196629 DXV196620:DXW196629 EHR196620:EHS196629 ERN196620:ERO196629 FBJ196620:FBK196629 FLF196620:FLG196629 FVB196620:FVC196629 GEX196620:GEY196629 GOT196620:GOU196629 GYP196620:GYQ196629 HIL196620:HIM196629 HSH196620:HSI196629 ICD196620:ICE196629 ILZ196620:IMA196629 IVV196620:IVW196629 JFR196620:JFS196629 JPN196620:JPO196629 JZJ196620:JZK196629 KJF196620:KJG196629 KTB196620:KTC196629 LCX196620:LCY196629 LMT196620:LMU196629 LWP196620:LWQ196629 MGL196620:MGM196629 MQH196620:MQI196629 NAD196620:NAE196629 NJZ196620:NKA196629 NTV196620:NTW196629 ODR196620:ODS196629 ONN196620:ONO196629 OXJ196620:OXK196629 PHF196620:PHG196629 PRB196620:PRC196629 QAX196620:QAY196629 QKT196620:QKU196629 QUP196620:QUQ196629 REL196620:REM196629 ROH196620:ROI196629 RYD196620:RYE196629 SHZ196620:SIA196629 SRV196620:SRW196629 TBR196620:TBS196629 TLN196620:TLO196629 TVJ196620:TVK196629 UFF196620:UFG196629 UPB196620:UPC196629 UYX196620:UYY196629 VIT196620:VIU196629 VSP196620:VSQ196629 WCL196620:WCM196629 WMH196620:WMI196629 WWD196620:WWE196629 JR262156:JS262165 TN262156:TO262165 ADJ262156:ADK262165 ANF262156:ANG262165 AXB262156:AXC262165 BGX262156:BGY262165 BQT262156:BQU262165 CAP262156:CAQ262165 CKL262156:CKM262165 CUH262156:CUI262165 DED262156:DEE262165 DNZ262156:DOA262165 DXV262156:DXW262165 EHR262156:EHS262165 ERN262156:ERO262165 FBJ262156:FBK262165 FLF262156:FLG262165 FVB262156:FVC262165 GEX262156:GEY262165 GOT262156:GOU262165 GYP262156:GYQ262165 HIL262156:HIM262165 HSH262156:HSI262165 ICD262156:ICE262165 ILZ262156:IMA262165 IVV262156:IVW262165 JFR262156:JFS262165 JPN262156:JPO262165 JZJ262156:JZK262165 KJF262156:KJG262165 KTB262156:KTC262165 LCX262156:LCY262165 LMT262156:LMU262165 LWP262156:LWQ262165 MGL262156:MGM262165 MQH262156:MQI262165 NAD262156:NAE262165 NJZ262156:NKA262165 NTV262156:NTW262165 ODR262156:ODS262165 ONN262156:ONO262165 OXJ262156:OXK262165 PHF262156:PHG262165 PRB262156:PRC262165 QAX262156:QAY262165 QKT262156:QKU262165 QUP262156:QUQ262165 REL262156:REM262165 ROH262156:ROI262165 RYD262156:RYE262165 SHZ262156:SIA262165 SRV262156:SRW262165 TBR262156:TBS262165 TLN262156:TLO262165 TVJ262156:TVK262165 UFF262156:UFG262165 UPB262156:UPC262165 UYX262156:UYY262165 VIT262156:VIU262165 VSP262156:VSQ262165 WCL262156:WCM262165 WMH262156:WMI262165 WWD262156:WWE262165 JR327692:JS327701 TN327692:TO327701 ADJ327692:ADK327701 ANF327692:ANG327701 AXB327692:AXC327701 BGX327692:BGY327701 BQT327692:BQU327701 CAP327692:CAQ327701 CKL327692:CKM327701 CUH327692:CUI327701 DED327692:DEE327701 DNZ327692:DOA327701 DXV327692:DXW327701 EHR327692:EHS327701 ERN327692:ERO327701 FBJ327692:FBK327701 FLF327692:FLG327701 FVB327692:FVC327701 GEX327692:GEY327701 GOT327692:GOU327701 GYP327692:GYQ327701 HIL327692:HIM327701 HSH327692:HSI327701 ICD327692:ICE327701 ILZ327692:IMA327701 IVV327692:IVW327701 JFR327692:JFS327701 JPN327692:JPO327701 JZJ327692:JZK327701 KJF327692:KJG327701 KTB327692:KTC327701 LCX327692:LCY327701 LMT327692:LMU327701 LWP327692:LWQ327701 MGL327692:MGM327701 MQH327692:MQI327701 NAD327692:NAE327701 NJZ327692:NKA327701 NTV327692:NTW327701 ODR327692:ODS327701 ONN327692:ONO327701 OXJ327692:OXK327701 PHF327692:PHG327701 PRB327692:PRC327701 QAX327692:QAY327701 QKT327692:QKU327701 QUP327692:QUQ327701 REL327692:REM327701 ROH327692:ROI327701 RYD327692:RYE327701 SHZ327692:SIA327701 SRV327692:SRW327701 TBR327692:TBS327701 TLN327692:TLO327701 TVJ327692:TVK327701 UFF327692:UFG327701 UPB327692:UPC327701 UYX327692:UYY327701 VIT327692:VIU327701 VSP327692:VSQ327701 WCL327692:WCM327701 WMH327692:WMI327701 WWD327692:WWE327701 JR393228:JS393237 TN393228:TO393237 ADJ393228:ADK393237 ANF393228:ANG393237 AXB393228:AXC393237 BGX393228:BGY393237 BQT393228:BQU393237 CAP393228:CAQ393237 CKL393228:CKM393237 CUH393228:CUI393237 DED393228:DEE393237 DNZ393228:DOA393237 DXV393228:DXW393237 EHR393228:EHS393237 ERN393228:ERO393237 FBJ393228:FBK393237 FLF393228:FLG393237 FVB393228:FVC393237 GEX393228:GEY393237 GOT393228:GOU393237 GYP393228:GYQ393237 HIL393228:HIM393237 HSH393228:HSI393237 ICD393228:ICE393237 ILZ393228:IMA393237 IVV393228:IVW393237 JFR393228:JFS393237 JPN393228:JPO393237 JZJ393228:JZK393237 KJF393228:KJG393237 KTB393228:KTC393237 LCX393228:LCY393237 LMT393228:LMU393237 LWP393228:LWQ393237 MGL393228:MGM393237 MQH393228:MQI393237 NAD393228:NAE393237 NJZ393228:NKA393237 NTV393228:NTW393237 ODR393228:ODS393237 ONN393228:ONO393237 OXJ393228:OXK393237 PHF393228:PHG393237 PRB393228:PRC393237 QAX393228:QAY393237 QKT393228:QKU393237 QUP393228:QUQ393237 REL393228:REM393237 ROH393228:ROI393237 RYD393228:RYE393237 SHZ393228:SIA393237 SRV393228:SRW393237 TBR393228:TBS393237 TLN393228:TLO393237 TVJ393228:TVK393237 UFF393228:UFG393237 UPB393228:UPC393237 UYX393228:UYY393237 VIT393228:VIU393237 VSP393228:VSQ393237 WCL393228:WCM393237 WMH393228:WMI393237 WWD393228:WWE393237 JR458764:JS458773 TN458764:TO458773 ADJ458764:ADK458773 ANF458764:ANG458773 AXB458764:AXC458773 BGX458764:BGY458773 BQT458764:BQU458773 CAP458764:CAQ458773 CKL458764:CKM458773 CUH458764:CUI458773 DED458764:DEE458773 DNZ458764:DOA458773 DXV458764:DXW458773 EHR458764:EHS458773 ERN458764:ERO458773 FBJ458764:FBK458773 FLF458764:FLG458773 FVB458764:FVC458773 GEX458764:GEY458773 GOT458764:GOU458773 GYP458764:GYQ458773 HIL458764:HIM458773 HSH458764:HSI458773 ICD458764:ICE458773 ILZ458764:IMA458773 IVV458764:IVW458773 JFR458764:JFS458773 JPN458764:JPO458773 JZJ458764:JZK458773 KJF458764:KJG458773 KTB458764:KTC458773 LCX458764:LCY458773 LMT458764:LMU458773 LWP458764:LWQ458773 MGL458764:MGM458773 MQH458764:MQI458773 NAD458764:NAE458773 NJZ458764:NKA458773 NTV458764:NTW458773 ODR458764:ODS458773 ONN458764:ONO458773 OXJ458764:OXK458773 PHF458764:PHG458773 PRB458764:PRC458773 QAX458764:QAY458773 QKT458764:QKU458773 QUP458764:QUQ458773 REL458764:REM458773 ROH458764:ROI458773 RYD458764:RYE458773 SHZ458764:SIA458773 SRV458764:SRW458773 TBR458764:TBS458773 TLN458764:TLO458773 TVJ458764:TVK458773 UFF458764:UFG458773 UPB458764:UPC458773 UYX458764:UYY458773 VIT458764:VIU458773 VSP458764:VSQ458773 WCL458764:WCM458773 WMH458764:WMI458773 WWD458764:WWE458773 JR524300:JS524309 TN524300:TO524309 ADJ524300:ADK524309 ANF524300:ANG524309 AXB524300:AXC524309 BGX524300:BGY524309 BQT524300:BQU524309 CAP524300:CAQ524309 CKL524300:CKM524309 CUH524300:CUI524309 DED524300:DEE524309 DNZ524300:DOA524309 DXV524300:DXW524309 EHR524300:EHS524309 ERN524300:ERO524309 FBJ524300:FBK524309 FLF524300:FLG524309 FVB524300:FVC524309 GEX524300:GEY524309 GOT524300:GOU524309 GYP524300:GYQ524309 HIL524300:HIM524309 HSH524300:HSI524309 ICD524300:ICE524309 ILZ524300:IMA524309 IVV524300:IVW524309 JFR524300:JFS524309 JPN524300:JPO524309 JZJ524300:JZK524309 KJF524300:KJG524309 KTB524300:KTC524309 LCX524300:LCY524309 LMT524300:LMU524309 LWP524300:LWQ524309 MGL524300:MGM524309 MQH524300:MQI524309 NAD524300:NAE524309 NJZ524300:NKA524309 NTV524300:NTW524309 ODR524300:ODS524309 ONN524300:ONO524309 OXJ524300:OXK524309 PHF524300:PHG524309 PRB524300:PRC524309 QAX524300:QAY524309 QKT524300:QKU524309 QUP524300:QUQ524309 REL524300:REM524309 ROH524300:ROI524309 RYD524300:RYE524309 SHZ524300:SIA524309 SRV524300:SRW524309 TBR524300:TBS524309 TLN524300:TLO524309 TVJ524300:TVK524309 UFF524300:UFG524309 UPB524300:UPC524309 UYX524300:UYY524309 VIT524300:VIU524309 VSP524300:VSQ524309 WCL524300:WCM524309 WMH524300:WMI524309 WWD524300:WWE524309 JR589836:JS589845 TN589836:TO589845 ADJ589836:ADK589845 ANF589836:ANG589845 AXB589836:AXC589845 BGX589836:BGY589845 BQT589836:BQU589845 CAP589836:CAQ589845 CKL589836:CKM589845 CUH589836:CUI589845 DED589836:DEE589845 DNZ589836:DOA589845 DXV589836:DXW589845 EHR589836:EHS589845 ERN589836:ERO589845 FBJ589836:FBK589845 FLF589836:FLG589845 FVB589836:FVC589845 GEX589836:GEY589845 GOT589836:GOU589845 GYP589836:GYQ589845 HIL589836:HIM589845 HSH589836:HSI589845 ICD589836:ICE589845 ILZ589836:IMA589845 IVV589836:IVW589845 JFR589836:JFS589845 JPN589836:JPO589845 JZJ589836:JZK589845 KJF589836:KJG589845 KTB589836:KTC589845 LCX589836:LCY589845 LMT589836:LMU589845 LWP589836:LWQ589845 MGL589836:MGM589845 MQH589836:MQI589845 NAD589836:NAE589845 NJZ589836:NKA589845 NTV589836:NTW589845 ODR589836:ODS589845 ONN589836:ONO589845 OXJ589836:OXK589845 PHF589836:PHG589845 PRB589836:PRC589845 QAX589836:QAY589845 QKT589836:QKU589845 QUP589836:QUQ589845 REL589836:REM589845 ROH589836:ROI589845 RYD589836:RYE589845 SHZ589836:SIA589845 SRV589836:SRW589845 TBR589836:TBS589845 TLN589836:TLO589845 TVJ589836:TVK589845 UFF589836:UFG589845 UPB589836:UPC589845 UYX589836:UYY589845 VIT589836:VIU589845 VSP589836:VSQ589845 WCL589836:WCM589845 WMH589836:WMI589845 WWD589836:WWE589845 JR655372:JS655381 TN655372:TO655381 ADJ655372:ADK655381 ANF655372:ANG655381 AXB655372:AXC655381 BGX655372:BGY655381 BQT655372:BQU655381 CAP655372:CAQ655381 CKL655372:CKM655381 CUH655372:CUI655381 DED655372:DEE655381 DNZ655372:DOA655381 DXV655372:DXW655381 EHR655372:EHS655381 ERN655372:ERO655381 FBJ655372:FBK655381 FLF655372:FLG655381 FVB655372:FVC655381 GEX655372:GEY655381 GOT655372:GOU655381 GYP655372:GYQ655381 HIL655372:HIM655381 HSH655372:HSI655381 ICD655372:ICE655381 ILZ655372:IMA655381 IVV655372:IVW655381 JFR655372:JFS655381 JPN655372:JPO655381 JZJ655372:JZK655381 KJF655372:KJG655381 KTB655372:KTC655381 LCX655372:LCY655381 LMT655372:LMU655381 LWP655372:LWQ655381 MGL655372:MGM655381 MQH655372:MQI655381 NAD655372:NAE655381 NJZ655372:NKA655381 NTV655372:NTW655381 ODR655372:ODS655381 ONN655372:ONO655381 OXJ655372:OXK655381 PHF655372:PHG655381 PRB655372:PRC655381 QAX655372:QAY655381 QKT655372:QKU655381 QUP655372:QUQ655381 REL655372:REM655381 ROH655372:ROI655381 RYD655372:RYE655381 SHZ655372:SIA655381 SRV655372:SRW655381 TBR655372:TBS655381 TLN655372:TLO655381 TVJ655372:TVK655381 UFF655372:UFG655381 UPB655372:UPC655381 UYX655372:UYY655381 VIT655372:VIU655381 VSP655372:VSQ655381 WCL655372:WCM655381 WMH655372:WMI655381 WWD655372:WWE655381 JR720908:JS720917 TN720908:TO720917 ADJ720908:ADK720917 ANF720908:ANG720917 AXB720908:AXC720917 BGX720908:BGY720917 BQT720908:BQU720917 CAP720908:CAQ720917 CKL720908:CKM720917 CUH720908:CUI720917 DED720908:DEE720917 DNZ720908:DOA720917 DXV720908:DXW720917 EHR720908:EHS720917 ERN720908:ERO720917 FBJ720908:FBK720917 FLF720908:FLG720917 FVB720908:FVC720917 GEX720908:GEY720917 GOT720908:GOU720917 GYP720908:GYQ720917 HIL720908:HIM720917 HSH720908:HSI720917 ICD720908:ICE720917 ILZ720908:IMA720917 IVV720908:IVW720917 JFR720908:JFS720917 JPN720908:JPO720917 JZJ720908:JZK720917 KJF720908:KJG720917 KTB720908:KTC720917 LCX720908:LCY720917 LMT720908:LMU720917 LWP720908:LWQ720917 MGL720908:MGM720917 MQH720908:MQI720917 NAD720908:NAE720917 NJZ720908:NKA720917 NTV720908:NTW720917 ODR720908:ODS720917 ONN720908:ONO720917 OXJ720908:OXK720917 PHF720908:PHG720917 PRB720908:PRC720917 QAX720908:QAY720917 QKT720908:QKU720917 QUP720908:QUQ720917 REL720908:REM720917 ROH720908:ROI720917 RYD720908:RYE720917 SHZ720908:SIA720917 SRV720908:SRW720917 TBR720908:TBS720917 TLN720908:TLO720917 TVJ720908:TVK720917 UFF720908:UFG720917 UPB720908:UPC720917 UYX720908:UYY720917 VIT720908:VIU720917 VSP720908:VSQ720917 WCL720908:WCM720917 WMH720908:WMI720917 WWD720908:WWE720917 JR786444:JS786453 TN786444:TO786453 ADJ786444:ADK786453 ANF786444:ANG786453 AXB786444:AXC786453 BGX786444:BGY786453 BQT786444:BQU786453 CAP786444:CAQ786453 CKL786444:CKM786453 CUH786444:CUI786453 DED786444:DEE786453 DNZ786444:DOA786453 DXV786444:DXW786453 EHR786444:EHS786453 ERN786444:ERO786453 FBJ786444:FBK786453 FLF786444:FLG786453 FVB786444:FVC786453 GEX786444:GEY786453 GOT786444:GOU786453 GYP786444:GYQ786453 HIL786444:HIM786453 HSH786444:HSI786453 ICD786444:ICE786453 ILZ786444:IMA786453 IVV786444:IVW786453 JFR786444:JFS786453 JPN786444:JPO786453 JZJ786444:JZK786453 KJF786444:KJG786453 KTB786444:KTC786453 LCX786444:LCY786453 LMT786444:LMU786453 LWP786444:LWQ786453 MGL786444:MGM786453 MQH786444:MQI786453 NAD786444:NAE786453 NJZ786444:NKA786453 NTV786444:NTW786453 ODR786444:ODS786453 ONN786444:ONO786453 OXJ786444:OXK786453 PHF786444:PHG786453 PRB786444:PRC786453 QAX786444:QAY786453 QKT786444:QKU786453 QUP786444:QUQ786453 REL786444:REM786453 ROH786444:ROI786453 RYD786444:RYE786453 SHZ786444:SIA786453 SRV786444:SRW786453 TBR786444:TBS786453 TLN786444:TLO786453 TVJ786444:TVK786453 UFF786444:UFG786453 UPB786444:UPC786453 UYX786444:UYY786453 VIT786444:VIU786453 VSP786444:VSQ786453 WCL786444:WCM786453 WMH786444:WMI786453 WWD786444:WWE786453 JR851980:JS851989 TN851980:TO851989 ADJ851980:ADK851989 ANF851980:ANG851989 AXB851980:AXC851989 BGX851980:BGY851989 BQT851980:BQU851989 CAP851980:CAQ851989 CKL851980:CKM851989 CUH851980:CUI851989 DED851980:DEE851989 DNZ851980:DOA851989 DXV851980:DXW851989 EHR851980:EHS851989 ERN851980:ERO851989 FBJ851980:FBK851989 FLF851980:FLG851989 FVB851980:FVC851989 GEX851980:GEY851989 GOT851980:GOU851989 GYP851980:GYQ851989 HIL851980:HIM851989 HSH851980:HSI851989 ICD851980:ICE851989 ILZ851980:IMA851989 IVV851980:IVW851989 JFR851980:JFS851989 JPN851980:JPO851989 JZJ851980:JZK851989 KJF851980:KJG851989 KTB851980:KTC851989 LCX851980:LCY851989 LMT851980:LMU851989 LWP851980:LWQ851989 MGL851980:MGM851989 MQH851980:MQI851989 NAD851980:NAE851989 NJZ851980:NKA851989 NTV851980:NTW851989 ODR851980:ODS851989 ONN851980:ONO851989 OXJ851980:OXK851989 PHF851980:PHG851989 PRB851980:PRC851989 QAX851980:QAY851989 QKT851980:QKU851989 QUP851980:QUQ851989 REL851980:REM851989 ROH851980:ROI851989 RYD851980:RYE851989 SHZ851980:SIA851989 SRV851980:SRW851989 TBR851980:TBS851989 TLN851980:TLO851989 TVJ851980:TVK851989 UFF851980:UFG851989 UPB851980:UPC851989 UYX851980:UYY851989 VIT851980:VIU851989 VSP851980:VSQ851989 WCL851980:WCM851989 WMH851980:WMI851989 WWD851980:WWE851989 JR917516:JS917525 TN917516:TO917525 ADJ917516:ADK917525 ANF917516:ANG917525 AXB917516:AXC917525 BGX917516:BGY917525 BQT917516:BQU917525 CAP917516:CAQ917525 CKL917516:CKM917525 CUH917516:CUI917525 DED917516:DEE917525 DNZ917516:DOA917525 DXV917516:DXW917525 EHR917516:EHS917525 ERN917516:ERO917525 FBJ917516:FBK917525 FLF917516:FLG917525 FVB917516:FVC917525 GEX917516:GEY917525 GOT917516:GOU917525 GYP917516:GYQ917525 HIL917516:HIM917525 HSH917516:HSI917525 ICD917516:ICE917525 ILZ917516:IMA917525 IVV917516:IVW917525 JFR917516:JFS917525 JPN917516:JPO917525 JZJ917516:JZK917525 KJF917516:KJG917525 KTB917516:KTC917525 LCX917516:LCY917525 LMT917516:LMU917525 LWP917516:LWQ917525 MGL917516:MGM917525 MQH917516:MQI917525 NAD917516:NAE917525 NJZ917516:NKA917525 NTV917516:NTW917525 ODR917516:ODS917525 ONN917516:ONO917525 OXJ917516:OXK917525 PHF917516:PHG917525 PRB917516:PRC917525 QAX917516:QAY917525 QKT917516:QKU917525 QUP917516:QUQ917525 REL917516:REM917525 ROH917516:ROI917525 RYD917516:RYE917525 SHZ917516:SIA917525 SRV917516:SRW917525 TBR917516:TBS917525 TLN917516:TLO917525 TVJ917516:TVK917525 UFF917516:UFG917525 UPB917516:UPC917525 UYX917516:UYY917525 VIT917516:VIU917525 VSP917516:VSQ917525 WCL917516:WCM917525 WMH917516:WMI917525 WWD917516:WWE917525 JR983052:JS983061 TN983052:TO983061 ADJ983052:ADK983061 ANF983052:ANG983061 AXB983052:AXC983061 BGX983052:BGY983061 BQT983052:BQU983061 CAP983052:CAQ983061 CKL983052:CKM983061 CUH983052:CUI983061 DED983052:DEE983061 DNZ983052:DOA983061 DXV983052:DXW983061 EHR983052:EHS983061 ERN983052:ERO983061 FBJ983052:FBK983061 FLF983052:FLG983061 FVB983052:FVC983061 GEX983052:GEY983061 GOT983052:GOU983061 GYP983052:GYQ983061 HIL983052:HIM983061 HSH983052:HSI983061 ICD983052:ICE983061 ILZ983052:IMA983061 IVV983052:IVW983061 JFR983052:JFS983061 JPN983052:JPO983061 JZJ983052:JZK983061 KJF983052:KJG983061 KTB983052:KTC983061 LCX983052:LCY983061 LMT983052:LMU983061 LWP983052:LWQ983061 MGL983052:MGM983061 MQH983052:MQI983061 NAD983052:NAE983061 NJZ983052:NKA983061 NTV983052:NTW983061 ODR983052:ODS983061 ONN983052:ONO983061 OXJ983052:OXK983061 PHF983052:PHG983061 PRB983052:PRC983061 QAX983052:QAY983061 QKT983052:QKU983061 QUP983052:QUQ983061 REL983052:REM983061 ROH983052:ROI983061 RYD983052:RYE983061 SHZ983052:SIA983061 SRV983052:SRW983061 TBR983052:TBS983061 TLN983052:TLO983061 TVJ983052:TVK983061 UFF983052:UFG983061 UPB983052:UPC983061 UYX983052:UYY983061 VIT983052:VIU983061 VSP983052:VSQ983061 WCL983052:WCM983061 WMH983052:WMI983061 WWD983052:WWE983061 W983052:X983061 K983052:L983061 W917516:X917525 K917516:L917525 W851980:X851989 K851980:L851989 W786444:X786453 K786444:L786453 W720908:X720917 K720908:L720917 W655372:X655381 K655372:L655381 W589836:X589845 K589836:L589845 W524300:X524309 K524300:L524309 W458764:X458773 K458764:L458773 W393228:X393237 K393228:L393237 W327692:X327701 K327692:L327701 W262156:X262165 K262156:L262165 W196620:X196629 K196620:L196629 W131084:X131093 K131084:L131093 W65548:X65557 K65548:L65557 L12:L31" xr:uid="{66902F42-176C-4086-9267-48AB99CBC428}">
      <formula1>"no,yes"</formula1>
    </dataValidation>
    <dataValidation type="list" allowBlank="1" showInputMessage="1" showErrorMessage="1" error="data input not valid; please select from list" sqref="WWC983052:WWC983061 JQ12:JQ21 TM12:TM21 ADI12:ADI21 ANE12:ANE21 AXA12:AXA21 BGW12:BGW21 BQS12:BQS21 CAO12:CAO21 CKK12:CKK21 CUG12:CUG21 DEC12:DEC21 DNY12:DNY21 DXU12:DXU21 EHQ12:EHQ21 ERM12:ERM21 FBI12:FBI21 FLE12:FLE21 FVA12:FVA21 GEW12:GEW21 GOS12:GOS21 GYO12:GYO21 HIK12:HIK21 HSG12:HSG21 ICC12:ICC21 ILY12:ILY21 IVU12:IVU21 JFQ12:JFQ21 JPM12:JPM21 JZI12:JZI21 KJE12:KJE21 KTA12:KTA21 LCW12:LCW21 LMS12:LMS21 LWO12:LWO21 MGK12:MGK21 MQG12:MQG21 NAC12:NAC21 NJY12:NJY21 NTU12:NTU21 ODQ12:ODQ21 ONM12:ONM21 OXI12:OXI21 PHE12:PHE21 PRA12:PRA21 QAW12:QAW21 QKS12:QKS21 QUO12:QUO21 REK12:REK21 ROG12:ROG21 RYC12:RYC21 SHY12:SHY21 SRU12:SRU21 TBQ12:TBQ21 TLM12:TLM21 TVI12:TVI21 UFE12:UFE21 UPA12:UPA21 UYW12:UYW21 VIS12:VIS21 VSO12:VSO21 WCK12:WCK21 WMG12:WMG21 WWC12:WWC21 J65548:J65557 JQ65548:JQ65557 TM65548:TM65557 ADI65548:ADI65557 ANE65548:ANE65557 AXA65548:AXA65557 BGW65548:BGW65557 BQS65548:BQS65557 CAO65548:CAO65557 CKK65548:CKK65557 CUG65548:CUG65557 DEC65548:DEC65557 DNY65548:DNY65557 DXU65548:DXU65557 EHQ65548:EHQ65557 ERM65548:ERM65557 FBI65548:FBI65557 FLE65548:FLE65557 FVA65548:FVA65557 GEW65548:GEW65557 GOS65548:GOS65557 GYO65548:GYO65557 HIK65548:HIK65557 HSG65548:HSG65557 ICC65548:ICC65557 ILY65548:ILY65557 IVU65548:IVU65557 JFQ65548:JFQ65557 JPM65548:JPM65557 JZI65548:JZI65557 KJE65548:KJE65557 KTA65548:KTA65557 LCW65548:LCW65557 LMS65548:LMS65557 LWO65548:LWO65557 MGK65548:MGK65557 MQG65548:MQG65557 NAC65548:NAC65557 NJY65548:NJY65557 NTU65548:NTU65557 ODQ65548:ODQ65557 ONM65548:ONM65557 OXI65548:OXI65557 PHE65548:PHE65557 PRA65548:PRA65557 QAW65548:QAW65557 QKS65548:QKS65557 QUO65548:QUO65557 REK65548:REK65557 ROG65548:ROG65557 RYC65548:RYC65557 SHY65548:SHY65557 SRU65548:SRU65557 TBQ65548:TBQ65557 TLM65548:TLM65557 TVI65548:TVI65557 UFE65548:UFE65557 UPA65548:UPA65557 UYW65548:UYW65557 VIS65548:VIS65557 VSO65548:VSO65557 WCK65548:WCK65557 WMG65548:WMG65557 WWC65548:WWC65557 J131084:J131093 JQ131084:JQ131093 TM131084:TM131093 ADI131084:ADI131093 ANE131084:ANE131093 AXA131084:AXA131093 BGW131084:BGW131093 BQS131084:BQS131093 CAO131084:CAO131093 CKK131084:CKK131093 CUG131084:CUG131093 DEC131084:DEC131093 DNY131084:DNY131093 DXU131084:DXU131093 EHQ131084:EHQ131093 ERM131084:ERM131093 FBI131084:FBI131093 FLE131084:FLE131093 FVA131084:FVA131093 GEW131084:GEW131093 GOS131084:GOS131093 GYO131084:GYO131093 HIK131084:HIK131093 HSG131084:HSG131093 ICC131084:ICC131093 ILY131084:ILY131093 IVU131084:IVU131093 JFQ131084:JFQ131093 JPM131084:JPM131093 JZI131084:JZI131093 KJE131084:KJE131093 KTA131084:KTA131093 LCW131084:LCW131093 LMS131084:LMS131093 LWO131084:LWO131093 MGK131084:MGK131093 MQG131084:MQG131093 NAC131084:NAC131093 NJY131084:NJY131093 NTU131084:NTU131093 ODQ131084:ODQ131093 ONM131084:ONM131093 OXI131084:OXI131093 PHE131084:PHE131093 PRA131084:PRA131093 QAW131084:QAW131093 QKS131084:QKS131093 QUO131084:QUO131093 REK131084:REK131093 ROG131084:ROG131093 RYC131084:RYC131093 SHY131084:SHY131093 SRU131084:SRU131093 TBQ131084:TBQ131093 TLM131084:TLM131093 TVI131084:TVI131093 UFE131084:UFE131093 UPA131084:UPA131093 UYW131084:UYW131093 VIS131084:VIS131093 VSO131084:VSO131093 WCK131084:WCK131093 WMG131084:WMG131093 WWC131084:WWC131093 J196620:J196629 JQ196620:JQ196629 TM196620:TM196629 ADI196620:ADI196629 ANE196620:ANE196629 AXA196620:AXA196629 BGW196620:BGW196629 BQS196620:BQS196629 CAO196620:CAO196629 CKK196620:CKK196629 CUG196620:CUG196629 DEC196620:DEC196629 DNY196620:DNY196629 DXU196620:DXU196629 EHQ196620:EHQ196629 ERM196620:ERM196629 FBI196620:FBI196629 FLE196620:FLE196629 FVA196620:FVA196629 GEW196620:GEW196629 GOS196620:GOS196629 GYO196620:GYO196629 HIK196620:HIK196629 HSG196620:HSG196629 ICC196620:ICC196629 ILY196620:ILY196629 IVU196620:IVU196629 JFQ196620:JFQ196629 JPM196620:JPM196629 JZI196620:JZI196629 KJE196620:KJE196629 KTA196620:KTA196629 LCW196620:LCW196629 LMS196620:LMS196629 LWO196620:LWO196629 MGK196620:MGK196629 MQG196620:MQG196629 NAC196620:NAC196629 NJY196620:NJY196629 NTU196620:NTU196629 ODQ196620:ODQ196629 ONM196620:ONM196629 OXI196620:OXI196629 PHE196620:PHE196629 PRA196620:PRA196629 QAW196620:QAW196629 QKS196620:QKS196629 QUO196620:QUO196629 REK196620:REK196629 ROG196620:ROG196629 RYC196620:RYC196629 SHY196620:SHY196629 SRU196620:SRU196629 TBQ196620:TBQ196629 TLM196620:TLM196629 TVI196620:TVI196629 UFE196620:UFE196629 UPA196620:UPA196629 UYW196620:UYW196629 VIS196620:VIS196629 VSO196620:VSO196629 WCK196620:WCK196629 WMG196620:WMG196629 WWC196620:WWC196629 J262156:J262165 JQ262156:JQ262165 TM262156:TM262165 ADI262156:ADI262165 ANE262156:ANE262165 AXA262156:AXA262165 BGW262156:BGW262165 BQS262156:BQS262165 CAO262156:CAO262165 CKK262156:CKK262165 CUG262156:CUG262165 DEC262156:DEC262165 DNY262156:DNY262165 DXU262156:DXU262165 EHQ262156:EHQ262165 ERM262156:ERM262165 FBI262156:FBI262165 FLE262156:FLE262165 FVA262156:FVA262165 GEW262156:GEW262165 GOS262156:GOS262165 GYO262156:GYO262165 HIK262156:HIK262165 HSG262156:HSG262165 ICC262156:ICC262165 ILY262156:ILY262165 IVU262156:IVU262165 JFQ262156:JFQ262165 JPM262156:JPM262165 JZI262156:JZI262165 KJE262156:KJE262165 KTA262156:KTA262165 LCW262156:LCW262165 LMS262156:LMS262165 LWO262156:LWO262165 MGK262156:MGK262165 MQG262156:MQG262165 NAC262156:NAC262165 NJY262156:NJY262165 NTU262156:NTU262165 ODQ262156:ODQ262165 ONM262156:ONM262165 OXI262156:OXI262165 PHE262156:PHE262165 PRA262156:PRA262165 QAW262156:QAW262165 QKS262156:QKS262165 QUO262156:QUO262165 REK262156:REK262165 ROG262156:ROG262165 RYC262156:RYC262165 SHY262156:SHY262165 SRU262156:SRU262165 TBQ262156:TBQ262165 TLM262156:TLM262165 TVI262156:TVI262165 UFE262156:UFE262165 UPA262156:UPA262165 UYW262156:UYW262165 VIS262156:VIS262165 VSO262156:VSO262165 WCK262156:WCK262165 WMG262156:WMG262165 WWC262156:WWC262165 J327692:J327701 JQ327692:JQ327701 TM327692:TM327701 ADI327692:ADI327701 ANE327692:ANE327701 AXA327692:AXA327701 BGW327692:BGW327701 BQS327692:BQS327701 CAO327692:CAO327701 CKK327692:CKK327701 CUG327692:CUG327701 DEC327692:DEC327701 DNY327692:DNY327701 DXU327692:DXU327701 EHQ327692:EHQ327701 ERM327692:ERM327701 FBI327692:FBI327701 FLE327692:FLE327701 FVA327692:FVA327701 GEW327692:GEW327701 GOS327692:GOS327701 GYO327692:GYO327701 HIK327692:HIK327701 HSG327692:HSG327701 ICC327692:ICC327701 ILY327692:ILY327701 IVU327692:IVU327701 JFQ327692:JFQ327701 JPM327692:JPM327701 JZI327692:JZI327701 KJE327692:KJE327701 KTA327692:KTA327701 LCW327692:LCW327701 LMS327692:LMS327701 LWO327692:LWO327701 MGK327692:MGK327701 MQG327692:MQG327701 NAC327692:NAC327701 NJY327692:NJY327701 NTU327692:NTU327701 ODQ327692:ODQ327701 ONM327692:ONM327701 OXI327692:OXI327701 PHE327692:PHE327701 PRA327692:PRA327701 QAW327692:QAW327701 QKS327692:QKS327701 QUO327692:QUO327701 REK327692:REK327701 ROG327692:ROG327701 RYC327692:RYC327701 SHY327692:SHY327701 SRU327692:SRU327701 TBQ327692:TBQ327701 TLM327692:TLM327701 TVI327692:TVI327701 UFE327692:UFE327701 UPA327692:UPA327701 UYW327692:UYW327701 VIS327692:VIS327701 VSO327692:VSO327701 WCK327692:WCK327701 WMG327692:WMG327701 WWC327692:WWC327701 J393228:J393237 JQ393228:JQ393237 TM393228:TM393237 ADI393228:ADI393237 ANE393228:ANE393237 AXA393228:AXA393237 BGW393228:BGW393237 BQS393228:BQS393237 CAO393228:CAO393237 CKK393228:CKK393237 CUG393228:CUG393237 DEC393228:DEC393237 DNY393228:DNY393237 DXU393228:DXU393237 EHQ393228:EHQ393237 ERM393228:ERM393237 FBI393228:FBI393237 FLE393228:FLE393237 FVA393228:FVA393237 GEW393228:GEW393237 GOS393228:GOS393237 GYO393228:GYO393237 HIK393228:HIK393237 HSG393228:HSG393237 ICC393228:ICC393237 ILY393228:ILY393237 IVU393228:IVU393237 JFQ393228:JFQ393237 JPM393228:JPM393237 JZI393228:JZI393237 KJE393228:KJE393237 KTA393228:KTA393237 LCW393228:LCW393237 LMS393228:LMS393237 LWO393228:LWO393237 MGK393228:MGK393237 MQG393228:MQG393237 NAC393228:NAC393237 NJY393228:NJY393237 NTU393228:NTU393237 ODQ393228:ODQ393237 ONM393228:ONM393237 OXI393228:OXI393237 PHE393228:PHE393237 PRA393228:PRA393237 QAW393228:QAW393237 QKS393228:QKS393237 QUO393228:QUO393237 REK393228:REK393237 ROG393228:ROG393237 RYC393228:RYC393237 SHY393228:SHY393237 SRU393228:SRU393237 TBQ393228:TBQ393237 TLM393228:TLM393237 TVI393228:TVI393237 UFE393228:UFE393237 UPA393228:UPA393237 UYW393228:UYW393237 VIS393228:VIS393237 VSO393228:VSO393237 WCK393228:WCK393237 WMG393228:WMG393237 WWC393228:WWC393237 J458764:J458773 JQ458764:JQ458773 TM458764:TM458773 ADI458764:ADI458773 ANE458764:ANE458773 AXA458764:AXA458773 BGW458764:BGW458773 BQS458764:BQS458773 CAO458764:CAO458773 CKK458764:CKK458773 CUG458764:CUG458773 DEC458764:DEC458773 DNY458764:DNY458773 DXU458764:DXU458773 EHQ458764:EHQ458773 ERM458764:ERM458773 FBI458764:FBI458773 FLE458764:FLE458773 FVA458764:FVA458773 GEW458764:GEW458773 GOS458764:GOS458773 GYO458764:GYO458773 HIK458764:HIK458773 HSG458764:HSG458773 ICC458764:ICC458773 ILY458764:ILY458773 IVU458764:IVU458773 JFQ458764:JFQ458773 JPM458764:JPM458773 JZI458764:JZI458773 KJE458764:KJE458773 KTA458764:KTA458773 LCW458764:LCW458773 LMS458764:LMS458773 LWO458764:LWO458773 MGK458764:MGK458773 MQG458764:MQG458773 NAC458764:NAC458773 NJY458764:NJY458773 NTU458764:NTU458773 ODQ458764:ODQ458773 ONM458764:ONM458773 OXI458764:OXI458773 PHE458764:PHE458773 PRA458764:PRA458773 QAW458764:QAW458773 QKS458764:QKS458773 QUO458764:QUO458773 REK458764:REK458773 ROG458764:ROG458773 RYC458764:RYC458773 SHY458764:SHY458773 SRU458764:SRU458773 TBQ458764:TBQ458773 TLM458764:TLM458773 TVI458764:TVI458773 UFE458764:UFE458773 UPA458764:UPA458773 UYW458764:UYW458773 VIS458764:VIS458773 VSO458764:VSO458773 WCK458764:WCK458773 WMG458764:WMG458773 WWC458764:WWC458773 J524300:J524309 JQ524300:JQ524309 TM524300:TM524309 ADI524300:ADI524309 ANE524300:ANE524309 AXA524300:AXA524309 BGW524300:BGW524309 BQS524300:BQS524309 CAO524300:CAO524309 CKK524300:CKK524309 CUG524300:CUG524309 DEC524300:DEC524309 DNY524300:DNY524309 DXU524300:DXU524309 EHQ524300:EHQ524309 ERM524300:ERM524309 FBI524300:FBI524309 FLE524300:FLE524309 FVA524300:FVA524309 GEW524300:GEW524309 GOS524300:GOS524309 GYO524300:GYO524309 HIK524300:HIK524309 HSG524300:HSG524309 ICC524300:ICC524309 ILY524300:ILY524309 IVU524300:IVU524309 JFQ524300:JFQ524309 JPM524300:JPM524309 JZI524300:JZI524309 KJE524300:KJE524309 KTA524300:KTA524309 LCW524300:LCW524309 LMS524300:LMS524309 LWO524300:LWO524309 MGK524300:MGK524309 MQG524300:MQG524309 NAC524300:NAC524309 NJY524300:NJY524309 NTU524300:NTU524309 ODQ524300:ODQ524309 ONM524300:ONM524309 OXI524300:OXI524309 PHE524300:PHE524309 PRA524300:PRA524309 QAW524300:QAW524309 QKS524300:QKS524309 QUO524300:QUO524309 REK524300:REK524309 ROG524300:ROG524309 RYC524300:RYC524309 SHY524300:SHY524309 SRU524300:SRU524309 TBQ524300:TBQ524309 TLM524300:TLM524309 TVI524300:TVI524309 UFE524300:UFE524309 UPA524300:UPA524309 UYW524300:UYW524309 VIS524300:VIS524309 VSO524300:VSO524309 WCK524300:WCK524309 WMG524300:WMG524309 WWC524300:WWC524309 J589836:J589845 JQ589836:JQ589845 TM589836:TM589845 ADI589836:ADI589845 ANE589836:ANE589845 AXA589836:AXA589845 BGW589836:BGW589845 BQS589836:BQS589845 CAO589836:CAO589845 CKK589836:CKK589845 CUG589836:CUG589845 DEC589836:DEC589845 DNY589836:DNY589845 DXU589836:DXU589845 EHQ589836:EHQ589845 ERM589836:ERM589845 FBI589836:FBI589845 FLE589836:FLE589845 FVA589836:FVA589845 GEW589836:GEW589845 GOS589836:GOS589845 GYO589836:GYO589845 HIK589836:HIK589845 HSG589836:HSG589845 ICC589836:ICC589845 ILY589836:ILY589845 IVU589836:IVU589845 JFQ589836:JFQ589845 JPM589836:JPM589845 JZI589836:JZI589845 KJE589836:KJE589845 KTA589836:KTA589845 LCW589836:LCW589845 LMS589836:LMS589845 LWO589836:LWO589845 MGK589836:MGK589845 MQG589836:MQG589845 NAC589836:NAC589845 NJY589836:NJY589845 NTU589836:NTU589845 ODQ589836:ODQ589845 ONM589836:ONM589845 OXI589836:OXI589845 PHE589836:PHE589845 PRA589836:PRA589845 QAW589836:QAW589845 QKS589836:QKS589845 QUO589836:QUO589845 REK589836:REK589845 ROG589836:ROG589845 RYC589836:RYC589845 SHY589836:SHY589845 SRU589836:SRU589845 TBQ589836:TBQ589845 TLM589836:TLM589845 TVI589836:TVI589845 UFE589836:UFE589845 UPA589836:UPA589845 UYW589836:UYW589845 VIS589836:VIS589845 VSO589836:VSO589845 WCK589836:WCK589845 WMG589836:WMG589845 WWC589836:WWC589845 J655372:J655381 JQ655372:JQ655381 TM655372:TM655381 ADI655372:ADI655381 ANE655372:ANE655381 AXA655372:AXA655381 BGW655372:BGW655381 BQS655372:BQS655381 CAO655372:CAO655381 CKK655372:CKK655381 CUG655372:CUG655381 DEC655372:DEC655381 DNY655372:DNY655381 DXU655372:DXU655381 EHQ655372:EHQ655381 ERM655372:ERM655381 FBI655372:FBI655381 FLE655372:FLE655381 FVA655372:FVA655381 GEW655372:GEW655381 GOS655372:GOS655381 GYO655372:GYO655381 HIK655372:HIK655381 HSG655372:HSG655381 ICC655372:ICC655381 ILY655372:ILY655381 IVU655372:IVU655381 JFQ655372:JFQ655381 JPM655372:JPM655381 JZI655372:JZI655381 KJE655372:KJE655381 KTA655372:KTA655381 LCW655372:LCW655381 LMS655372:LMS655381 LWO655372:LWO655381 MGK655372:MGK655381 MQG655372:MQG655381 NAC655372:NAC655381 NJY655372:NJY655381 NTU655372:NTU655381 ODQ655372:ODQ655381 ONM655372:ONM655381 OXI655372:OXI655381 PHE655372:PHE655381 PRA655372:PRA655381 QAW655372:QAW655381 QKS655372:QKS655381 QUO655372:QUO655381 REK655372:REK655381 ROG655372:ROG655381 RYC655372:RYC655381 SHY655372:SHY655381 SRU655372:SRU655381 TBQ655372:TBQ655381 TLM655372:TLM655381 TVI655372:TVI655381 UFE655372:UFE655381 UPA655372:UPA655381 UYW655372:UYW655381 VIS655372:VIS655381 VSO655372:VSO655381 WCK655372:WCK655381 WMG655372:WMG655381 WWC655372:WWC655381 J720908:J720917 JQ720908:JQ720917 TM720908:TM720917 ADI720908:ADI720917 ANE720908:ANE720917 AXA720908:AXA720917 BGW720908:BGW720917 BQS720908:BQS720917 CAO720908:CAO720917 CKK720908:CKK720917 CUG720908:CUG720917 DEC720908:DEC720917 DNY720908:DNY720917 DXU720908:DXU720917 EHQ720908:EHQ720917 ERM720908:ERM720917 FBI720908:FBI720917 FLE720908:FLE720917 FVA720908:FVA720917 GEW720908:GEW720917 GOS720908:GOS720917 GYO720908:GYO720917 HIK720908:HIK720917 HSG720908:HSG720917 ICC720908:ICC720917 ILY720908:ILY720917 IVU720908:IVU720917 JFQ720908:JFQ720917 JPM720908:JPM720917 JZI720908:JZI720917 KJE720908:KJE720917 KTA720908:KTA720917 LCW720908:LCW720917 LMS720908:LMS720917 LWO720908:LWO720917 MGK720908:MGK720917 MQG720908:MQG720917 NAC720908:NAC720917 NJY720908:NJY720917 NTU720908:NTU720917 ODQ720908:ODQ720917 ONM720908:ONM720917 OXI720908:OXI720917 PHE720908:PHE720917 PRA720908:PRA720917 QAW720908:QAW720917 QKS720908:QKS720917 QUO720908:QUO720917 REK720908:REK720917 ROG720908:ROG720917 RYC720908:RYC720917 SHY720908:SHY720917 SRU720908:SRU720917 TBQ720908:TBQ720917 TLM720908:TLM720917 TVI720908:TVI720917 UFE720908:UFE720917 UPA720908:UPA720917 UYW720908:UYW720917 VIS720908:VIS720917 VSO720908:VSO720917 WCK720908:WCK720917 WMG720908:WMG720917 WWC720908:WWC720917 J786444:J786453 JQ786444:JQ786453 TM786444:TM786453 ADI786444:ADI786453 ANE786444:ANE786453 AXA786444:AXA786453 BGW786444:BGW786453 BQS786444:BQS786453 CAO786444:CAO786453 CKK786444:CKK786453 CUG786444:CUG786453 DEC786444:DEC786453 DNY786444:DNY786453 DXU786444:DXU786453 EHQ786444:EHQ786453 ERM786444:ERM786453 FBI786444:FBI786453 FLE786444:FLE786453 FVA786444:FVA786453 GEW786444:GEW786453 GOS786444:GOS786453 GYO786444:GYO786453 HIK786444:HIK786453 HSG786444:HSG786453 ICC786444:ICC786453 ILY786444:ILY786453 IVU786444:IVU786453 JFQ786444:JFQ786453 JPM786444:JPM786453 JZI786444:JZI786453 KJE786444:KJE786453 KTA786444:KTA786453 LCW786444:LCW786453 LMS786444:LMS786453 LWO786444:LWO786453 MGK786444:MGK786453 MQG786444:MQG786453 NAC786444:NAC786453 NJY786444:NJY786453 NTU786444:NTU786453 ODQ786444:ODQ786453 ONM786444:ONM786453 OXI786444:OXI786453 PHE786444:PHE786453 PRA786444:PRA786453 QAW786444:QAW786453 QKS786444:QKS786453 QUO786444:QUO786453 REK786444:REK786453 ROG786444:ROG786453 RYC786444:RYC786453 SHY786444:SHY786453 SRU786444:SRU786453 TBQ786444:TBQ786453 TLM786444:TLM786453 TVI786444:TVI786453 UFE786444:UFE786453 UPA786444:UPA786453 UYW786444:UYW786453 VIS786444:VIS786453 VSO786444:VSO786453 WCK786444:WCK786453 WMG786444:WMG786453 WWC786444:WWC786453 J851980:J851989 JQ851980:JQ851989 TM851980:TM851989 ADI851980:ADI851989 ANE851980:ANE851989 AXA851980:AXA851989 BGW851980:BGW851989 BQS851980:BQS851989 CAO851980:CAO851989 CKK851980:CKK851989 CUG851980:CUG851989 DEC851980:DEC851989 DNY851980:DNY851989 DXU851980:DXU851989 EHQ851980:EHQ851989 ERM851980:ERM851989 FBI851980:FBI851989 FLE851980:FLE851989 FVA851980:FVA851989 GEW851980:GEW851989 GOS851980:GOS851989 GYO851980:GYO851989 HIK851980:HIK851989 HSG851980:HSG851989 ICC851980:ICC851989 ILY851980:ILY851989 IVU851980:IVU851989 JFQ851980:JFQ851989 JPM851980:JPM851989 JZI851980:JZI851989 KJE851980:KJE851989 KTA851980:KTA851989 LCW851980:LCW851989 LMS851980:LMS851989 LWO851980:LWO851989 MGK851980:MGK851989 MQG851980:MQG851989 NAC851980:NAC851989 NJY851980:NJY851989 NTU851980:NTU851989 ODQ851980:ODQ851989 ONM851980:ONM851989 OXI851980:OXI851989 PHE851980:PHE851989 PRA851980:PRA851989 QAW851980:QAW851989 QKS851980:QKS851989 QUO851980:QUO851989 REK851980:REK851989 ROG851980:ROG851989 RYC851980:RYC851989 SHY851980:SHY851989 SRU851980:SRU851989 TBQ851980:TBQ851989 TLM851980:TLM851989 TVI851980:TVI851989 UFE851980:UFE851989 UPA851980:UPA851989 UYW851980:UYW851989 VIS851980:VIS851989 VSO851980:VSO851989 WCK851980:WCK851989 WMG851980:WMG851989 WWC851980:WWC851989 J917516:J917525 JQ917516:JQ917525 TM917516:TM917525 ADI917516:ADI917525 ANE917516:ANE917525 AXA917516:AXA917525 BGW917516:BGW917525 BQS917516:BQS917525 CAO917516:CAO917525 CKK917516:CKK917525 CUG917516:CUG917525 DEC917516:DEC917525 DNY917516:DNY917525 DXU917516:DXU917525 EHQ917516:EHQ917525 ERM917516:ERM917525 FBI917516:FBI917525 FLE917516:FLE917525 FVA917516:FVA917525 GEW917516:GEW917525 GOS917516:GOS917525 GYO917516:GYO917525 HIK917516:HIK917525 HSG917516:HSG917525 ICC917516:ICC917525 ILY917516:ILY917525 IVU917516:IVU917525 JFQ917516:JFQ917525 JPM917516:JPM917525 JZI917516:JZI917525 KJE917516:KJE917525 KTA917516:KTA917525 LCW917516:LCW917525 LMS917516:LMS917525 LWO917516:LWO917525 MGK917516:MGK917525 MQG917516:MQG917525 NAC917516:NAC917525 NJY917516:NJY917525 NTU917516:NTU917525 ODQ917516:ODQ917525 ONM917516:ONM917525 OXI917516:OXI917525 PHE917516:PHE917525 PRA917516:PRA917525 QAW917516:QAW917525 QKS917516:QKS917525 QUO917516:QUO917525 REK917516:REK917525 ROG917516:ROG917525 RYC917516:RYC917525 SHY917516:SHY917525 SRU917516:SRU917525 TBQ917516:TBQ917525 TLM917516:TLM917525 TVI917516:TVI917525 UFE917516:UFE917525 UPA917516:UPA917525 UYW917516:UYW917525 VIS917516:VIS917525 VSO917516:VSO917525 WCK917516:WCK917525 WMG917516:WMG917525 WWC917516:WWC917525 J983052:J983061 JQ983052:JQ983061 TM983052:TM983061 ADI983052:ADI983061 ANE983052:ANE983061 AXA983052:AXA983061 BGW983052:BGW983061 BQS983052:BQS983061 CAO983052:CAO983061 CKK983052:CKK983061 CUG983052:CUG983061 DEC983052:DEC983061 DNY983052:DNY983061 DXU983052:DXU983061 EHQ983052:EHQ983061 ERM983052:ERM983061 FBI983052:FBI983061 FLE983052:FLE983061 FVA983052:FVA983061 GEW983052:GEW983061 GOS983052:GOS983061 GYO983052:GYO983061 HIK983052:HIK983061 HSG983052:HSG983061 ICC983052:ICC983061 ILY983052:ILY983061 IVU983052:IVU983061 JFQ983052:JFQ983061 JPM983052:JPM983061 JZI983052:JZI983061 KJE983052:KJE983061 KTA983052:KTA983061 LCW983052:LCW983061 LMS983052:LMS983061 LWO983052:LWO983061 MGK983052:MGK983061 MQG983052:MQG983061 NAC983052:NAC983061 NJY983052:NJY983061 NTU983052:NTU983061 ODQ983052:ODQ983061 ONM983052:ONM983061 OXI983052:OXI983061 PHE983052:PHE983061 PRA983052:PRA983061 QAW983052:QAW983061 QKS983052:QKS983061 QUO983052:QUO983061 REK983052:REK983061 ROG983052:ROG983061 RYC983052:RYC983061 SHY983052:SHY983061 SRU983052:SRU983061 TBQ983052:TBQ983061 TLM983052:TLM983061 TVI983052:TVI983061 UFE983052:UFE983061 UPA983052:UPA983061 UYW983052:UYW983061 VIS983052:VIS983061 VSO983052:VSO983061 WCK983052:WCK983061 WMG983052:WMG983061 H12:H31" xr:uid="{F45241E5-9C2E-4069-9C5E-5B83FF5AEDA1}">
      <formula1>"&lt;1%,1-5%,5-25%,&gt;25%"</formula1>
    </dataValidation>
    <dataValidation type="list" allowBlank="1" showInputMessage="1" showErrorMessage="1" error="data input not valid; please select from list" sqref="WWB983052:WWB983061 JP12:JP21 TL12:TL21 ADH12:ADH21 AND12:AND21 AWZ12:AWZ21 BGV12:BGV21 BQR12:BQR21 CAN12:CAN21 CKJ12:CKJ21 CUF12:CUF21 DEB12:DEB21 DNX12:DNX21 DXT12:DXT21 EHP12:EHP21 ERL12:ERL21 FBH12:FBH21 FLD12:FLD21 FUZ12:FUZ21 GEV12:GEV21 GOR12:GOR21 GYN12:GYN21 HIJ12:HIJ21 HSF12:HSF21 ICB12:ICB21 ILX12:ILX21 IVT12:IVT21 JFP12:JFP21 JPL12:JPL21 JZH12:JZH21 KJD12:KJD21 KSZ12:KSZ21 LCV12:LCV21 LMR12:LMR21 LWN12:LWN21 MGJ12:MGJ21 MQF12:MQF21 NAB12:NAB21 NJX12:NJX21 NTT12:NTT21 ODP12:ODP21 ONL12:ONL21 OXH12:OXH21 PHD12:PHD21 PQZ12:PQZ21 QAV12:QAV21 QKR12:QKR21 QUN12:QUN21 REJ12:REJ21 ROF12:ROF21 RYB12:RYB21 SHX12:SHX21 SRT12:SRT21 TBP12:TBP21 TLL12:TLL21 TVH12:TVH21 UFD12:UFD21 UOZ12:UOZ21 UYV12:UYV21 VIR12:VIR21 VSN12:VSN21 WCJ12:WCJ21 WMF12:WMF21 WWB12:WWB21 JP65548:JP65557 TL65548:TL65557 ADH65548:ADH65557 AND65548:AND65557 AWZ65548:AWZ65557 BGV65548:BGV65557 BQR65548:BQR65557 CAN65548:CAN65557 CKJ65548:CKJ65557 CUF65548:CUF65557 DEB65548:DEB65557 DNX65548:DNX65557 DXT65548:DXT65557 EHP65548:EHP65557 ERL65548:ERL65557 FBH65548:FBH65557 FLD65548:FLD65557 FUZ65548:FUZ65557 GEV65548:GEV65557 GOR65548:GOR65557 GYN65548:GYN65557 HIJ65548:HIJ65557 HSF65548:HSF65557 ICB65548:ICB65557 ILX65548:ILX65557 IVT65548:IVT65557 JFP65548:JFP65557 JPL65548:JPL65557 JZH65548:JZH65557 KJD65548:KJD65557 KSZ65548:KSZ65557 LCV65548:LCV65557 LMR65548:LMR65557 LWN65548:LWN65557 MGJ65548:MGJ65557 MQF65548:MQF65557 NAB65548:NAB65557 NJX65548:NJX65557 NTT65548:NTT65557 ODP65548:ODP65557 ONL65548:ONL65557 OXH65548:OXH65557 PHD65548:PHD65557 PQZ65548:PQZ65557 QAV65548:QAV65557 QKR65548:QKR65557 QUN65548:QUN65557 REJ65548:REJ65557 ROF65548:ROF65557 RYB65548:RYB65557 SHX65548:SHX65557 SRT65548:SRT65557 TBP65548:TBP65557 TLL65548:TLL65557 TVH65548:TVH65557 UFD65548:UFD65557 UOZ65548:UOZ65557 UYV65548:UYV65557 VIR65548:VIR65557 VSN65548:VSN65557 WCJ65548:WCJ65557 WMF65548:WMF65557 WWB65548:WWB65557 JP131084:JP131093 TL131084:TL131093 ADH131084:ADH131093 AND131084:AND131093 AWZ131084:AWZ131093 BGV131084:BGV131093 BQR131084:BQR131093 CAN131084:CAN131093 CKJ131084:CKJ131093 CUF131084:CUF131093 DEB131084:DEB131093 DNX131084:DNX131093 DXT131084:DXT131093 EHP131084:EHP131093 ERL131084:ERL131093 FBH131084:FBH131093 FLD131084:FLD131093 FUZ131084:FUZ131093 GEV131084:GEV131093 GOR131084:GOR131093 GYN131084:GYN131093 HIJ131084:HIJ131093 HSF131084:HSF131093 ICB131084:ICB131093 ILX131084:ILX131093 IVT131084:IVT131093 JFP131084:JFP131093 JPL131084:JPL131093 JZH131084:JZH131093 KJD131084:KJD131093 KSZ131084:KSZ131093 LCV131084:LCV131093 LMR131084:LMR131093 LWN131084:LWN131093 MGJ131084:MGJ131093 MQF131084:MQF131093 NAB131084:NAB131093 NJX131084:NJX131093 NTT131084:NTT131093 ODP131084:ODP131093 ONL131084:ONL131093 OXH131084:OXH131093 PHD131084:PHD131093 PQZ131084:PQZ131093 QAV131084:QAV131093 QKR131084:QKR131093 QUN131084:QUN131093 REJ131084:REJ131093 ROF131084:ROF131093 RYB131084:RYB131093 SHX131084:SHX131093 SRT131084:SRT131093 TBP131084:TBP131093 TLL131084:TLL131093 TVH131084:TVH131093 UFD131084:UFD131093 UOZ131084:UOZ131093 UYV131084:UYV131093 VIR131084:VIR131093 VSN131084:VSN131093 WCJ131084:WCJ131093 WMF131084:WMF131093 WWB131084:WWB131093 JP196620:JP196629 TL196620:TL196629 ADH196620:ADH196629 AND196620:AND196629 AWZ196620:AWZ196629 BGV196620:BGV196629 BQR196620:BQR196629 CAN196620:CAN196629 CKJ196620:CKJ196629 CUF196620:CUF196629 DEB196620:DEB196629 DNX196620:DNX196629 DXT196620:DXT196629 EHP196620:EHP196629 ERL196620:ERL196629 FBH196620:FBH196629 FLD196620:FLD196629 FUZ196620:FUZ196629 GEV196620:GEV196629 GOR196620:GOR196629 GYN196620:GYN196629 HIJ196620:HIJ196629 HSF196620:HSF196629 ICB196620:ICB196629 ILX196620:ILX196629 IVT196620:IVT196629 JFP196620:JFP196629 JPL196620:JPL196629 JZH196620:JZH196629 KJD196620:KJD196629 KSZ196620:KSZ196629 LCV196620:LCV196629 LMR196620:LMR196629 LWN196620:LWN196629 MGJ196620:MGJ196629 MQF196620:MQF196629 NAB196620:NAB196629 NJX196620:NJX196629 NTT196620:NTT196629 ODP196620:ODP196629 ONL196620:ONL196629 OXH196620:OXH196629 PHD196620:PHD196629 PQZ196620:PQZ196629 QAV196620:QAV196629 QKR196620:QKR196629 QUN196620:QUN196629 REJ196620:REJ196629 ROF196620:ROF196629 RYB196620:RYB196629 SHX196620:SHX196629 SRT196620:SRT196629 TBP196620:TBP196629 TLL196620:TLL196629 TVH196620:TVH196629 UFD196620:UFD196629 UOZ196620:UOZ196629 UYV196620:UYV196629 VIR196620:VIR196629 VSN196620:VSN196629 WCJ196620:WCJ196629 WMF196620:WMF196629 WWB196620:WWB196629 JP262156:JP262165 TL262156:TL262165 ADH262156:ADH262165 AND262156:AND262165 AWZ262156:AWZ262165 BGV262156:BGV262165 BQR262156:BQR262165 CAN262156:CAN262165 CKJ262156:CKJ262165 CUF262156:CUF262165 DEB262156:DEB262165 DNX262156:DNX262165 DXT262156:DXT262165 EHP262156:EHP262165 ERL262156:ERL262165 FBH262156:FBH262165 FLD262156:FLD262165 FUZ262156:FUZ262165 GEV262156:GEV262165 GOR262156:GOR262165 GYN262156:GYN262165 HIJ262156:HIJ262165 HSF262156:HSF262165 ICB262156:ICB262165 ILX262156:ILX262165 IVT262156:IVT262165 JFP262156:JFP262165 JPL262156:JPL262165 JZH262156:JZH262165 KJD262156:KJD262165 KSZ262156:KSZ262165 LCV262156:LCV262165 LMR262156:LMR262165 LWN262156:LWN262165 MGJ262156:MGJ262165 MQF262156:MQF262165 NAB262156:NAB262165 NJX262156:NJX262165 NTT262156:NTT262165 ODP262156:ODP262165 ONL262156:ONL262165 OXH262156:OXH262165 PHD262156:PHD262165 PQZ262156:PQZ262165 QAV262156:QAV262165 QKR262156:QKR262165 QUN262156:QUN262165 REJ262156:REJ262165 ROF262156:ROF262165 RYB262156:RYB262165 SHX262156:SHX262165 SRT262156:SRT262165 TBP262156:TBP262165 TLL262156:TLL262165 TVH262156:TVH262165 UFD262156:UFD262165 UOZ262156:UOZ262165 UYV262156:UYV262165 VIR262156:VIR262165 VSN262156:VSN262165 WCJ262156:WCJ262165 WMF262156:WMF262165 WWB262156:WWB262165 JP327692:JP327701 TL327692:TL327701 ADH327692:ADH327701 AND327692:AND327701 AWZ327692:AWZ327701 BGV327692:BGV327701 BQR327692:BQR327701 CAN327692:CAN327701 CKJ327692:CKJ327701 CUF327692:CUF327701 DEB327692:DEB327701 DNX327692:DNX327701 DXT327692:DXT327701 EHP327692:EHP327701 ERL327692:ERL327701 FBH327692:FBH327701 FLD327692:FLD327701 FUZ327692:FUZ327701 GEV327692:GEV327701 GOR327692:GOR327701 GYN327692:GYN327701 HIJ327692:HIJ327701 HSF327692:HSF327701 ICB327692:ICB327701 ILX327692:ILX327701 IVT327692:IVT327701 JFP327692:JFP327701 JPL327692:JPL327701 JZH327692:JZH327701 KJD327692:KJD327701 KSZ327692:KSZ327701 LCV327692:LCV327701 LMR327692:LMR327701 LWN327692:LWN327701 MGJ327692:MGJ327701 MQF327692:MQF327701 NAB327692:NAB327701 NJX327692:NJX327701 NTT327692:NTT327701 ODP327692:ODP327701 ONL327692:ONL327701 OXH327692:OXH327701 PHD327692:PHD327701 PQZ327692:PQZ327701 QAV327692:QAV327701 QKR327692:QKR327701 QUN327692:QUN327701 REJ327692:REJ327701 ROF327692:ROF327701 RYB327692:RYB327701 SHX327692:SHX327701 SRT327692:SRT327701 TBP327692:TBP327701 TLL327692:TLL327701 TVH327692:TVH327701 UFD327692:UFD327701 UOZ327692:UOZ327701 UYV327692:UYV327701 VIR327692:VIR327701 VSN327692:VSN327701 WCJ327692:WCJ327701 WMF327692:WMF327701 WWB327692:WWB327701 JP393228:JP393237 TL393228:TL393237 ADH393228:ADH393237 AND393228:AND393237 AWZ393228:AWZ393237 BGV393228:BGV393237 BQR393228:BQR393237 CAN393228:CAN393237 CKJ393228:CKJ393237 CUF393228:CUF393237 DEB393228:DEB393237 DNX393228:DNX393237 DXT393228:DXT393237 EHP393228:EHP393237 ERL393228:ERL393237 FBH393228:FBH393237 FLD393228:FLD393237 FUZ393228:FUZ393237 GEV393228:GEV393237 GOR393228:GOR393237 GYN393228:GYN393237 HIJ393228:HIJ393237 HSF393228:HSF393237 ICB393228:ICB393237 ILX393228:ILX393237 IVT393228:IVT393237 JFP393228:JFP393237 JPL393228:JPL393237 JZH393228:JZH393237 KJD393228:KJD393237 KSZ393228:KSZ393237 LCV393228:LCV393237 LMR393228:LMR393237 LWN393228:LWN393237 MGJ393228:MGJ393237 MQF393228:MQF393237 NAB393228:NAB393237 NJX393228:NJX393237 NTT393228:NTT393237 ODP393228:ODP393237 ONL393228:ONL393237 OXH393228:OXH393237 PHD393228:PHD393237 PQZ393228:PQZ393237 QAV393228:QAV393237 QKR393228:QKR393237 QUN393228:QUN393237 REJ393228:REJ393237 ROF393228:ROF393237 RYB393228:RYB393237 SHX393228:SHX393237 SRT393228:SRT393237 TBP393228:TBP393237 TLL393228:TLL393237 TVH393228:TVH393237 UFD393228:UFD393237 UOZ393228:UOZ393237 UYV393228:UYV393237 VIR393228:VIR393237 VSN393228:VSN393237 WCJ393228:WCJ393237 WMF393228:WMF393237 WWB393228:WWB393237 JP458764:JP458773 TL458764:TL458773 ADH458764:ADH458773 AND458764:AND458773 AWZ458764:AWZ458773 BGV458764:BGV458773 BQR458764:BQR458773 CAN458764:CAN458773 CKJ458764:CKJ458773 CUF458764:CUF458773 DEB458764:DEB458773 DNX458764:DNX458773 DXT458764:DXT458773 EHP458764:EHP458773 ERL458764:ERL458773 FBH458764:FBH458773 FLD458764:FLD458773 FUZ458764:FUZ458773 GEV458764:GEV458773 GOR458764:GOR458773 GYN458764:GYN458773 HIJ458764:HIJ458773 HSF458764:HSF458773 ICB458764:ICB458773 ILX458764:ILX458773 IVT458764:IVT458773 JFP458764:JFP458773 JPL458764:JPL458773 JZH458764:JZH458773 KJD458764:KJD458773 KSZ458764:KSZ458773 LCV458764:LCV458773 LMR458764:LMR458773 LWN458764:LWN458773 MGJ458764:MGJ458773 MQF458764:MQF458773 NAB458764:NAB458773 NJX458764:NJX458773 NTT458764:NTT458773 ODP458764:ODP458773 ONL458764:ONL458773 OXH458764:OXH458773 PHD458764:PHD458773 PQZ458764:PQZ458773 QAV458764:QAV458773 QKR458764:QKR458773 QUN458764:QUN458773 REJ458764:REJ458773 ROF458764:ROF458773 RYB458764:RYB458773 SHX458764:SHX458773 SRT458764:SRT458773 TBP458764:TBP458773 TLL458764:TLL458773 TVH458764:TVH458773 UFD458764:UFD458773 UOZ458764:UOZ458773 UYV458764:UYV458773 VIR458764:VIR458773 VSN458764:VSN458773 WCJ458764:WCJ458773 WMF458764:WMF458773 WWB458764:WWB458773 JP524300:JP524309 TL524300:TL524309 ADH524300:ADH524309 AND524300:AND524309 AWZ524300:AWZ524309 BGV524300:BGV524309 BQR524300:BQR524309 CAN524300:CAN524309 CKJ524300:CKJ524309 CUF524300:CUF524309 DEB524300:DEB524309 DNX524300:DNX524309 DXT524300:DXT524309 EHP524300:EHP524309 ERL524300:ERL524309 FBH524300:FBH524309 FLD524300:FLD524309 FUZ524300:FUZ524309 GEV524300:GEV524309 GOR524300:GOR524309 GYN524300:GYN524309 HIJ524300:HIJ524309 HSF524300:HSF524309 ICB524300:ICB524309 ILX524300:ILX524309 IVT524300:IVT524309 JFP524300:JFP524309 JPL524300:JPL524309 JZH524300:JZH524309 KJD524300:KJD524309 KSZ524300:KSZ524309 LCV524300:LCV524309 LMR524300:LMR524309 LWN524300:LWN524309 MGJ524300:MGJ524309 MQF524300:MQF524309 NAB524300:NAB524309 NJX524300:NJX524309 NTT524300:NTT524309 ODP524300:ODP524309 ONL524300:ONL524309 OXH524300:OXH524309 PHD524300:PHD524309 PQZ524300:PQZ524309 QAV524300:QAV524309 QKR524300:QKR524309 QUN524300:QUN524309 REJ524300:REJ524309 ROF524300:ROF524309 RYB524300:RYB524309 SHX524300:SHX524309 SRT524300:SRT524309 TBP524300:TBP524309 TLL524300:TLL524309 TVH524300:TVH524309 UFD524300:UFD524309 UOZ524300:UOZ524309 UYV524300:UYV524309 VIR524300:VIR524309 VSN524300:VSN524309 WCJ524300:WCJ524309 WMF524300:WMF524309 WWB524300:WWB524309 JP589836:JP589845 TL589836:TL589845 ADH589836:ADH589845 AND589836:AND589845 AWZ589836:AWZ589845 BGV589836:BGV589845 BQR589836:BQR589845 CAN589836:CAN589845 CKJ589836:CKJ589845 CUF589836:CUF589845 DEB589836:DEB589845 DNX589836:DNX589845 DXT589836:DXT589845 EHP589836:EHP589845 ERL589836:ERL589845 FBH589836:FBH589845 FLD589836:FLD589845 FUZ589836:FUZ589845 GEV589836:GEV589845 GOR589836:GOR589845 GYN589836:GYN589845 HIJ589836:HIJ589845 HSF589836:HSF589845 ICB589836:ICB589845 ILX589836:ILX589845 IVT589836:IVT589845 JFP589836:JFP589845 JPL589836:JPL589845 JZH589836:JZH589845 KJD589836:KJD589845 KSZ589836:KSZ589845 LCV589836:LCV589845 LMR589836:LMR589845 LWN589836:LWN589845 MGJ589836:MGJ589845 MQF589836:MQF589845 NAB589836:NAB589845 NJX589836:NJX589845 NTT589836:NTT589845 ODP589836:ODP589845 ONL589836:ONL589845 OXH589836:OXH589845 PHD589836:PHD589845 PQZ589836:PQZ589845 QAV589836:QAV589845 QKR589836:QKR589845 QUN589836:QUN589845 REJ589836:REJ589845 ROF589836:ROF589845 RYB589836:RYB589845 SHX589836:SHX589845 SRT589836:SRT589845 TBP589836:TBP589845 TLL589836:TLL589845 TVH589836:TVH589845 UFD589836:UFD589845 UOZ589836:UOZ589845 UYV589836:UYV589845 VIR589836:VIR589845 VSN589836:VSN589845 WCJ589836:WCJ589845 WMF589836:WMF589845 WWB589836:WWB589845 JP655372:JP655381 TL655372:TL655381 ADH655372:ADH655381 AND655372:AND655381 AWZ655372:AWZ655381 BGV655372:BGV655381 BQR655372:BQR655381 CAN655372:CAN655381 CKJ655372:CKJ655381 CUF655372:CUF655381 DEB655372:DEB655381 DNX655372:DNX655381 DXT655372:DXT655381 EHP655372:EHP655381 ERL655372:ERL655381 FBH655372:FBH655381 FLD655372:FLD655381 FUZ655372:FUZ655381 GEV655372:GEV655381 GOR655372:GOR655381 GYN655372:GYN655381 HIJ655372:HIJ655381 HSF655372:HSF655381 ICB655372:ICB655381 ILX655372:ILX655381 IVT655372:IVT655381 JFP655372:JFP655381 JPL655372:JPL655381 JZH655372:JZH655381 KJD655372:KJD655381 KSZ655372:KSZ655381 LCV655372:LCV655381 LMR655372:LMR655381 LWN655372:LWN655381 MGJ655372:MGJ655381 MQF655372:MQF655381 NAB655372:NAB655381 NJX655372:NJX655381 NTT655372:NTT655381 ODP655372:ODP655381 ONL655372:ONL655381 OXH655372:OXH655381 PHD655372:PHD655381 PQZ655372:PQZ655381 QAV655372:QAV655381 QKR655372:QKR655381 QUN655372:QUN655381 REJ655372:REJ655381 ROF655372:ROF655381 RYB655372:RYB655381 SHX655372:SHX655381 SRT655372:SRT655381 TBP655372:TBP655381 TLL655372:TLL655381 TVH655372:TVH655381 UFD655372:UFD655381 UOZ655372:UOZ655381 UYV655372:UYV655381 VIR655372:VIR655381 VSN655372:VSN655381 WCJ655372:WCJ655381 WMF655372:WMF655381 WWB655372:WWB655381 JP720908:JP720917 TL720908:TL720917 ADH720908:ADH720917 AND720908:AND720917 AWZ720908:AWZ720917 BGV720908:BGV720917 BQR720908:BQR720917 CAN720908:CAN720917 CKJ720908:CKJ720917 CUF720908:CUF720917 DEB720908:DEB720917 DNX720908:DNX720917 DXT720908:DXT720917 EHP720908:EHP720917 ERL720908:ERL720917 FBH720908:FBH720917 FLD720908:FLD720917 FUZ720908:FUZ720917 GEV720908:GEV720917 GOR720908:GOR720917 GYN720908:GYN720917 HIJ720908:HIJ720917 HSF720908:HSF720917 ICB720908:ICB720917 ILX720908:ILX720917 IVT720908:IVT720917 JFP720908:JFP720917 JPL720908:JPL720917 JZH720908:JZH720917 KJD720908:KJD720917 KSZ720908:KSZ720917 LCV720908:LCV720917 LMR720908:LMR720917 LWN720908:LWN720917 MGJ720908:MGJ720917 MQF720908:MQF720917 NAB720908:NAB720917 NJX720908:NJX720917 NTT720908:NTT720917 ODP720908:ODP720917 ONL720908:ONL720917 OXH720908:OXH720917 PHD720908:PHD720917 PQZ720908:PQZ720917 QAV720908:QAV720917 QKR720908:QKR720917 QUN720908:QUN720917 REJ720908:REJ720917 ROF720908:ROF720917 RYB720908:RYB720917 SHX720908:SHX720917 SRT720908:SRT720917 TBP720908:TBP720917 TLL720908:TLL720917 TVH720908:TVH720917 UFD720908:UFD720917 UOZ720908:UOZ720917 UYV720908:UYV720917 VIR720908:VIR720917 VSN720908:VSN720917 WCJ720908:WCJ720917 WMF720908:WMF720917 WWB720908:WWB720917 JP786444:JP786453 TL786444:TL786453 ADH786444:ADH786453 AND786444:AND786453 AWZ786444:AWZ786453 BGV786444:BGV786453 BQR786444:BQR786453 CAN786444:CAN786453 CKJ786444:CKJ786453 CUF786444:CUF786453 DEB786444:DEB786453 DNX786444:DNX786453 DXT786444:DXT786453 EHP786444:EHP786453 ERL786444:ERL786453 FBH786444:FBH786453 FLD786444:FLD786453 FUZ786444:FUZ786453 GEV786444:GEV786453 GOR786444:GOR786453 GYN786444:GYN786453 HIJ786444:HIJ786453 HSF786444:HSF786453 ICB786444:ICB786453 ILX786444:ILX786453 IVT786444:IVT786453 JFP786444:JFP786453 JPL786444:JPL786453 JZH786444:JZH786453 KJD786444:KJD786453 KSZ786444:KSZ786453 LCV786444:LCV786453 LMR786444:LMR786453 LWN786444:LWN786453 MGJ786444:MGJ786453 MQF786444:MQF786453 NAB786444:NAB786453 NJX786444:NJX786453 NTT786444:NTT786453 ODP786444:ODP786453 ONL786444:ONL786453 OXH786444:OXH786453 PHD786444:PHD786453 PQZ786444:PQZ786453 QAV786444:QAV786453 QKR786444:QKR786453 QUN786444:QUN786453 REJ786444:REJ786453 ROF786444:ROF786453 RYB786444:RYB786453 SHX786444:SHX786453 SRT786444:SRT786453 TBP786444:TBP786453 TLL786444:TLL786453 TVH786444:TVH786453 UFD786444:UFD786453 UOZ786444:UOZ786453 UYV786444:UYV786453 VIR786444:VIR786453 VSN786444:VSN786453 WCJ786444:WCJ786453 WMF786444:WMF786453 WWB786444:WWB786453 JP851980:JP851989 TL851980:TL851989 ADH851980:ADH851989 AND851980:AND851989 AWZ851980:AWZ851989 BGV851980:BGV851989 BQR851980:BQR851989 CAN851980:CAN851989 CKJ851980:CKJ851989 CUF851980:CUF851989 DEB851980:DEB851989 DNX851980:DNX851989 DXT851980:DXT851989 EHP851980:EHP851989 ERL851980:ERL851989 FBH851980:FBH851989 FLD851980:FLD851989 FUZ851980:FUZ851989 GEV851980:GEV851989 GOR851980:GOR851989 GYN851980:GYN851989 HIJ851980:HIJ851989 HSF851980:HSF851989 ICB851980:ICB851989 ILX851980:ILX851989 IVT851980:IVT851989 JFP851980:JFP851989 JPL851980:JPL851989 JZH851980:JZH851989 KJD851980:KJD851989 KSZ851980:KSZ851989 LCV851980:LCV851989 LMR851980:LMR851989 LWN851980:LWN851989 MGJ851980:MGJ851989 MQF851980:MQF851989 NAB851980:NAB851989 NJX851980:NJX851989 NTT851980:NTT851989 ODP851980:ODP851989 ONL851980:ONL851989 OXH851980:OXH851989 PHD851980:PHD851989 PQZ851980:PQZ851989 QAV851980:QAV851989 QKR851980:QKR851989 QUN851980:QUN851989 REJ851980:REJ851989 ROF851980:ROF851989 RYB851980:RYB851989 SHX851980:SHX851989 SRT851980:SRT851989 TBP851980:TBP851989 TLL851980:TLL851989 TVH851980:TVH851989 UFD851980:UFD851989 UOZ851980:UOZ851989 UYV851980:UYV851989 VIR851980:VIR851989 VSN851980:VSN851989 WCJ851980:WCJ851989 WMF851980:WMF851989 WWB851980:WWB851989 JP917516:JP917525 TL917516:TL917525 ADH917516:ADH917525 AND917516:AND917525 AWZ917516:AWZ917525 BGV917516:BGV917525 BQR917516:BQR917525 CAN917516:CAN917525 CKJ917516:CKJ917525 CUF917516:CUF917525 DEB917516:DEB917525 DNX917516:DNX917525 DXT917516:DXT917525 EHP917516:EHP917525 ERL917516:ERL917525 FBH917516:FBH917525 FLD917516:FLD917525 FUZ917516:FUZ917525 GEV917516:GEV917525 GOR917516:GOR917525 GYN917516:GYN917525 HIJ917516:HIJ917525 HSF917516:HSF917525 ICB917516:ICB917525 ILX917516:ILX917525 IVT917516:IVT917525 JFP917516:JFP917525 JPL917516:JPL917525 JZH917516:JZH917525 KJD917516:KJD917525 KSZ917516:KSZ917525 LCV917516:LCV917525 LMR917516:LMR917525 LWN917516:LWN917525 MGJ917516:MGJ917525 MQF917516:MQF917525 NAB917516:NAB917525 NJX917516:NJX917525 NTT917516:NTT917525 ODP917516:ODP917525 ONL917516:ONL917525 OXH917516:OXH917525 PHD917516:PHD917525 PQZ917516:PQZ917525 QAV917516:QAV917525 QKR917516:QKR917525 QUN917516:QUN917525 REJ917516:REJ917525 ROF917516:ROF917525 RYB917516:RYB917525 SHX917516:SHX917525 SRT917516:SRT917525 TBP917516:TBP917525 TLL917516:TLL917525 TVH917516:TVH917525 UFD917516:UFD917525 UOZ917516:UOZ917525 UYV917516:UYV917525 VIR917516:VIR917525 VSN917516:VSN917525 WCJ917516:WCJ917525 WMF917516:WMF917525 WWB917516:WWB917525 JP983052:JP983061 TL983052:TL983061 ADH983052:ADH983061 AND983052:AND983061 AWZ983052:AWZ983061 BGV983052:BGV983061 BQR983052:BQR983061 CAN983052:CAN983061 CKJ983052:CKJ983061 CUF983052:CUF983061 DEB983052:DEB983061 DNX983052:DNX983061 DXT983052:DXT983061 EHP983052:EHP983061 ERL983052:ERL983061 FBH983052:FBH983061 FLD983052:FLD983061 FUZ983052:FUZ983061 GEV983052:GEV983061 GOR983052:GOR983061 GYN983052:GYN983061 HIJ983052:HIJ983061 HSF983052:HSF983061 ICB983052:ICB983061 ILX983052:ILX983061 IVT983052:IVT983061 JFP983052:JFP983061 JPL983052:JPL983061 JZH983052:JZH983061 KJD983052:KJD983061 KSZ983052:KSZ983061 LCV983052:LCV983061 LMR983052:LMR983061 LWN983052:LWN983061 MGJ983052:MGJ983061 MQF983052:MQF983061 NAB983052:NAB983061 NJX983052:NJX983061 NTT983052:NTT983061 ODP983052:ODP983061 ONL983052:ONL983061 OXH983052:OXH983061 PHD983052:PHD983061 PQZ983052:PQZ983061 QAV983052:QAV983061 QKR983052:QKR983061 QUN983052:QUN983061 REJ983052:REJ983061 ROF983052:ROF983061 RYB983052:RYB983061 SHX983052:SHX983061 SRT983052:SRT983061 TBP983052:TBP983061 TLL983052:TLL983061 TVH983052:TVH983061 UFD983052:UFD983061 UOZ983052:UOZ983061 UYV983052:UYV983061 VIR983052:VIR983061 VSN983052:VSN983061 WCJ983052:WCJ983061 WMF983052:WMF983061 G12:G31" xr:uid="{59E2014C-FBD1-4380-8864-40226D0DAB27}">
      <formula1>"&lt;15min,15min-1hr,1-4hr,&gt;4hr"</formula1>
    </dataValidation>
    <dataValidation type="list" allowBlank="1" showInputMessage="1" showErrorMessage="1" error="data input not valid; please select from list" sqref="WVZ983052:WVZ983061 JN12:JN21 TJ12:TJ21 ADF12:ADF21 ANB12:ANB21 AWX12:AWX21 BGT12:BGT21 BQP12:BQP21 CAL12:CAL21 CKH12:CKH21 CUD12:CUD21 DDZ12:DDZ21 DNV12:DNV21 DXR12:DXR21 EHN12:EHN21 ERJ12:ERJ21 FBF12:FBF21 FLB12:FLB21 FUX12:FUX21 GET12:GET21 GOP12:GOP21 GYL12:GYL21 HIH12:HIH21 HSD12:HSD21 IBZ12:IBZ21 ILV12:ILV21 IVR12:IVR21 JFN12:JFN21 JPJ12:JPJ21 JZF12:JZF21 KJB12:KJB21 KSX12:KSX21 LCT12:LCT21 LMP12:LMP21 LWL12:LWL21 MGH12:MGH21 MQD12:MQD21 MZZ12:MZZ21 NJV12:NJV21 NTR12:NTR21 ODN12:ODN21 ONJ12:ONJ21 OXF12:OXF21 PHB12:PHB21 PQX12:PQX21 QAT12:QAT21 QKP12:QKP21 QUL12:QUL21 REH12:REH21 ROD12:ROD21 RXZ12:RXZ21 SHV12:SHV21 SRR12:SRR21 TBN12:TBN21 TLJ12:TLJ21 TVF12:TVF21 UFB12:UFB21 UOX12:UOX21 UYT12:UYT21 VIP12:VIP21 VSL12:VSL21 WCH12:WCH21 WMD12:WMD21 WVZ12:WVZ21 H65548:H65557 JN65548:JN65557 TJ65548:TJ65557 ADF65548:ADF65557 ANB65548:ANB65557 AWX65548:AWX65557 BGT65548:BGT65557 BQP65548:BQP65557 CAL65548:CAL65557 CKH65548:CKH65557 CUD65548:CUD65557 DDZ65548:DDZ65557 DNV65548:DNV65557 DXR65548:DXR65557 EHN65548:EHN65557 ERJ65548:ERJ65557 FBF65548:FBF65557 FLB65548:FLB65557 FUX65548:FUX65557 GET65548:GET65557 GOP65548:GOP65557 GYL65548:GYL65557 HIH65548:HIH65557 HSD65548:HSD65557 IBZ65548:IBZ65557 ILV65548:ILV65557 IVR65548:IVR65557 JFN65548:JFN65557 JPJ65548:JPJ65557 JZF65548:JZF65557 KJB65548:KJB65557 KSX65548:KSX65557 LCT65548:LCT65557 LMP65548:LMP65557 LWL65548:LWL65557 MGH65548:MGH65557 MQD65548:MQD65557 MZZ65548:MZZ65557 NJV65548:NJV65557 NTR65548:NTR65557 ODN65548:ODN65557 ONJ65548:ONJ65557 OXF65548:OXF65557 PHB65548:PHB65557 PQX65548:PQX65557 QAT65548:QAT65557 QKP65548:QKP65557 QUL65548:QUL65557 REH65548:REH65557 ROD65548:ROD65557 RXZ65548:RXZ65557 SHV65548:SHV65557 SRR65548:SRR65557 TBN65548:TBN65557 TLJ65548:TLJ65557 TVF65548:TVF65557 UFB65548:UFB65557 UOX65548:UOX65557 UYT65548:UYT65557 VIP65548:VIP65557 VSL65548:VSL65557 WCH65548:WCH65557 WMD65548:WMD65557 WVZ65548:WVZ65557 H131084:H131093 JN131084:JN131093 TJ131084:TJ131093 ADF131084:ADF131093 ANB131084:ANB131093 AWX131084:AWX131093 BGT131084:BGT131093 BQP131084:BQP131093 CAL131084:CAL131093 CKH131084:CKH131093 CUD131084:CUD131093 DDZ131084:DDZ131093 DNV131084:DNV131093 DXR131084:DXR131093 EHN131084:EHN131093 ERJ131084:ERJ131093 FBF131084:FBF131093 FLB131084:FLB131093 FUX131084:FUX131093 GET131084:GET131093 GOP131084:GOP131093 GYL131084:GYL131093 HIH131084:HIH131093 HSD131084:HSD131093 IBZ131084:IBZ131093 ILV131084:ILV131093 IVR131084:IVR131093 JFN131084:JFN131093 JPJ131084:JPJ131093 JZF131084:JZF131093 KJB131084:KJB131093 KSX131084:KSX131093 LCT131084:LCT131093 LMP131084:LMP131093 LWL131084:LWL131093 MGH131084:MGH131093 MQD131084:MQD131093 MZZ131084:MZZ131093 NJV131084:NJV131093 NTR131084:NTR131093 ODN131084:ODN131093 ONJ131084:ONJ131093 OXF131084:OXF131093 PHB131084:PHB131093 PQX131084:PQX131093 QAT131084:QAT131093 QKP131084:QKP131093 QUL131084:QUL131093 REH131084:REH131093 ROD131084:ROD131093 RXZ131084:RXZ131093 SHV131084:SHV131093 SRR131084:SRR131093 TBN131084:TBN131093 TLJ131084:TLJ131093 TVF131084:TVF131093 UFB131084:UFB131093 UOX131084:UOX131093 UYT131084:UYT131093 VIP131084:VIP131093 VSL131084:VSL131093 WCH131084:WCH131093 WMD131084:WMD131093 WVZ131084:WVZ131093 H196620:H196629 JN196620:JN196629 TJ196620:TJ196629 ADF196620:ADF196629 ANB196620:ANB196629 AWX196620:AWX196629 BGT196620:BGT196629 BQP196620:BQP196629 CAL196620:CAL196629 CKH196620:CKH196629 CUD196620:CUD196629 DDZ196620:DDZ196629 DNV196620:DNV196629 DXR196620:DXR196629 EHN196620:EHN196629 ERJ196620:ERJ196629 FBF196620:FBF196629 FLB196620:FLB196629 FUX196620:FUX196629 GET196620:GET196629 GOP196620:GOP196629 GYL196620:GYL196629 HIH196620:HIH196629 HSD196620:HSD196629 IBZ196620:IBZ196629 ILV196620:ILV196629 IVR196620:IVR196629 JFN196620:JFN196629 JPJ196620:JPJ196629 JZF196620:JZF196629 KJB196620:KJB196629 KSX196620:KSX196629 LCT196620:LCT196629 LMP196620:LMP196629 LWL196620:LWL196629 MGH196620:MGH196629 MQD196620:MQD196629 MZZ196620:MZZ196629 NJV196620:NJV196629 NTR196620:NTR196629 ODN196620:ODN196629 ONJ196620:ONJ196629 OXF196620:OXF196629 PHB196620:PHB196629 PQX196620:PQX196629 QAT196620:QAT196629 QKP196620:QKP196629 QUL196620:QUL196629 REH196620:REH196629 ROD196620:ROD196629 RXZ196620:RXZ196629 SHV196620:SHV196629 SRR196620:SRR196629 TBN196620:TBN196629 TLJ196620:TLJ196629 TVF196620:TVF196629 UFB196620:UFB196629 UOX196620:UOX196629 UYT196620:UYT196629 VIP196620:VIP196629 VSL196620:VSL196629 WCH196620:WCH196629 WMD196620:WMD196629 WVZ196620:WVZ196629 H262156:H262165 JN262156:JN262165 TJ262156:TJ262165 ADF262156:ADF262165 ANB262156:ANB262165 AWX262156:AWX262165 BGT262156:BGT262165 BQP262156:BQP262165 CAL262156:CAL262165 CKH262156:CKH262165 CUD262156:CUD262165 DDZ262156:DDZ262165 DNV262156:DNV262165 DXR262156:DXR262165 EHN262156:EHN262165 ERJ262156:ERJ262165 FBF262156:FBF262165 FLB262156:FLB262165 FUX262156:FUX262165 GET262156:GET262165 GOP262156:GOP262165 GYL262156:GYL262165 HIH262156:HIH262165 HSD262156:HSD262165 IBZ262156:IBZ262165 ILV262156:ILV262165 IVR262156:IVR262165 JFN262156:JFN262165 JPJ262156:JPJ262165 JZF262156:JZF262165 KJB262156:KJB262165 KSX262156:KSX262165 LCT262156:LCT262165 LMP262156:LMP262165 LWL262156:LWL262165 MGH262156:MGH262165 MQD262156:MQD262165 MZZ262156:MZZ262165 NJV262156:NJV262165 NTR262156:NTR262165 ODN262156:ODN262165 ONJ262156:ONJ262165 OXF262156:OXF262165 PHB262156:PHB262165 PQX262156:PQX262165 QAT262156:QAT262165 QKP262156:QKP262165 QUL262156:QUL262165 REH262156:REH262165 ROD262156:ROD262165 RXZ262156:RXZ262165 SHV262156:SHV262165 SRR262156:SRR262165 TBN262156:TBN262165 TLJ262156:TLJ262165 TVF262156:TVF262165 UFB262156:UFB262165 UOX262156:UOX262165 UYT262156:UYT262165 VIP262156:VIP262165 VSL262156:VSL262165 WCH262156:WCH262165 WMD262156:WMD262165 WVZ262156:WVZ262165 H327692:H327701 JN327692:JN327701 TJ327692:TJ327701 ADF327692:ADF327701 ANB327692:ANB327701 AWX327692:AWX327701 BGT327692:BGT327701 BQP327692:BQP327701 CAL327692:CAL327701 CKH327692:CKH327701 CUD327692:CUD327701 DDZ327692:DDZ327701 DNV327692:DNV327701 DXR327692:DXR327701 EHN327692:EHN327701 ERJ327692:ERJ327701 FBF327692:FBF327701 FLB327692:FLB327701 FUX327692:FUX327701 GET327692:GET327701 GOP327692:GOP327701 GYL327692:GYL327701 HIH327692:HIH327701 HSD327692:HSD327701 IBZ327692:IBZ327701 ILV327692:ILV327701 IVR327692:IVR327701 JFN327692:JFN327701 JPJ327692:JPJ327701 JZF327692:JZF327701 KJB327692:KJB327701 KSX327692:KSX327701 LCT327692:LCT327701 LMP327692:LMP327701 LWL327692:LWL327701 MGH327692:MGH327701 MQD327692:MQD327701 MZZ327692:MZZ327701 NJV327692:NJV327701 NTR327692:NTR327701 ODN327692:ODN327701 ONJ327692:ONJ327701 OXF327692:OXF327701 PHB327692:PHB327701 PQX327692:PQX327701 QAT327692:QAT327701 QKP327692:QKP327701 QUL327692:QUL327701 REH327692:REH327701 ROD327692:ROD327701 RXZ327692:RXZ327701 SHV327692:SHV327701 SRR327692:SRR327701 TBN327692:TBN327701 TLJ327692:TLJ327701 TVF327692:TVF327701 UFB327692:UFB327701 UOX327692:UOX327701 UYT327692:UYT327701 VIP327692:VIP327701 VSL327692:VSL327701 WCH327692:WCH327701 WMD327692:WMD327701 WVZ327692:WVZ327701 H393228:H393237 JN393228:JN393237 TJ393228:TJ393237 ADF393228:ADF393237 ANB393228:ANB393237 AWX393228:AWX393237 BGT393228:BGT393237 BQP393228:BQP393237 CAL393228:CAL393237 CKH393228:CKH393237 CUD393228:CUD393237 DDZ393228:DDZ393237 DNV393228:DNV393237 DXR393228:DXR393237 EHN393228:EHN393237 ERJ393228:ERJ393237 FBF393228:FBF393237 FLB393228:FLB393237 FUX393228:FUX393237 GET393228:GET393237 GOP393228:GOP393237 GYL393228:GYL393237 HIH393228:HIH393237 HSD393228:HSD393237 IBZ393228:IBZ393237 ILV393228:ILV393237 IVR393228:IVR393237 JFN393228:JFN393237 JPJ393228:JPJ393237 JZF393228:JZF393237 KJB393228:KJB393237 KSX393228:KSX393237 LCT393228:LCT393237 LMP393228:LMP393237 LWL393228:LWL393237 MGH393228:MGH393237 MQD393228:MQD393237 MZZ393228:MZZ393237 NJV393228:NJV393237 NTR393228:NTR393237 ODN393228:ODN393237 ONJ393228:ONJ393237 OXF393228:OXF393237 PHB393228:PHB393237 PQX393228:PQX393237 QAT393228:QAT393237 QKP393228:QKP393237 QUL393228:QUL393237 REH393228:REH393237 ROD393228:ROD393237 RXZ393228:RXZ393237 SHV393228:SHV393237 SRR393228:SRR393237 TBN393228:TBN393237 TLJ393228:TLJ393237 TVF393228:TVF393237 UFB393228:UFB393237 UOX393228:UOX393237 UYT393228:UYT393237 VIP393228:VIP393237 VSL393228:VSL393237 WCH393228:WCH393237 WMD393228:WMD393237 WVZ393228:WVZ393237 H458764:H458773 JN458764:JN458773 TJ458764:TJ458773 ADF458764:ADF458773 ANB458764:ANB458773 AWX458764:AWX458773 BGT458764:BGT458773 BQP458764:BQP458773 CAL458764:CAL458773 CKH458764:CKH458773 CUD458764:CUD458773 DDZ458764:DDZ458773 DNV458764:DNV458773 DXR458764:DXR458773 EHN458764:EHN458773 ERJ458764:ERJ458773 FBF458764:FBF458773 FLB458764:FLB458773 FUX458764:FUX458773 GET458764:GET458773 GOP458764:GOP458773 GYL458764:GYL458773 HIH458764:HIH458773 HSD458764:HSD458773 IBZ458764:IBZ458773 ILV458764:ILV458773 IVR458764:IVR458773 JFN458764:JFN458773 JPJ458764:JPJ458773 JZF458764:JZF458773 KJB458764:KJB458773 KSX458764:KSX458773 LCT458764:LCT458773 LMP458764:LMP458773 LWL458764:LWL458773 MGH458764:MGH458773 MQD458764:MQD458773 MZZ458764:MZZ458773 NJV458764:NJV458773 NTR458764:NTR458773 ODN458764:ODN458773 ONJ458764:ONJ458773 OXF458764:OXF458773 PHB458764:PHB458773 PQX458764:PQX458773 QAT458764:QAT458773 QKP458764:QKP458773 QUL458764:QUL458773 REH458764:REH458773 ROD458764:ROD458773 RXZ458764:RXZ458773 SHV458764:SHV458773 SRR458764:SRR458773 TBN458764:TBN458773 TLJ458764:TLJ458773 TVF458764:TVF458773 UFB458764:UFB458773 UOX458764:UOX458773 UYT458764:UYT458773 VIP458764:VIP458773 VSL458764:VSL458773 WCH458764:WCH458773 WMD458764:WMD458773 WVZ458764:WVZ458773 H524300:H524309 JN524300:JN524309 TJ524300:TJ524309 ADF524300:ADF524309 ANB524300:ANB524309 AWX524300:AWX524309 BGT524300:BGT524309 BQP524300:BQP524309 CAL524300:CAL524309 CKH524300:CKH524309 CUD524300:CUD524309 DDZ524300:DDZ524309 DNV524300:DNV524309 DXR524300:DXR524309 EHN524300:EHN524309 ERJ524300:ERJ524309 FBF524300:FBF524309 FLB524300:FLB524309 FUX524300:FUX524309 GET524300:GET524309 GOP524300:GOP524309 GYL524300:GYL524309 HIH524300:HIH524309 HSD524300:HSD524309 IBZ524300:IBZ524309 ILV524300:ILV524309 IVR524300:IVR524309 JFN524300:JFN524309 JPJ524300:JPJ524309 JZF524300:JZF524309 KJB524300:KJB524309 KSX524300:KSX524309 LCT524300:LCT524309 LMP524300:LMP524309 LWL524300:LWL524309 MGH524300:MGH524309 MQD524300:MQD524309 MZZ524300:MZZ524309 NJV524300:NJV524309 NTR524300:NTR524309 ODN524300:ODN524309 ONJ524300:ONJ524309 OXF524300:OXF524309 PHB524300:PHB524309 PQX524300:PQX524309 QAT524300:QAT524309 QKP524300:QKP524309 QUL524300:QUL524309 REH524300:REH524309 ROD524300:ROD524309 RXZ524300:RXZ524309 SHV524300:SHV524309 SRR524300:SRR524309 TBN524300:TBN524309 TLJ524300:TLJ524309 TVF524300:TVF524309 UFB524300:UFB524309 UOX524300:UOX524309 UYT524300:UYT524309 VIP524300:VIP524309 VSL524300:VSL524309 WCH524300:WCH524309 WMD524300:WMD524309 WVZ524300:WVZ524309 H589836:H589845 JN589836:JN589845 TJ589836:TJ589845 ADF589836:ADF589845 ANB589836:ANB589845 AWX589836:AWX589845 BGT589836:BGT589845 BQP589836:BQP589845 CAL589836:CAL589845 CKH589836:CKH589845 CUD589836:CUD589845 DDZ589836:DDZ589845 DNV589836:DNV589845 DXR589836:DXR589845 EHN589836:EHN589845 ERJ589836:ERJ589845 FBF589836:FBF589845 FLB589836:FLB589845 FUX589836:FUX589845 GET589836:GET589845 GOP589836:GOP589845 GYL589836:GYL589845 HIH589836:HIH589845 HSD589836:HSD589845 IBZ589836:IBZ589845 ILV589836:ILV589845 IVR589836:IVR589845 JFN589836:JFN589845 JPJ589836:JPJ589845 JZF589836:JZF589845 KJB589836:KJB589845 KSX589836:KSX589845 LCT589836:LCT589845 LMP589836:LMP589845 LWL589836:LWL589845 MGH589836:MGH589845 MQD589836:MQD589845 MZZ589836:MZZ589845 NJV589836:NJV589845 NTR589836:NTR589845 ODN589836:ODN589845 ONJ589836:ONJ589845 OXF589836:OXF589845 PHB589836:PHB589845 PQX589836:PQX589845 QAT589836:QAT589845 QKP589836:QKP589845 QUL589836:QUL589845 REH589836:REH589845 ROD589836:ROD589845 RXZ589836:RXZ589845 SHV589836:SHV589845 SRR589836:SRR589845 TBN589836:TBN589845 TLJ589836:TLJ589845 TVF589836:TVF589845 UFB589836:UFB589845 UOX589836:UOX589845 UYT589836:UYT589845 VIP589836:VIP589845 VSL589836:VSL589845 WCH589836:WCH589845 WMD589836:WMD589845 WVZ589836:WVZ589845 H655372:H655381 JN655372:JN655381 TJ655372:TJ655381 ADF655372:ADF655381 ANB655372:ANB655381 AWX655372:AWX655381 BGT655372:BGT655381 BQP655372:BQP655381 CAL655372:CAL655381 CKH655372:CKH655381 CUD655372:CUD655381 DDZ655372:DDZ655381 DNV655372:DNV655381 DXR655372:DXR655381 EHN655372:EHN655381 ERJ655372:ERJ655381 FBF655372:FBF655381 FLB655372:FLB655381 FUX655372:FUX655381 GET655372:GET655381 GOP655372:GOP655381 GYL655372:GYL655381 HIH655372:HIH655381 HSD655372:HSD655381 IBZ655372:IBZ655381 ILV655372:ILV655381 IVR655372:IVR655381 JFN655372:JFN655381 JPJ655372:JPJ655381 JZF655372:JZF655381 KJB655372:KJB655381 KSX655372:KSX655381 LCT655372:LCT655381 LMP655372:LMP655381 LWL655372:LWL655381 MGH655372:MGH655381 MQD655372:MQD655381 MZZ655372:MZZ655381 NJV655372:NJV655381 NTR655372:NTR655381 ODN655372:ODN655381 ONJ655372:ONJ655381 OXF655372:OXF655381 PHB655372:PHB655381 PQX655372:PQX655381 QAT655372:QAT655381 QKP655372:QKP655381 QUL655372:QUL655381 REH655372:REH655381 ROD655372:ROD655381 RXZ655372:RXZ655381 SHV655372:SHV655381 SRR655372:SRR655381 TBN655372:TBN655381 TLJ655372:TLJ655381 TVF655372:TVF655381 UFB655372:UFB655381 UOX655372:UOX655381 UYT655372:UYT655381 VIP655372:VIP655381 VSL655372:VSL655381 WCH655372:WCH655381 WMD655372:WMD655381 WVZ655372:WVZ655381 H720908:H720917 JN720908:JN720917 TJ720908:TJ720917 ADF720908:ADF720917 ANB720908:ANB720917 AWX720908:AWX720917 BGT720908:BGT720917 BQP720908:BQP720917 CAL720908:CAL720917 CKH720908:CKH720917 CUD720908:CUD720917 DDZ720908:DDZ720917 DNV720908:DNV720917 DXR720908:DXR720917 EHN720908:EHN720917 ERJ720908:ERJ720917 FBF720908:FBF720917 FLB720908:FLB720917 FUX720908:FUX720917 GET720908:GET720917 GOP720908:GOP720917 GYL720908:GYL720917 HIH720908:HIH720917 HSD720908:HSD720917 IBZ720908:IBZ720917 ILV720908:ILV720917 IVR720908:IVR720917 JFN720908:JFN720917 JPJ720908:JPJ720917 JZF720908:JZF720917 KJB720908:KJB720917 KSX720908:KSX720917 LCT720908:LCT720917 LMP720908:LMP720917 LWL720908:LWL720917 MGH720908:MGH720917 MQD720908:MQD720917 MZZ720908:MZZ720917 NJV720908:NJV720917 NTR720908:NTR720917 ODN720908:ODN720917 ONJ720908:ONJ720917 OXF720908:OXF720917 PHB720908:PHB720917 PQX720908:PQX720917 QAT720908:QAT720917 QKP720908:QKP720917 QUL720908:QUL720917 REH720908:REH720917 ROD720908:ROD720917 RXZ720908:RXZ720917 SHV720908:SHV720917 SRR720908:SRR720917 TBN720908:TBN720917 TLJ720908:TLJ720917 TVF720908:TVF720917 UFB720908:UFB720917 UOX720908:UOX720917 UYT720908:UYT720917 VIP720908:VIP720917 VSL720908:VSL720917 WCH720908:WCH720917 WMD720908:WMD720917 WVZ720908:WVZ720917 H786444:H786453 JN786444:JN786453 TJ786444:TJ786453 ADF786444:ADF786453 ANB786444:ANB786453 AWX786444:AWX786453 BGT786444:BGT786453 BQP786444:BQP786453 CAL786444:CAL786453 CKH786444:CKH786453 CUD786444:CUD786453 DDZ786444:DDZ786453 DNV786444:DNV786453 DXR786444:DXR786453 EHN786444:EHN786453 ERJ786444:ERJ786453 FBF786444:FBF786453 FLB786444:FLB786453 FUX786444:FUX786453 GET786444:GET786453 GOP786444:GOP786453 GYL786444:GYL786453 HIH786444:HIH786453 HSD786444:HSD786453 IBZ786444:IBZ786453 ILV786444:ILV786453 IVR786444:IVR786453 JFN786444:JFN786453 JPJ786444:JPJ786453 JZF786444:JZF786453 KJB786444:KJB786453 KSX786444:KSX786453 LCT786444:LCT786453 LMP786444:LMP786453 LWL786444:LWL786453 MGH786444:MGH786453 MQD786444:MQD786453 MZZ786444:MZZ786453 NJV786444:NJV786453 NTR786444:NTR786453 ODN786444:ODN786453 ONJ786444:ONJ786453 OXF786444:OXF786453 PHB786444:PHB786453 PQX786444:PQX786453 QAT786444:QAT786453 QKP786444:QKP786453 QUL786444:QUL786453 REH786444:REH786453 ROD786444:ROD786453 RXZ786444:RXZ786453 SHV786444:SHV786453 SRR786444:SRR786453 TBN786444:TBN786453 TLJ786444:TLJ786453 TVF786444:TVF786453 UFB786444:UFB786453 UOX786444:UOX786453 UYT786444:UYT786453 VIP786444:VIP786453 VSL786444:VSL786453 WCH786444:WCH786453 WMD786444:WMD786453 WVZ786444:WVZ786453 H851980:H851989 JN851980:JN851989 TJ851980:TJ851989 ADF851980:ADF851989 ANB851980:ANB851989 AWX851980:AWX851989 BGT851980:BGT851989 BQP851980:BQP851989 CAL851980:CAL851989 CKH851980:CKH851989 CUD851980:CUD851989 DDZ851980:DDZ851989 DNV851980:DNV851989 DXR851980:DXR851989 EHN851980:EHN851989 ERJ851980:ERJ851989 FBF851980:FBF851989 FLB851980:FLB851989 FUX851980:FUX851989 GET851980:GET851989 GOP851980:GOP851989 GYL851980:GYL851989 HIH851980:HIH851989 HSD851980:HSD851989 IBZ851980:IBZ851989 ILV851980:ILV851989 IVR851980:IVR851989 JFN851980:JFN851989 JPJ851980:JPJ851989 JZF851980:JZF851989 KJB851980:KJB851989 KSX851980:KSX851989 LCT851980:LCT851989 LMP851980:LMP851989 LWL851980:LWL851989 MGH851980:MGH851989 MQD851980:MQD851989 MZZ851980:MZZ851989 NJV851980:NJV851989 NTR851980:NTR851989 ODN851980:ODN851989 ONJ851980:ONJ851989 OXF851980:OXF851989 PHB851980:PHB851989 PQX851980:PQX851989 QAT851980:QAT851989 QKP851980:QKP851989 QUL851980:QUL851989 REH851980:REH851989 ROD851980:ROD851989 RXZ851980:RXZ851989 SHV851980:SHV851989 SRR851980:SRR851989 TBN851980:TBN851989 TLJ851980:TLJ851989 TVF851980:TVF851989 UFB851980:UFB851989 UOX851980:UOX851989 UYT851980:UYT851989 VIP851980:VIP851989 VSL851980:VSL851989 WCH851980:WCH851989 WMD851980:WMD851989 WVZ851980:WVZ851989 H917516:H917525 JN917516:JN917525 TJ917516:TJ917525 ADF917516:ADF917525 ANB917516:ANB917525 AWX917516:AWX917525 BGT917516:BGT917525 BQP917516:BQP917525 CAL917516:CAL917525 CKH917516:CKH917525 CUD917516:CUD917525 DDZ917516:DDZ917525 DNV917516:DNV917525 DXR917516:DXR917525 EHN917516:EHN917525 ERJ917516:ERJ917525 FBF917516:FBF917525 FLB917516:FLB917525 FUX917516:FUX917525 GET917516:GET917525 GOP917516:GOP917525 GYL917516:GYL917525 HIH917516:HIH917525 HSD917516:HSD917525 IBZ917516:IBZ917525 ILV917516:ILV917525 IVR917516:IVR917525 JFN917516:JFN917525 JPJ917516:JPJ917525 JZF917516:JZF917525 KJB917516:KJB917525 KSX917516:KSX917525 LCT917516:LCT917525 LMP917516:LMP917525 LWL917516:LWL917525 MGH917516:MGH917525 MQD917516:MQD917525 MZZ917516:MZZ917525 NJV917516:NJV917525 NTR917516:NTR917525 ODN917516:ODN917525 ONJ917516:ONJ917525 OXF917516:OXF917525 PHB917516:PHB917525 PQX917516:PQX917525 QAT917516:QAT917525 QKP917516:QKP917525 QUL917516:QUL917525 REH917516:REH917525 ROD917516:ROD917525 RXZ917516:RXZ917525 SHV917516:SHV917525 SRR917516:SRR917525 TBN917516:TBN917525 TLJ917516:TLJ917525 TVF917516:TVF917525 UFB917516:UFB917525 UOX917516:UOX917525 UYT917516:UYT917525 VIP917516:VIP917525 VSL917516:VSL917525 WCH917516:WCH917525 WMD917516:WMD917525 WVZ917516:WVZ917525 H983052:H983061 JN983052:JN983061 TJ983052:TJ983061 ADF983052:ADF983061 ANB983052:ANB983061 AWX983052:AWX983061 BGT983052:BGT983061 BQP983052:BQP983061 CAL983052:CAL983061 CKH983052:CKH983061 CUD983052:CUD983061 DDZ983052:DDZ983061 DNV983052:DNV983061 DXR983052:DXR983061 EHN983052:EHN983061 ERJ983052:ERJ983061 FBF983052:FBF983061 FLB983052:FLB983061 FUX983052:FUX983061 GET983052:GET983061 GOP983052:GOP983061 GYL983052:GYL983061 HIH983052:HIH983061 HSD983052:HSD983061 IBZ983052:IBZ983061 ILV983052:ILV983061 IVR983052:IVR983061 JFN983052:JFN983061 JPJ983052:JPJ983061 JZF983052:JZF983061 KJB983052:KJB983061 KSX983052:KSX983061 LCT983052:LCT983061 LMP983052:LMP983061 LWL983052:LWL983061 MGH983052:MGH983061 MQD983052:MQD983061 MZZ983052:MZZ983061 NJV983052:NJV983061 NTR983052:NTR983061 ODN983052:ODN983061 ONJ983052:ONJ983061 OXF983052:OXF983061 PHB983052:PHB983061 PQX983052:PQX983061 QAT983052:QAT983061 QKP983052:QKP983061 QUL983052:QUL983061 REH983052:REH983061 ROD983052:ROD983061 RXZ983052:RXZ983061 SHV983052:SHV983061 SRR983052:SRR983061 TBN983052:TBN983061 TLJ983052:TLJ983061 TVF983052:TVF983061 UFB983052:UFB983061 UOX983052:UOX983061 UYT983052:UYT983061 VIP983052:VIP983061 VSL983052:VSL983061 WCH983052:WCH983061 WMD983052:WMD983061" xr:uid="{EB2F90A8-8899-4ED0-897F-F80207381C21}">
      <formula1>"verylow,low,medium,high"</formula1>
    </dataValidation>
    <dataValidation type="list" allowBlank="1" showInputMessage="1" showErrorMessage="1" error="data input not valid; please select from list" sqref="WVY983052:WVY983061 JM12:JM21 TI12:TI21 ADE12:ADE21 ANA12:ANA21 AWW12:AWW21 BGS12:BGS21 BQO12:BQO21 CAK12:CAK21 CKG12:CKG21 CUC12:CUC21 DDY12:DDY21 DNU12:DNU21 DXQ12:DXQ21 EHM12:EHM21 ERI12:ERI21 FBE12:FBE21 FLA12:FLA21 FUW12:FUW21 GES12:GES21 GOO12:GOO21 GYK12:GYK21 HIG12:HIG21 HSC12:HSC21 IBY12:IBY21 ILU12:ILU21 IVQ12:IVQ21 JFM12:JFM21 JPI12:JPI21 JZE12:JZE21 KJA12:KJA21 KSW12:KSW21 LCS12:LCS21 LMO12:LMO21 LWK12:LWK21 MGG12:MGG21 MQC12:MQC21 MZY12:MZY21 NJU12:NJU21 NTQ12:NTQ21 ODM12:ODM21 ONI12:ONI21 OXE12:OXE21 PHA12:PHA21 PQW12:PQW21 QAS12:QAS21 QKO12:QKO21 QUK12:QUK21 REG12:REG21 ROC12:ROC21 RXY12:RXY21 SHU12:SHU21 SRQ12:SRQ21 TBM12:TBM21 TLI12:TLI21 TVE12:TVE21 UFA12:UFA21 UOW12:UOW21 UYS12:UYS21 VIO12:VIO21 VSK12:VSK21 WCG12:WCG21 WMC12:WMC21 WVY12:WVY21 G65548:G65557 JM65548:JM65557 TI65548:TI65557 ADE65548:ADE65557 ANA65548:ANA65557 AWW65548:AWW65557 BGS65548:BGS65557 BQO65548:BQO65557 CAK65548:CAK65557 CKG65548:CKG65557 CUC65548:CUC65557 DDY65548:DDY65557 DNU65548:DNU65557 DXQ65548:DXQ65557 EHM65548:EHM65557 ERI65548:ERI65557 FBE65548:FBE65557 FLA65548:FLA65557 FUW65548:FUW65557 GES65548:GES65557 GOO65548:GOO65557 GYK65548:GYK65557 HIG65548:HIG65557 HSC65548:HSC65557 IBY65548:IBY65557 ILU65548:ILU65557 IVQ65548:IVQ65557 JFM65548:JFM65557 JPI65548:JPI65557 JZE65548:JZE65557 KJA65548:KJA65557 KSW65548:KSW65557 LCS65548:LCS65557 LMO65548:LMO65557 LWK65548:LWK65557 MGG65548:MGG65557 MQC65548:MQC65557 MZY65548:MZY65557 NJU65548:NJU65557 NTQ65548:NTQ65557 ODM65548:ODM65557 ONI65548:ONI65557 OXE65548:OXE65557 PHA65548:PHA65557 PQW65548:PQW65557 QAS65548:QAS65557 QKO65548:QKO65557 QUK65548:QUK65557 REG65548:REG65557 ROC65548:ROC65557 RXY65548:RXY65557 SHU65548:SHU65557 SRQ65548:SRQ65557 TBM65548:TBM65557 TLI65548:TLI65557 TVE65548:TVE65557 UFA65548:UFA65557 UOW65548:UOW65557 UYS65548:UYS65557 VIO65548:VIO65557 VSK65548:VSK65557 WCG65548:WCG65557 WMC65548:WMC65557 WVY65548:WVY65557 G131084:G131093 JM131084:JM131093 TI131084:TI131093 ADE131084:ADE131093 ANA131084:ANA131093 AWW131084:AWW131093 BGS131084:BGS131093 BQO131084:BQO131093 CAK131084:CAK131093 CKG131084:CKG131093 CUC131084:CUC131093 DDY131084:DDY131093 DNU131084:DNU131093 DXQ131084:DXQ131093 EHM131084:EHM131093 ERI131084:ERI131093 FBE131084:FBE131093 FLA131084:FLA131093 FUW131084:FUW131093 GES131084:GES131093 GOO131084:GOO131093 GYK131084:GYK131093 HIG131084:HIG131093 HSC131084:HSC131093 IBY131084:IBY131093 ILU131084:ILU131093 IVQ131084:IVQ131093 JFM131084:JFM131093 JPI131084:JPI131093 JZE131084:JZE131093 KJA131084:KJA131093 KSW131084:KSW131093 LCS131084:LCS131093 LMO131084:LMO131093 LWK131084:LWK131093 MGG131084:MGG131093 MQC131084:MQC131093 MZY131084:MZY131093 NJU131084:NJU131093 NTQ131084:NTQ131093 ODM131084:ODM131093 ONI131084:ONI131093 OXE131084:OXE131093 PHA131084:PHA131093 PQW131084:PQW131093 QAS131084:QAS131093 QKO131084:QKO131093 QUK131084:QUK131093 REG131084:REG131093 ROC131084:ROC131093 RXY131084:RXY131093 SHU131084:SHU131093 SRQ131084:SRQ131093 TBM131084:TBM131093 TLI131084:TLI131093 TVE131084:TVE131093 UFA131084:UFA131093 UOW131084:UOW131093 UYS131084:UYS131093 VIO131084:VIO131093 VSK131084:VSK131093 WCG131084:WCG131093 WMC131084:WMC131093 WVY131084:WVY131093 G196620:G196629 JM196620:JM196629 TI196620:TI196629 ADE196620:ADE196629 ANA196620:ANA196629 AWW196620:AWW196629 BGS196620:BGS196629 BQO196620:BQO196629 CAK196620:CAK196629 CKG196620:CKG196629 CUC196620:CUC196629 DDY196620:DDY196629 DNU196620:DNU196629 DXQ196620:DXQ196629 EHM196620:EHM196629 ERI196620:ERI196629 FBE196620:FBE196629 FLA196620:FLA196629 FUW196620:FUW196629 GES196620:GES196629 GOO196620:GOO196629 GYK196620:GYK196629 HIG196620:HIG196629 HSC196620:HSC196629 IBY196620:IBY196629 ILU196620:ILU196629 IVQ196620:IVQ196629 JFM196620:JFM196629 JPI196620:JPI196629 JZE196620:JZE196629 KJA196620:KJA196629 KSW196620:KSW196629 LCS196620:LCS196629 LMO196620:LMO196629 LWK196620:LWK196629 MGG196620:MGG196629 MQC196620:MQC196629 MZY196620:MZY196629 NJU196620:NJU196629 NTQ196620:NTQ196629 ODM196620:ODM196629 ONI196620:ONI196629 OXE196620:OXE196629 PHA196620:PHA196629 PQW196620:PQW196629 QAS196620:QAS196629 QKO196620:QKO196629 QUK196620:QUK196629 REG196620:REG196629 ROC196620:ROC196629 RXY196620:RXY196629 SHU196620:SHU196629 SRQ196620:SRQ196629 TBM196620:TBM196629 TLI196620:TLI196629 TVE196620:TVE196629 UFA196620:UFA196629 UOW196620:UOW196629 UYS196620:UYS196629 VIO196620:VIO196629 VSK196620:VSK196629 WCG196620:WCG196629 WMC196620:WMC196629 WVY196620:WVY196629 G262156:G262165 JM262156:JM262165 TI262156:TI262165 ADE262156:ADE262165 ANA262156:ANA262165 AWW262156:AWW262165 BGS262156:BGS262165 BQO262156:BQO262165 CAK262156:CAK262165 CKG262156:CKG262165 CUC262156:CUC262165 DDY262156:DDY262165 DNU262156:DNU262165 DXQ262156:DXQ262165 EHM262156:EHM262165 ERI262156:ERI262165 FBE262156:FBE262165 FLA262156:FLA262165 FUW262156:FUW262165 GES262156:GES262165 GOO262156:GOO262165 GYK262156:GYK262165 HIG262156:HIG262165 HSC262156:HSC262165 IBY262156:IBY262165 ILU262156:ILU262165 IVQ262156:IVQ262165 JFM262156:JFM262165 JPI262156:JPI262165 JZE262156:JZE262165 KJA262156:KJA262165 KSW262156:KSW262165 LCS262156:LCS262165 LMO262156:LMO262165 LWK262156:LWK262165 MGG262156:MGG262165 MQC262156:MQC262165 MZY262156:MZY262165 NJU262156:NJU262165 NTQ262156:NTQ262165 ODM262156:ODM262165 ONI262156:ONI262165 OXE262156:OXE262165 PHA262156:PHA262165 PQW262156:PQW262165 QAS262156:QAS262165 QKO262156:QKO262165 QUK262156:QUK262165 REG262156:REG262165 ROC262156:ROC262165 RXY262156:RXY262165 SHU262156:SHU262165 SRQ262156:SRQ262165 TBM262156:TBM262165 TLI262156:TLI262165 TVE262156:TVE262165 UFA262156:UFA262165 UOW262156:UOW262165 UYS262156:UYS262165 VIO262156:VIO262165 VSK262156:VSK262165 WCG262156:WCG262165 WMC262156:WMC262165 WVY262156:WVY262165 G327692:G327701 JM327692:JM327701 TI327692:TI327701 ADE327692:ADE327701 ANA327692:ANA327701 AWW327692:AWW327701 BGS327692:BGS327701 BQO327692:BQO327701 CAK327692:CAK327701 CKG327692:CKG327701 CUC327692:CUC327701 DDY327692:DDY327701 DNU327692:DNU327701 DXQ327692:DXQ327701 EHM327692:EHM327701 ERI327692:ERI327701 FBE327692:FBE327701 FLA327692:FLA327701 FUW327692:FUW327701 GES327692:GES327701 GOO327692:GOO327701 GYK327692:GYK327701 HIG327692:HIG327701 HSC327692:HSC327701 IBY327692:IBY327701 ILU327692:ILU327701 IVQ327692:IVQ327701 JFM327692:JFM327701 JPI327692:JPI327701 JZE327692:JZE327701 KJA327692:KJA327701 KSW327692:KSW327701 LCS327692:LCS327701 LMO327692:LMO327701 LWK327692:LWK327701 MGG327692:MGG327701 MQC327692:MQC327701 MZY327692:MZY327701 NJU327692:NJU327701 NTQ327692:NTQ327701 ODM327692:ODM327701 ONI327692:ONI327701 OXE327692:OXE327701 PHA327692:PHA327701 PQW327692:PQW327701 QAS327692:QAS327701 QKO327692:QKO327701 QUK327692:QUK327701 REG327692:REG327701 ROC327692:ROC327701 RXY327692:RXY327701 SHU327692:SHU327701 SRQ327692:SRQ327701 TBM327692:TBM327701 TLI327692:TLI327701 TVE327692:TVE327701 UFA327692:UFA327701 UOW327692:UOW327701 UYS327692:UYS327701 VIO327692:VIO327701 VSK327692:VSK327701 WCG327692:WCG327701 WMC327692:WMC327701 WVY327692:WVY327701 G393228:G393237 JM393228:JM393237 TI393228:TI393237 ADE393228:ADE393237 ANA393228:ANA393237 AWW393228:AWW393237 BGS393228:BGS393237 BQO393228:BQO393237 CAK393228:CAK393237 CKG393228:CKG393237 CUC393228:CUC393237 DDY393228:DDY393237 DNU393228:DNU393237 DXQ393228:DXQ393237 EHM393228:EHM393237 ERI393228:ERI393237 FBE393228:FBE393237 FLA393228:FLA393237 FUW393228:FUW393237 GES393228:GES393237 GOO393228:GOO393237 GYK393228:GYK393237 HIG393228:HIG393237 HSC393228:HSC393237 IBY393228:IBY393237 ILU393228:ILU393237 IVQ393228:IVQ393237 JFM393228:JFM393237 JPI393228:JPI393237 JZE393228:JZE393237 KJA393228:KJA393237 KSW393228:KSW393237 LCS393228:LCS393237 LMO393228:LMO393237 LWK393228:LWK393237 MGG393228:MGG393237 MQC393228:MQC393237 MZY393228:MZY393237 NJU393228:NJU393237 NTQ393228:NTQ393237 ODM393228:ODM393237 ONI393228:ONI393237 OXE393228:OXE393237 PHA393228:PHA393237 PQW393228:PQW393237 QAS393228:QAS393237 QKO393228:QKO393237 QUK393228:QUK393237 REG393228:REG393237 ROC393228:ROC393237 RXY393228:RXY393237 SHU393228:SHU393237 SRQ393228:SRQ393237 TBM393228:TBM393237 TLI393228:TLI393237 TVE393228:TVE393237 UFA393228:UFA393237 UOW393228:UOW393237 UYS393228:UYS393237 VIO393228:VIO393237 VSK393228:VSK393237 WCG393228:WCG393237 WMC393228:WMC393237 WVY393228:WVY393237 G458764:G458773 JM458764:JM458773 TI458764:TI458773 ADE458764:ADE458773 ANA458764:ANA458773 AWW458764:AWW458773 BGS458764:BGS458773 BQO458764:BQO458773 CAK458764:CAK458773 CKG458764:CKG458773 CUC458764:CUC458773 DDY458764:DDY458773 DNU458764:DNU458773 DXQ458764:DXQ458773 EHM458764:EHM458773 ERI458764:ERI458773 FBE458764:FBE458773 FLA458764:FLA458773 FUW458764:FUW458773 GES458764:GES458773 GOO458764:GOO458773 GYK458764:GYK458773 HIG458764:HIG458773 HSC458764:HSC458773 IBY458764:IBY458773 ILU458764:ILU458773 IVQ458764:IVQ458773 JFM458764:JFM458773 JPI458764:JPI458773 JZE458764:JZE458773 KJA458764:KJA458773 KSW458764:KSW458773 LCS458764:LCS458773 LMO458764:LMO458773 LWK458764:LWK458773 MGG458764:MGG458773 MQC458764:MQC458773 MZY458764:MZY458773 NJU458764:NJU458773 NTQ458764:NTQ458773 ODM458764:ODM458773 ONI458764:ONI458773 OXE458764:OXE458773 PHA458764:PHA458773 PQW458764:PQW458773 QAS458764:QAS458773 QKO458764:QKO458773 QUK458764:QUK458773 REG458764:REG458773 ROC458764:ROC458773 RXY458764:RXY458773 SHU458764:SHU458773 SRQ458764:SRQ458773 TBM458764:TBM458773 TLI458764:TLI458773 TVE458764:TVE458773 UFA458764:UFA458773 UOW458764:UOW458773 UYS458764:UYS458773 VIO458764:VIO458773 VSK458764:VSK458773 WCG458764:WCG458773 WMC458764:WMC458773 WVY458764:WVY458773 G524300:G524309 JM524300:JM524309 TI524300:TI524309 ADE524300:ADE524309 ANA524300:ANA524309 AWW524300:AWW524309 BGS524300:BGS524309 BQO524300:BQO524309 CAK524300:CAK524309 CKG524300:CKG524309 CUC524300:CUC524309 DDY524300:DDY524309 DNU524300:DNU524309 DXQ524300:DXQ524309 EHM524300:EHM524309 ERI524300:ERI524309 FBE524300:FBE524309 FLA524300:FLA524309 FUW524300:FUW524309 GES524300:GES524309 GOO524300:GOO524309 GYK524300:GYK524309 HIG524300:HIG524309 HSC524300:HSC524309 IBY524300:IBY524309 ILU524300:ILU524309 IVQ524300:IVQ524309 JFM524300:JFM524309 JPI524300:JPI524309 JZE524300:JZE524309 KJA524300:KJA524309 KSW524300:KSW524309 LCS524300:LCS524309 LMO524300:LMO524309 LWK524300:LWK524309 MGG524300:MGG524309 MQC524300:MQC524309 MZY524300:MZY524309 NJU524300:NJU524309 NTQ524300:NTQ524309 ODM524300:ODM524309 ONI524300:ONI524309 OXE524300:OXE524309 PHA524300:PHA524309 PQW524300:PQW524309 QAS524300:QAS524309 QKO524300:QKO524309 QUK524300:QUK524309 REG524300:REG524309 ROC524300:ROC524309 RXY524300:RXY524309 SHU524300:SHU524309 SRQ524300:SRQ524309 TBM524300:TBM524309 TLI524300:TLI524309 TVE524300:TVE524309 UFA524300:UFA524309 UOW524300:UOW524309 UYS524300:UYS524309 VIO524300:VIO524309 VSK524300:VSK524309 WCG524300:WCG524309 WMC524300:WMC524309 WVY524300:WVY524309 G589836:G589845 JM589836:JM589845 TI589836:TI589845 ADE589836:ADE589845 ANA589836:ANA589845 AWW589836:AWW589845 BGS589836:BGS589845 BQO589836:BQO589845 CAK589836:CAK589845 CKG589836:CKG589845 CUC589836:CUC589845 DDY589836:DDY589845 DNU589836:DNU589845 DXQ589836:DXQ589845 EHM589836:EHM589845 ERI589836:ERI589845 FBE589836:FBE589845 FLA589836:FLA589845 FUW589836:FUW589845 GES589836:GES589845 GOO589836:GOO589845 GYK589836:GYK589845 HIG589836:HIG589845 HSC589836:HSC589845 IBY589836:IBY589845 ILU589836:ILU589845 IVQ589836:IVQ589845 JFM589836:JFM589845 JPI589836:JPI589845 JZE589836:JZE589845 KJA589836:KJA589845 KSW589836:KSW589845 LCS589836:LCS589845 LMO589836:LMO589845 LWK589836:LWK589845 MGG589836:MGG589845 MQC589836:MQC589845 MZY589836:MZY589845 NJU589836:NJU589845 NTQ589836:NTQ589845 ODM589836:ODM589845 ONI589836:ONI589845 OXE589836:OXE589845 PHA589836:PHA589845 PQW589836:PQW589845 QAS589836:QAS589845 QKO589836:QKO589845 QUK589836:QUK589845 REG589836:REG589845 ROC589836:ROC589845 RXY589836:RXY589845 SHU589836:SHU589845 SRQ589836:SRQ589845 TBM589836:TBM589845 TLI589836:TLI589845 TVE589836:TVE589845 UFA589836:UFA589845 UOW589836:UOW589845 UYS589836:UYS589845 VIO589836:VIO589845 VSK589836:VSK589845 WCG589836:WCG589845 WMC589836:WMC589845 WVY589836:WVY589845 G655372:G655381 JM655372:JM655381 TI655372:TI655381 ADE655372:ADE655381 ANA655372:ANA655381 AWW655372:AWW655381 BGS655372:BGS655381 BQO655372:BQO655381 CAK655372:CAK655381 CKG655372:CKG655381 CUC655372:CUC655381 DDY655372:DDY655381 DNU655372:DNU655381 DXQ655372:DXQ655381 EHM655372:EHM655381 ERI655372:ERI655381 FBE655372:FBE655381 FLA655372:FLA655381 FUW655372:FUW655381 GES655372:GES655381 GOO655372:GOO655381 GYK655372:GYK655381 HIG655372:HIG655381 HSC655372:HSC655381 IBY655372:IBY655381 ILU655372:ILU655381 IVQ655372:IVQ655381 JFM655372:JFM655381 JPI655372:JPI655381 JZE655372:JZE655381 KJA655372:KJA655381 KSW655372:KSW655381 LCS655372:LCS655381 LMO655372:LMO655381 LWK655372:LWK655381 MGG655372:MGG655381 MQC655372:MQC655381 MZY655372:MZY655381 NJU655372:NJU655381 NTQ655372:NTQ655381 ODM655372:ODM655381 ONI655372:ONI655381 OXE655372:OXE655381 PHA655372:PHA655381 PQW655372:PQW655381 QAS655372:QAS655381 QKO655372:QKO655381 QUK655372:QUK655381 REG655372:REG655381 ROC655372:ROC655381 RXY655372:RXY655381 SHU655372:SHU655381 SRQ655372:SRQ655381 TBM655372:TBM655381 TLI655372:TLI655381 TVE655372:TVE655381 UFA655372:UFA655381 UOW655372:UOW655381 UYS655372:UYS655381 VIO655372:VIO655381 VSK655372:VSK655381 WCG655372:WCG655381 WMC655372:WMC655381 WVY655372:WVY655381 G720908:G720917 JM720908:JM720917 TI720908:TI720917 ADE720908:ADE720917 ANA720908:ANA720917 AWW720908:AWW720917 BGS720908:BGS720917 BQO720908:BQO720917 CAK720908:CAK720917 CKG720908:CKG720917 CUC720908:CUC720917 DDY720908:DDY720917 DNU720908:DNU720917 DXQ720908:DXQ720917 EHM720908:EHM720917 ERI720908:ERI720917 FBE720908:FBE720917 FLA720908:FLA720917 FUW720908:FUW720917 GES720908:GES720917 GOO720908:GOO720917 GYK720908:GYK720917 HIG720908:HIG720917 HSC720908:HSC720917 IBY720908:IBY720917 ILU720908:ILU720917 IVQ720908:IVQ720917 JFM720908:JFM720917 JPI720908:JPI720917 JZE720908:JZE720917 KJA720908:KJA720917 KSW720908:KSW720917 LCS720908:LCS720917 LMO720908:LMO720917 LWK720908:LWK720917 MGG720908:MGG720917 MQC720908:MQC720917 MZY720908:MZY720917 NJU720908:NJU720917 NTQ720908:NTQ720917 ODM720908:ODM720917 ONI720908:ONI720917 OXE720908:OXE720917 PHA720908:PHA720917 PQW720908:PQW720917 QAS720908:QAS720917 QKO720908:QKO720917 QUK720908:QUK720917 REG720908:REG720917 ROC720908:ROC720917 RXY720908:RXY720917 SHU720908:SHU720917 SRQ720908:SRQ720917 TBM720908:TBM720917 TLI720908:TLI720917 TVE720908:TVE720917 UFA720908:UFA720917 UOW720908:UOW720917 UYS720908:UYS720917 VIO720908:VIO720917 VSK720908:VSK720917 WCG720908:WCG720917 WMC720908:WMC720917 WVY720908:WVY720917 G786444:G786453 JM786444:JM786453 TI786444:TI786453 ADE786444:ADE786453 ANA786444:ANA786453 AWW786444:AWW786453 BGS786444:BGS786453 BQO786444:BQO786453 CAK786444:CAK786453 CKG786444:CKG786453 CUC786444:CUC786453 DDY786444:DDY786453 DNU786444:DNU786453 DXQ786444:DXQ786453 EHM786444:EHM786453 ERI786444:ERI786453 FBE786444:FBE786453 FLA786444:FLA786453 FUW786444:FUW786453 GES786444:GES786453 GOO786444:GOO786453 GYK786444:GYK786453 HIG786444:HIG786453 HSC786444:HSC786453 IBY786444:IBY786453 ILU786444:ILU786453 IVQ786444:IVQ786453 JFM786444:JFM786453 JPI786444:JPI786453 JZE786444:JZE786453 KJA786444:KJA786453 KSW786444:KSW786453 LCS786444:LCS786453 LMO786444:LMO786453 LWK786444:LWK786453 MGG786444:MGG786453 MQC786444:MQC786453 MZY786444:MZY786453 NJU786444:NJU786453 NTQ786444:NTQ786453 ODM786444:ODM786453 ONI786444:ONI786453 OXE786444:OXE786453 PHA786444:PHA786453 PQW786444:PQW786453 QAS786444:QAS786453 QKO786444:QKO786453 QUK786444:QUK786453 REG786444:REG786453 ROC786444:ROC786453 RXY786444:RXY786453 SHU786444:SHU786453 SRQ786444:SRQ786453 TBM786444:TBM786453 TLI786444:TLI786453 TVE786444:TVE786453 UFA786444:UFA786453 UOW786444:UOW786453 UYS786444:UYS786453 VIO786444:VIO786453 VSK786444:VSK786453 WCG786444:WCG786453 WMC786444:WMC786453 WVY786444:WVY786453 G851980:G851989 JM851980:JM851989 TI851980:TI851989 ADE851980:ADE851989 ANA851980:ANA851989 AWW851980:AWW851989 BGS851980:BGS851989 BQO851980:BQO851989 CAK851980:CAK851989 CKG851980:CKG851989 CUC851980:CUC851989 DDY851980:DDY851989 DNU851980:DNU851989 DXQ851980:DXQ851989 EHM851980:EHM851989 ERI851980:ERI851989 FBE851980:FBE851989 FLA851980:FLA851989 FUW851980:FUW851989 GES851980:GES851989 GOO851980:GOO851989 GYK851980:GYK851989 HIG851980:HIG851989 HSC851980:HSC851989 IBY851980:IBY851989 ILU851980:ILU851989 IVQ851980:IVQ851989 JFM851980:JFM851989 JPI851980:JPI851989 JZE851980:JZE851989 KJA851980:KJA851989 KSW851980:KSW851989 LCS851980:LCS851989 LMO851980:LMO851989 LWK851980:LWK851989 MGG851980:MGG851989 MQC851980:MQC851989 MZY851980:MZY851989 NJU851980:NJU851989 NTQ851980:NTQ851989 ODM851980:ODM851989 ONI851980:ONI851989 OXE851980:OXE851989 PHA851980:PHA851989 PQW851980:PQW851989 QAS851980:QAS851989 QKO851980:QKO851989 QUK851980:QUK851989 REG851980:REG851989 ROC851980:ROC851989 RXY851980:RXY851989 SHU851980:SHU851989 SRQ851980:SRQ851989 TBM851980:TBM851989 TLI851980:TLI851989 TVE851980:TVE851989 UFA851980:UFA851989 UOW851980:UOW851989 UYS851980:UYS851989 VIO851980:VIO851989 VSK851980:VSK851989 WCG851980:WCG851989 WMC851980:WMC851989 WVY851980:WVY851989 G917516:G917525 JM917516:JM917525 TI917516:TI917525 ADE917516:ADE917525 ANA917516:ANA917525 AWW917516:AWW917525 BGS917516:BGS917525 BQO917516:BQO917525 CAK917516:CAK917525 CKG917516:CKG917525 CUC917516:CUC917525 DDY917516:DDY917525 DNU917516:DNU917525 DXQ917516:DXQ917525 EHM917516:EHM917525 ERI917516:ERI917525 FBE917516:FBE917525 FLA917516:FLA917525 FUW917516:FUW917525 GES917516:GES917525 GOO917516:GOO917525 GYK917516:GYK917525 HIG917516:HIG917525 HSC917516:HSC917525 IBY917516:IBY917525 ILU917516:ILU917525 IVQ917516:IVQ917525 JFM917516:JFM917525 JPI917516:JPI917525 JZE917516:JZE917525 KJA917516:KJA917525 KSW917516:KSW917525 LCS917516:LCS917525 LMO917516:LMO917525 LWK917516:LWK917525 MGG917516:MGG917525 MQC917516:MQC917525 MZY917516:MZY917525 NJU917516:NJU917525 NTQ917516:NTQ917525 ODM917516:ODM917525 ONI917516:ONI917525 OXE917516:OXE917525 PHA917516:PHA917525 PQW917516:PQW917525 QAS917516:QAS917525 QKO917516:QKO917525 QUK917516:QUK917525 REG917516:REG917525 ROC917516:ROC917525 RXY917516:RXY917525 SHU917516:SHU917525 SRQ917516:SRQ917525 TBM917516:TBM917525 TLI917516:TLI917525 TVE917516:TVE917525 UFA917516:UFA917525 UOW917516:UOW917525 UYS917516:UYS917525 VIO917516:VIO917525 VSK917516:VSK917525 WCG917516:WCG917525 WMC917516:WMC917525 WVY917516:WVY917525 G983052:G983061 JM983052:JM983061 TI983052:TI983061 ADE983052:ADE983061 ANA983052:ANA983061 AWW983052:AWW983061 BGS983052:BGS983061 BQO983052:BQO983061 CAK983052:CAK983061 CKG983052:CKG983061 CUC983052:CUC983061 DDY983052:DDY983061 DNU983052:DNU983061 DXQ983052:DXQ983061 EHM983052:EHM983061 ERI983052:ERI983061 FBE983052:FBE983061 FLA983052:FLA983061 FUW983052:FUW983061 GES983052:GES983061 GOO983052:GOO983061 GYK983052:GYK983061 HIG983052:HIG983061 HSC983052:HSC983061 IBY983052:IBY983061 ILU983052:ILU983061 IVQ983052:IVQ983061 JFM983052:JFM983061 JPI983052:JPI983061 JZE983052:JZE983061 KJA983052:KJA983061 KSW983052:KSW983061 LCS983052:LCS983061 LMO983052:LMO983061 LWK983052:LWK983061 MGG983052:MGG983061 MQC983052:MQC983061 MZY983052:MZY983061 NJU983052:NJU983061 NTQ983052:NTQ983061 ODM983052:ODM983061 ONI983052:ONI983061 OXE983052:OXE983061 PHA983052:PHA983061 PQW983052:PQW983061 QAS983052:QAS983061 QKO983052:QKO983061 QUK983052:QUK983061 REG983052:REG983061 ROC983052:ROC983061 RXY983052:RXY983061 SHU983052:SHU983061 SRQ983052:SRQ983061 TBM983052:TBM983061 TLI983052:TLI983061 TVE983052:TVE983061 UFA983052:UFA983061 UOW983052:UOW983061 UYS983052:UYS983061 VIO983052:VIO983061 VSK983052:VSK983061 WCG983052:WCG983061 WMC983052:WMC983061" xr:uid="{B1B200B4-06A9-42D8-AFA2-59DFF9AA9C1C}">
      <formula1>"ind,prof"</formula1>
    </dataValidation>
    <dataValidation type="list" allowBlank="1" showInputMessage="1" showErrorMessage="1" error="data input not valid; please select from list" sqref="JL12:JL22 TH12:TH22 ADD12:ADD22 AMZ12:AMZ22 AWV12:AWV22 BGR12:BGR22 BQN12:BQN22 CAJ12:CAJ22 CKF12:CKF22 CUB12:CUB22 DDX12:DDX22 DNT12:DNT22 DXP12:DXP22 EHL12:EHL22 ERH12:ERH22 FBD12:FBD22 FKZ12:FKZ22 FUV12:FUV22 GER12:GER22 GON12:GON22 GYJ12:GYJ22 HIF12:HIF22 HSB12:HSB22 IBX12:IBX22 ILT12:ILT22 IVP12:IVP22 JFL12:JFL22 JPH12:JPH22 JZD12:JZD22 KIZ12:KIZ22 KSV12:KSV22 LCR12:LCR22 LMN12:LMN22 LWJ12:LWJ22 MGF12:MGF22 MQB12:MQB22 MZX12:MZX22 NJT12:NJT22 NTP12:NTP22 ODL12:ODL22 ONH12:ONH22 OXD12:OXD22 PGZ12:PGZ22 PQV12:PQV22 QAR12:QAR22 QKN12:QKN22 QUJ12:QUJ22 REF12:REF22 ROB12:ROB22 RXX12:RXX22 SHT12:SHT22 SRP12:SRP22 TBL12:TBL22 TLH12:TLH22 TVD12:TVD22 UEZ12:UEZ22 UOV12:UOV22 UYR12:UYR22 VIN12:VIN22 VSJ12:VSJ22 WCF12:WCF22 WMB12:WMB22 WVX12:WVX22 F65548:F65558 JL65548:JL65558 TH65548:TH65558 ADD65548:ADD65558 AMZ65548:AMZ65558 AWV65548:AWV65558 BGR65548:BGR65558 BQN65548:BQN65558 CAJ65548:CAJ65558 CKF65548:CKF65558 CUB65548:CUB65558 DDX65548:DDX65558 DNT65548:DNT65558 DXP65548:DXP65558 EHL65548:EHL65558 ERH65548:ERH65558 FBD65548:FBD65558 FKZ65548:FKZ65558 FUV65548:FUV65558 GER65548:GER65558 GON65548:GON65558 GYJ65548:GYJ65558 HIF65548:HIF65558 HSB65548:HSB65558 IBX65548:IBX65558 ILT65548:ILT65558 IVP65548:IVP65558 JFL65548:JFL65558 JPH65548:JPH65558 JZD65548:JZD65558 KIZ65548:KIZ65558 KSV65548:KSV65558 LCR65548:LCR65558 LMN65548:LMN65558 LWJ65548:LWJ65558 MGF65548:MGF65558 MQB65548:MQB65558 MZX65548:MZX65558 NJT65548:NJT65558 NTP65548:NTP65558 ODL65548:ODL65558 ONH65548:ONH65558 OXD65548:OXD65558 PGZ65548:PGZ65558 PQV65548:PQV65558 QAR65548:QAR65558 QKN65548:QKN65558 QUJ65548:QUJ65558 REF65548:REF65558 ROB65548:ROB65558 RXX65548:RXX65558 SHT65548:SHT65558 SRP65548:SRP65558 TBL65548:TBL65558 TLH65548:TLH65558 TVD65548:TVD65558 UEZ65548:UEZ65558 UOV65548:UOV65558 UYR65548:UYR65558 VIN65548:VIN65558 VSJ65548:VSJ65558 WCF65548:WCF65558 WMB65548:WMB65558 WVX65548:WVX65558 F131084:F131094 JL131084:JL131094 TH131084:TH131094 ADD131084:ADD131094 AMZ131084:AMZ131094 AWV131084:AWV131094 BGR131084:BGR131094 BQN131084:BQN131094 CAJ131084:CAJ131094 CKF131084:CKF131094 CUB131084:CUB131094 DDX131084:DDX131094 DNT131084:DNT131094 DXP131084:DXP131094 EHL131084:EHL131094 ERH131084:ERH131094 FBD131084:FBD131094 FKZ131084:FKZ131094 FUV131084:FUV131094 GER131084:GER131094 GON131084:GON131094 GYJ131084:GYJ131094 HIF131084:HIF131094 HSB131084:HSB131094 IBX131084:IBX131094 ILT131084:ILT131094 IVP131084:IVP131094 JFL131084:JFL131094 JPH131084:JPH131094 JZD131084:JZD131094 KIZ131084:KIZ131094 KSV131084:KSV131094 LCR131084:LCR131094 LMN131084:LMN131094 LWJ131084:LWJ131094 MGF131084:MGF131094 MQB131084:MQB131094 MZX131084:MZX131094 NJT131084:NJT131094 NTP131084:NTP131094 ODL131084:ODL131094 ONH131084:ONH131094 OXD131084:OXD131094 PGZ131084:PGZ131094 PQV131084:PQV131094 QAR131084:QAR131094 QKN131084:QKN131094 QUJ131084:QUJ131094 REF131084:REF131094 ROB131084:ROB131094 RXX131084:RXX131094 SHT131084:SHT131094 SRP131084:SRP131094 TBL131084:TBL131094 TLH131084:TLH131094 TVD131084:TVD131094 UEZ131084:UEZ131094 UOV131084:UOV131094 UYR131084:UYR131094 VIN131084:VIN131094 VSJ131084:VSJ131094 WCF131084:WCF131094 WMB131084:WMB131094 WVX131084:WVX131094 F196620:F196630 JL196620:JL196630 TH196620:TH196630 ADD196620:ADD196630 AMZ196620:AMZ196630 AWV196620:AWV196630 BGR196620:BGR196630 BQN196620:BQN196630 CAJ196620:CAJ196630 CKF196620:CKF196630 CUB196620:CUB196630 DDX196620:DDX196630 DNT196620:DNT196630 DXP196620:DXP196630 EHL196620:EHL196630 ERH196620:ERH196630 FBD196620:FBD196630 FKZ196620:FKZ196630 FUV196620:FUV196630 GER196620:GER196630 GON196620:GON196630 GYJ196620:GYJ196630 HIF196620:HIF196630 HSB196620:HSB196630 IBX196620:IBX196630 ILT196620:ILT196630 IVP196620:IVP196630 JFL196620:JFL196630 JPH196620:JPH196630 JZD196620:JZD196630 KIZ196620:KIZ196630 KSV196620:KSV196630 LCR196620:LCR196630 LMN196620:LMN196630 LWJ196620:LWJ196630 MGF196620:MGF196630 MQB196620:MQB196630 MZX196620:MZX196630 NJT196620:NJT196630 NTP196620:NTP196630 ODL196620:ODL196630 ONH196620:ONH196630 OXD196620:OXD196630 PGZ196620:PGZ196630 PQV196620:PQV196630 QAR196620:QAR196630 QKN196620:QKN196630 QUJ196620:QUJ196630 REF196620:REF196630 ROB196620:ROB196630 RXX196620:RXX196630 SHT196620:SHT196630 SRP196620:SRP196630 TBL196620:TBL196630 TLH196620:TLH196630 TVD196620:TVD196630 UEZ196620:UEZ196630 UOV196620:UOV196630 UYR196620:UYR196630 VIN196620:VIN196630 VSJ196620:VSJ196630 WCF196620:WCF196630 WMB196620:WMB196630 WVX196620:WVX196630 F262156:F262166 JL262156:JL262166 TH262156:TH262166 ADD262156:ADD262166 AMZ262156:AMZ262166 AWV262156:AWV262166 BGR262156:BGR262166 BQN262156:BQN262166 CAJ262156:CAJ262166 CKF262156:CKF262166 CUB262156:CUB262166 DDX262156:DDX262166 DNT262156:DNT262166 DXP262156:DXP262166 EHL262156:EHL262166 ERH262156:ERH262166 FBD262156:FBD262166 FKZ262156:FKZ262166 FUV262156:FUV262166 GER262156:GER262166 GON262156:GON262166 GYJ262156:GYJ262166 HIF262156:HIF262166 HSB262156:HSB262166 IBX262156:IBX262166 ILT262156:ILT262166 IVP262156:IVP262166 JFL262156:JFL262166 JPH262156:JPH262166 JZD262156:JZD262166 KIZ262156:KIZ262166 KSV262156:KSV262166 LCR262156:LCR262166 LMN262156:LMN262166 LWJ262156:LWJ262166 MGF262156:MGF262166 MQB262156:MQB262166 MZX262156:MZX262166 NJT262156:NJT262166 NTP262156:NTP262166 ODL262156:ODL262166 ONH262156:ONH262166 OXD262156:OXD262166 PGZ262156:PGZ262166 PQV262156:PQV262166 QAR262156:QAR262166 QKN262156:QKN262166 QUJ262156:QUJ262166 REF262156:REF262166 ROB262156:ROB262166 RXX262156:RXX262166 SHT262156:SHT262166 SRP262156:SRP262166 TBL262156:TBL262166 TLH262156:TLH262166 TVD262156:TVD262166 UEZ262156:UEZ262166 UOV262156:UOV262166 UYR262156:UYR262166 VIN262156:VIN262166 VSJ262156:VSJ262166 WCF262156:WCF262166 WMB262156:WMB262166 WVX262156:WVX262166 F327692:F327702 JL327692:JL327702 TH327692:TH327702 ADD327692:ADD327702 AMZ327692:AMZ327702 AWV327692:AWV327702 BGR327692:BGR327702 BQN327692:BQN327702 CAJ327692:CAJ327702 CKF327692:CKF327702 CUB327692:CUB327702 DDX327692:DDX327702 DNT327692:DNT327702 DXP327692:DXP327702 EHL327692:EHL327702 ERH327692:ERH327702 FBD327692:FBD327702 FKZ327692:FKZ327702 FUV327692:FUV327702 GER327692:GER327702 GON327692:GON327702 GYJ327692:GYJ327702 HIF327692:HIF327702 HSB327692:HSB327702 IBX327692:IBX327702 ILT327692:ILT327702 IVP327692:IVP327702 JFL327692:JFL327702 JPH327692:JPH327702 JZD327692:JZD327702 KIZ327692:KIZ327702 KSV327692:KSV327702 LCR327692:LCR327702 LMN327692:LMN327702 LWJ327692:LWJ327702 MGF327692:MGF327702 MQB327692:MQB327702 MZX327692:MZX327702 NJT327692:NJT327702 NTP327692:NTP327702 ODL327692:ODL327702 ONH327692:ONH327702 OXD327692:OXD327702 PGZ327692:PGZ327702 PQV327692:PQV327702 QAR327692:QAR327702 QKN327692:QKN327702 QUJ327692:QUJ327702 REF327692:REF327702 ROB327692:ROB327702 RXX327692:RXX327702 SHT327692:SHT327702 SRP327692:SRP327702 TBL327692:TBL327702 TLH327692:TLH327702 TVD327692:TVD327702 UEZ327692:UEZ327702 UOV327692:UOV327702 UYR327692:UYR327702 VIN327692:VIN327702 VSJ327692:VSJ327702 WCF327692:WCF327702 WMB327692:WMB327702 WVX327692:WVX327702 F393228:F393238 JL393228:JL393238 TH393228:TH393238 ADD393228:ADD393238 AMZ393228:AMZ393238 AWV393228:AWV393238 BGR393228:BGR393238 BQN393228:BQN393238 CAJ393228:CAJ393238 CKF393228:CKF393238 CUB393228:CUB393238 DDX393228:DDX393238 DNT393228:DNT393238 DXP393228:DXP393238 EHL393228:EHL393238 ERH393228:ERH393238 FBD393228:FBD393238 FKZ393228:FKZ393238 FUV393228:FUV393238 GER393228:GER393238 GON393228:GON393238 GYJ393228:GYJ393238 HIF393228:HIF393238 HSB393228:HSB393238 IBX393228:IBX393238 ILT393228:ILT393238 IVP393228:IVP393238 JFL393228:JFL393238 JPH393228:JPH393238 JZD393228:JZD393238 KIZ393228:KIZ393238 KSV393228:KSV393238 LCR393228:LCR393238 LMN393228:LMN393238 LWJ393228:LWJ393238 MGF393228:MGF393238 MQB393228:MQB393238 MZX393228:MZX393238 NJT393228:NJT393238 NTP393228:NTP393238 ODL393228:ODL393238 ONH393228:ONH393238 OXD393228:OXD393238 PGZ393228:PGZ393238 PQV393228:PQV393238 QAR393228:QAR393238 QKN393228:QKN393238 QUJ393228:QUJ393238 REF393228:REF393238 ROB393228:ROB393238 RXX393228:RXX393238 SHT393228:SHT393238 SRP393228:SRP393238 TBL393228:TBL393238 TLH393228:TLH393238 TVD393228:TVD393238 UEZ393228:UEZ393238 UOV393228:UOV393238 UYR393228:UYR393238 VIN393228:VIN393238 VSJ393228:VSJ393238 WCF393228:WCF393238 WMB393228:WMB393238 WVX393228:WVX393238 F458764:F458774 JL458764:JL458774 TH458764:TH458774 ADD458764:ADD458774 AMZ458764:AMZ458774 AWV458764:AWV458774 BGR458764:BGR458774 BQN458764:BQN458774 CAJ458764:CAJ458774 CKF458764:CKF458774 CUB458764:CUB458774 DDX458764:DDX458774 DNT458764:DNT458774 DXP458764:DXP458774 EHL458764:EHL458774 ERH458764:ERH458774 FBD458764:FBD458774 FKZ458764:FKZ458774 FUV458764:FUV458774 GER458764:GER458774 GON458764:GON458774 GYJ458764:GYJ458774 HIF458764:HIF458774 HSB458764:HSB458774 IBX458764:IBX458774 ILT458764:ILT458774 IVP458764:IVP458774 JFL458764:JFL458774 JPH458764:JPH458774 JZD458764:JZD458774 KIZ458764:KIZ458774 KSV458764:KSV458774 LCR458764:LCR458774 LMN458764:LMN458774 LWJ458764:LWJ458774 MGF458764:MGF458774 MQB458764:MQB458774 MZX458764:MZX458774 NJT458764:NJT458774 NTP458764:NTP458774 ODL458764:ODL458774 ONH458764:ONH458774 OXD458764:OXD458774 PGZ458764:PGZ458774 PQV458764:PQV458774 QAR458764:QAR458774 QKN458764:QKN458774 QUJ458764:QUJ458774 REF458764:REF458774 ROB458764:ROB458774 RXX458764:RXX458774 SHT458764:SHT458774 SRP458764:SRP458774 TBL458764:TBL458774 TLH458764:TLH458774 TVD458764:TVD458774 UEZ458764:UEZ458774 UOV458764:UOV458774 UYR458764:UYR458774 VIN458764:VIN458774 VSJ458764:VSJ458774 WCF458764:WCF458774 WMB458764:WMB458774 WVX458764:WVX458774 F524300:F524310 JL524300:JL524310 TH524300:TH524310 ADD524300:ADD524310 AMZ524300:AMZ524310 AWV524300:AWV524310 BGR524300:BGR524310 BQN524300:BQN524310 CAJ524300:CAJ524310 CKF524300:CKF524310 CUB524300:CUB524310 DDX524300:DDX524310 DNT524300:DNT524310 DXP524300:DXP524310 EHL524300:EHL524310 ERH524300:ERH524310 FBD524300:FBD524310 FKZ524300:FKZ524310 FUV524300:FUV524310 GER524300:GER524310 GON524300:GON524310 GYJ524300:GYJ524310 HIF524300:HIF524310 HSB524300:HSB524310 IBX524300:IBX524310 ILT524300:ILT524310 IVP524300:IVP524310 JFL524300:JFL524310 JPH524300:JPH524310 JZD524300:JZD524310 KIZ524300:KIZ524310 KSV524300:KSV524310 LCR524300:LCR524310 LMN524300:LMN524310 LWJ524300:LWJ524310 MGF524300:MGF524310 MQB524300:MQB524310 MZX524300:MZX524310 NJT524300:NJT524310 NTP524300:NTP524310 ODL524300:ODL524310 ONH524300:ONH524310 OXD524300:OXD524310 PGZ524300:PGZ524310 PQV524300:PQV524310 QAR524300:QAR524310 QKN524300:QKN524310 QUJ524300:QUJ524310 REF524300:REF524310 ROB524300:ROB524310 RXX524300:RXX524310 SHT524300:SHT524310 SRP524300:SRP524310 TBL524300:TBL524310 TLH524300:TLH524310 TVD524300:TVD524310 UEZ524300:UEZ524310 UOV524300:UOV524310 UYR524300:UYR524310 VIN524300:VIN524310 VSJ524300:VSJ524310 WCF524300:WCF524310 WMB524300:WMB524310 WVX524300:WVX524310 F589836:F589846 JL589836:JL589846 TH589836:TH589846 ADD589836:ADD589846 AMZ589836:AMZ589846 AWV589836:AWV589846 BGR589836:BGR589846 BQN589836:BQN589846 CAJ589836:CAJ589846 CKF589836:CKF589846 CUB589836:CUB589846 DDX589836:DDX589846 DNT589836:DNT589846 DXP589836:DXP589846 EHL589836:EHL589846 ERH589836:ERH589846 FBD589836:FBD589846 FKZ589836:FKZ589846 FUV589836:FUV589846 GER589836:GER589846 GON589836:GON589846 GYJ589836:GYJ589846 HIF589836:HIF589846 HSB589836:HSB589846 IBX589836:IBX589846 ILT589836:ILT589846 IVP589836:IVP589846 JFL589836:JFL589846 JPH589836:JPH589846 JZD589836:JZD589846 KIZ589836:KIZ589846 KSV589836:KSV589846 LCR589836:LCR589846 LMN589836:LMN589846 LWJ589836:LWJ589846 MGF589836:MGF589846 MQB589836:MQB589846 MZX589836:MZX589846 NJT589836:NJT589846 NTP589836:NTP589846 ODL589836:ODL589846 ONH589836:ONH589846 OXD589836:OXD589846 PGZ589836:PGZ589846 PQV589836:PQV589846 QAR589836:QAR589846 QKN589836:QKN589846 QUJ589836:QUJ589846 REF589836:REF589846 ROB589836:ROB589846 RXX589836:RXX589846 SHT589836:SHT589846 SRP589836:SRP589846 TBL589836:TBL589846 TLH589836:TLH589846 TVD589836:TVD589846 UEZ589836:UEZ589846 UOV589836:UOV589846 UYR589836:UYR589846 VIN589836:VIN589846 VSJ589836:VSJ589846 WCF589836:WCF589846 WMB589836:WMB589846 WVX589836:WVX589846 F655372:F655382 JL655372:JL655382 TH655372:TH655382 ADD655372:ADD655382 AMZ655372:AMZ655382 AWV655372:AWV655382 BGR655372:BGR655382 BQN655372:BQN655382 CAJ655372:CAJ655382 CKF655372:CKF655382 CUB655372:CUB655382 DDX655372:DDX655382 DNT655372:DNT655382 DXP655372:DXP655382 EHL655372:EHL655382 ERH655372:ERH655382 FBD655372:FBD655382 FKZ655372:FKZ655382 FUV655372:FUV655382 GER655372:GER655382 GON655372:GON655382 GYJ655372:GYJ655382 HIF655372:HIF655382 HSB655372:HSB655382 IBX655372:IBX655382 ILT655372:ILT655382 IVP655372:IVP655382 JFL655372:JFL655382 JPH655372:JPH655382 JZD655372:JZD655382 KIZ655372:KIZ655382 KSV655372:KSV655382 LCR655372:LCR655382 LMN655372:LMN655382 LWJ655372:LWJ655382 MGF655372:MGF655382 MQB655372:MQB655382 MZX655372:MZX655382 NJT655372:NJT655382 NTP655372:NTP655382 ODL655372:ODL655382 ONH655372:ONH655382 OXD655372:OXD655382 PGZ655372:PGZ655382 PQV655372:PQV655382 QAR655372:QAR655382 QKN655372:QKN655382 QUJ655372:QUJ655382 REF655372:REF655382 ROB655372:ROB655382 RXX655372:RXX655382 SHT655372:SHT655382 SRP655372:SRP655382 TBL655372:TBL655382 TLH655372:TLH655382 TVD655372:TVD655382 UEZ655372:UEZ655382 UOV655372:UOV655382 UYR655372:UYR655382 VIN655372:VIN655382 VSJ655372:VSJ655382 WCF655372:WCF655382 WMB655372:WMB655382 WVX655372:WVX655382 F720908:F720918 JL720908:JL720918 TH720908:TH720918 ADD720908:ADD720918 AMZ720908:AMZ720918 AWV720908:AWV720918 BGR720908:BGR720918 BQN720908:BQN720918 CAJ720908:CAJ720918 CKF720908:CKF720918 CUB720908:CUB720918 DDX720908:DDX720918 DNT720908:DNT720918 DXP720908:DXP720918 EHL720908:EHL720918 ERH720908:ERH720918 FBD720908:FBD720918 FKZ720908:FKZ720918 FUV720908:FUV720918 GER720908:GER720918 GON720908:GON720918 GYJ720908:GYJ720918 HIF720908:HIF720918 HSB720908:HSB720918 IBX720908:IBX720918 ILT720908:ILT720918 IVP720908:IVP720918 JFL720908:JFL720918 JPH720908:JPH720918 JZD720908:JZD720918 KIZ720908:KIZ720918 KSV720908:KSV720918 LCR720908:LCR720918 LMN720908:LMN720918 LWJ720908:LWJ720918 MGF720908:MGF720918 MQB720908:MQB720918 MZX720908:MZX720918 NJT720908:NJT720918 NTP720908:NTP720918 ODL720908:ODL720918 ONH720908:ONH720918 OXD720908:OXD720918 PGZ720908:PGZ720918 PQV720908:PQV720918 QAR720908:QAR720918 QKN720908:QKN720918 QUJ720908:QUJ720918 REF720908:REF720918 ROB720908:ROB720918 RXX720908:RXX720918 SHT720908:SHT720918 SRP720908:SRP720918 TBL720908:TBL720918 TLH720908:TLH720918 TVD720908:TVD720918 UEZ720908:UEZ720918 UOV720908:UOV720918 UYR720908:UYR720918 VIN720908:VIN720918 VSJ720908:VSJ720918 WCF720908:WCF720918 WMB720908:WMB720918 WVX720908:WVX720918 F786444:F786454 JL786444:JL786454 TH786444:TH786454 ADD786444:ADD786454 AMZ786444:AMZ786454 AWV786444:AWV786454 BGR786444:BGR786454 BQN786444:BQN786454 CAJ786444:CAJ786454 CKF786444:CKF786454 CUB786444:CUB786454 DDX786444:DDX786454 DNT786444:DNT786454 DXP786444:DXP786454 EHL786444:EHL786454 ERH786444:ERH786454 FBD786444:FBD786454 FKZ786444:FKZ786454 FUV786444:FUV786454 GER786444:GER786454 GON786444:GON786454 GYJ786444:GYJ786454 HIF786444:HIF786454 HSB786444:HSB786454 IBX786444:IBX786454 ILT786444:ILT786454 IVP786444:IVP786454 JFL786444:JFL786454 JPH786444:JPH786454 JZD786444:JZD786454 KIZ786444:KIZ786454 KSV786444:KSV786454 LCR786444:LCR786454 LMN786444:LMN786454 LWJ786444:LWJ786454 MGF786444:MGF786454 MQB786444:MQB786454 MZX786444:MZX786454 NJT786444:NJT786454 NTP786444:NTP786454 ODL786444:ODL786454 ONH786444:ONH786454 OXD786444:OXD786454 PGZ786444:PGZ786454 PQV786444:PQV786454 QAR786444:QAR786454 QKN786444:QKN786454 QUJ786444:QUJ786454 REF786444:REF786454 ROB786444:ROB786454 RXX786444:RXX786454 SHT786444:SHT786454 SRP786444:SRP786454 TBL786444:TBL786454 TLH786444:TLH786454 TVD786444:TVD786454 UEZ786444:UEZ786454 UOV786444:UOV786454 UYR786444:UYR786454 VIN786444:VIN786454 VSJ786444:VSJ786454 WCF786444:WCF786454 WMB786444:WMB786454 WVX786444:WVX786454 F851980:F851990 JL851980:JL851990 TH851980:TH851990 ADD851980:ADD851990 AMZ851980:AMZ851990 AWV851980:AWV851990 BGR851980:BGR851990 BQN851980:BQN851990 CAJ851980:CAJ851990 CKF851980:CKF851990 CUB851980:CUB851990 DDX851980:DDX851990 DNT851980:DNT851990 DXP851980:DXP851990 EHL851980:EHL851990 ERH851980:ERH851990 FBD851980:FBD851990 FKZ851980:FKZ851990 FUV851980:FUV851990 GER851980:GER851990 GON851980:GON851990 GYJ851980:GYJ851990 HIF851980:HIF851990 HSB851980:HSB851990 IBX851980:IBX851990 ILT851980:ILT851990 IVP851980:IVP851990 JFL851980:JFL851990 JPH851980:JPH851990 JZD851980:JZD851990 KIZ851980:KIZ851990 KSV851980:KSV851990 LCR851980:LCR851990 LMN851980:LMN851990 LWJ851980:LWJ851990 MGF851980:MGF851990 MQB851980:MQB851990 MZX851980:MZX851990 NJT851980:NJT851990 NTP851980:NTP851990 ODL851980:ODL851990 ONH851980:ONH851990 OXD851980:OXD851990 PGZ851980:PGZ851990 PQV851980:PQV851990 QAR851980:QAR851990 QKN851980:QKN851990 QUJ851980:QUJ851990 REF851980:REF851990 ROB851980:ROB851990 RXX851980:RXX851990 SHT851980:SHT851990 SRP851980:SRP851990 TBL851980:TBL851990 TLH851980:TLH851990 TVD851980:TVD851990 UEZ851980:UEZ851990 UOV851980:UOV851990 UYR851980:UYR851990 VIN851980:VIN851990 VSJ851980:VSJ851990 WCF851980:WCF851990 WMB851980:WMB851990 WVX851980:WVX851990 F917516:F917526 JL917516:JL917526 TH917516:TH917526 ADD917516:ADD917526 AMZ917516:AMZ917526 AWV917516:AWV917526 BGR917516:BGR917526 BQN917516:BQN917526 CAJ917516:CAJ917526 CKF917516:CKF917526 CUB917516:CUB917526 DDX917516:DDX917526 DNT917516:DNT917526 DXP917516:DXP917526 EHL917516:EHL917526 ERH917516:ERH917526 FBD917516:FBD917526 FKZ917516:FKZ917526 FUV917516:FUV917526 GER917516:GER917526 GON917516:GON917526 GYJ917516:GYJ917526 HIF917516:HIF917526 HSB917516:HSB917526 IBX917516:IBX917526 ILT917516:ILT917526 IVP917516:IVP917526 JFL917516:JFL917526 JPH917516:JPH917526 JZD917516:JZD917526 KIZ917516:KIZ917526 KSV917516:KSV917526 LCR917516:LCR917526 LMN917516:LMN917526 LWJ917516:LWJ917526 MGF917516:MGF917526 MQB917516:MQB917526 MZX917516:MZX917526 NJT917516:NJT917526 NTP917516:NTP917526 ODL917516:ODL917526 ONH917516:ONH917526 OXD917516:OXD917526 PGZ917516:PGZ917526 PQV917516:PQV917526 QAR917516:QAR917526 QKN917516:QKN917526 QUJ917516:QUJ917526 REF917516:REF917526 ROB917516:ROB917526 RXX917516:RXX917526 SHT917516:SHT917526 SRP917516:SRP917526 TBL917516:TBL917526 TLH917516:TLH917526 TVD917516:TVD917526 UEZ917516:UEZ917526 UOV917516:UOV917526 UYR917516:UYR917526 VIN917516:VIN917526 VSJ917516:VSJ917526 WCF917516:WCF917526 WMB917516:WMB917526 WVX917516:WVX917526 F983052:F983062 JL983052:JL983062 TH983052:TH983062 ADD983052:ADD983062 AMZ983052:AMZ983062 AWV983052:AWV983062 BGR983052:BGR983062 BQN983052:BQN983062 CAJ983052:CAJ983062 CKF983052:CKF983062 CUB983052:CUB983062 DDX983052:DDX983062 DNT983052:DNT983062 DXP983052:DXP983062 EHL983052:EHL983062 ERH983052:ERH983062 FBD983052:FBD983062 FKZ983052:FKZ983062 FUV983052:FUV983062 GER983052:GER983062 GON983052:GON983062 GYJ983052:GYJ983062 HIF983052:HIF983062 HSB983052:HSB983062 IBX983052:IBX983062 ILT983052:ILT983062 IVP983052:IVP983062 JFL983052:JFL983062 JPH983052:JPH983062 JZD983052:JZD983062 KIZ983052:KIZ983062 KSV983052:KSV983062 LCR983052:LCR983062 LMN983052:LMN983062 LWJ983052:LWJ983062 MGF983052:MGF983062 MQB983052:MQB983062 MZX983052:MZX983062 NJT983052:NJT983062 NTP983052:NTP983062 ODL983052:ODL983062 ONH983052:ONH983062 OXD983052:OXD983062 PGZ983052:PGZ983062 PQV983052:PQV983062 QAR983052:QAR983062 QKN983052:QKN983062 QUJ983052:QUJ983062 REF983052:REF983062 ROB983052:ROB983062 RXX983052:RXX983062 SHT983052:SHT983062 SRP983052:SRP983062 TBL983052:TBL983062 TLH983052:TLH983062 TVD983052:TVD983062 UEZ983052:UEZ983062 UOV983052:UOV983062 UYR983052:UYR983062 VIN983052:VIN983062 VSJ983052:VSJ983062 WCF983052:WCF983062 WMB983052:WMB983062 WVX983052:WVX983062" xr:uid="{EB0AF201-F2B0-4DD4-9522-0695E2B83E15}">
      <formula1>"solid,liquid"</formula1>
    </dataValidation>
    <dataValidation allowBlank="1" showInputMessage="1" showErrorMessage="1" error="data input not valid; please select from list" sqref="C10:E10 W12:W31" xr:uid="{D8826276-3B57-452B-BC6F-2DA4AD5BE140}"/>
    <dataValidation allowBlank="1" showErrorMessage="1" sqref="C9:E9" xr:uid="{E917481E-A7D0-44F9-91EE-945698975832}"/>
    <dataValidation type="list" allowBlank="1" showInputMessage="1" showErrorMessage="1" error="data input not valid; please select from list" sqref="D12:D31" xr:uid="{289CC861-E588-41D8-B177-1A8D789E5B39}">
      <formula1>phys.state</formula1>
    </dataValidation>
    <dataValidation type="list" allowBlank="1" showInputMessage="1" showErrorMessage="1" error="data input not valid; please select from list" sqref="E12:E31" xr:uid="{E4568AC7-9D40-4687-A691-A905A96A942D}">
      <formula1>INDIRECT(D12)</formula1>
    </dataValidation>
    <dataValidation type="list" allowBlank="1" showInputMessage="1" showErrorMessage="1" error="data input not valid; please select from list" sqref="C12:C31" xr:uid="{E3B6CBEE-131B-4466-840D-051CD997A2D3}">
      <formula1>indpro</formula1>
    </dataValidation>
    <dataValidation type="list" allowBlank="1" showInputMessage="1" showErrorMessage="1" error="data input not valid; please select from list" sqref="K12:K31" xr:uid="{57232F53-DF35-40F2-AF08-2C0A800B46D1}">
      <formula1>INDIRECT(C12)</formula1>
    </dataValidation>
    <dataValidation type="list" allowBlank="1" showInputMessage="1" showErrorMessage="1" error="data input not valid; please select from list" sqref="F12:F31" xr:uid="{DDF2D4D2-DE7B-464D-B3A0-2B2F51AA4475}">
      <formula1>"outdoors,indoors - no or basic ventilation,indoors - good ventilation,indoors - enhanced ventilation"</formula1>
    </dataValidation>
    <dataValidation type="decimal" operator="greaterThan" allowBlank="1" showInputMessage="1" showErrorMessage="1" error="enter a (correctly formatted) number (greater than zero)" sqref="B9 G6:G9" xr:uid="{385465A7-E486-4C49-B605-3E694AFF8568}">
      <formula1>0</formula1>
    </dataValidation>
    <dataValidation type="decimal" operator="greaterThan" allowBlank="1" showErrorMessage="1" error="enter a (correctly formatted) number (greater than zero)" sqref="N6" xr:uid="{48FAB6BD-1799-4C3D-A034-34179BA0A27E}">
      <formula1>0</formula1>
    </dataValidation>
  </dataValidations>
  <pageMargins left="0.39370078740157483" right="0.39370078740157483" top="0.39370078740157483" bottom="0.39370078740157483" header="0.31496062992125984" footer="0.31496062992125984"/>
  <pageSetup paperSize="9" scale="35" pageOrder="overThenDown"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4BF73FD-9657-4180-A7F3-A0CB937721FD}">
          <x14:formula1>
            <xm:f>TRAlookup!$J$2:$J$28</xm:f>
          </x14:formula1>
          <xm:sqref>B12:B31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B49A-7B54-42FA-B418-C29FC5E5A0BB}">
  <dimension ref="A1:M729"/>
  <sheetViews>
    <sheetView zoomScale="92" zoomScaleNormal="92" workbookViewId="0">
      <pane ySplit="1" topLeftCell="A2" activePane="bottomLeft" state="frozen"/>
      <selection pane="bottomLeft" activeCell="H38" sqref="H38"/>
    </sheetView>
  </sheetViews>
  <sheetFormatPr defaultColWidth="9.109375" defaultRowHeight="13.8" x14ac:dyDescent="0.3"/>
  <cols>
    <col min="1" max="1" width="30.33203125" style="1" customWidth="1"/>
    <col min="2" max="2" width="14.33203125" style="1" customWidth="1"/>
    <col min="3" max="3" width="13" style="1" customWidth="1"/>
    <col min="4" max="4" width="17.109375" style="1" customWidth="1"/>
    <col min="5" max="5" width="20.6640625" style="1" customWidth="1"/>
    <col min="6" max="6" width="22.33203125" style="1" customWidth="1"/>
    <col min="7" max="7" width="8.88671875" style="1" customWidth="1"/>
    <col min="8" max="8" width="39.44140625" style="7" customWidth="1"/>
    <col min="9" max="9" width="7.6640625" style="1" customWidth="1"/>
    <col min="10" max="10" width="15.33203125" style="1" customWidth="1"/>
    <col min="11" max="11" width="25.109375" style="1" customWidth="1"/>
    <col min="12" max="12" width="12.44140625" style="1" customWidth="1"/>
    <col min="13" max="13" width="9.109375" style="1"/>
    <col min="14" max="14" width="12.44140625" style="1" customWidth="1"/>
    <col min="15" max="15" width="14.33203125" style="1" customWidth="1"/>
    <col min="16" max="16" width="22.33203125" style="1" customWidth="1"/>
    <col min="17" max="17" width="19.5546875" style="1" customWidth="1"/>
    <col min="18" max="18" width="17.44140625" style="1" customWidth="1"/>
    <col min="19" max="19" width="15.44140625" style="1" customWidth="1"/>
    <col min="20" max="20" width="14.44140625" style="1" customWidth="1"/>
    <col min="21" max="21" width="15.6640625" style="1" customWidth="1"/>
    <col min="22" max="22" width="12.88671875" style="1" customWidth="1"/>
    <col min="23" max="23" width="15.6640625" style="1" customWidth="1"/>
    <col min="24" max="24" width="9.109375" style="1"/>
    <col min="25" max="26" width="11.6640625" style="1" customWidth="1"/>
    <col min="27" max="27" width="7.44140625" style="1" customWidth="1"/>
    <col min="28" max="253" width="9.109375" style="1"/>
    <col min="254" max="254" width="21.88671875" style="1" customWidth="1"/>
    <col min="255" max="258" width="9.109375" style="1"/>
    <col min="259" max="259" width="10.6640625" style="1" customWidth="1"/>
    <col min="260" max="260" width="9.109375" style="1"/>
    <col min="261" max="261" width="16.44140625" style="1" customWidth="1"/>
    <col min="262" max="262" width="23.88671875" style="1" customWidth="1"/>
    <col min="263" max="263" width="39.44140625" style="1" customWidth="1"/>
    <col min="264" max="264" width="22" style="1" customWidth="1"/>
    <col min="265" max="265" width="15.33203125" style="1" customWidth="1"/>
    <col min="266" max="267" width="12.44140625" style="1" customWidth="1"/>
    <col min="268" max="268" width="9.109375" style="1"/>
    <col min="269" max="269" width="12.44140625" style="1" customWidth="1"/>
    <col min="270" max="270" width="14.33203125" style="1" customWidth="1"/>
    <col min="271" max="271" width="16.33203125" style="1" customWidth="1"/>
    <col min="272" max="272" width="22.33203125" style="1" customWidth="1"/>
    <col min="273" max="273" width="19.5546875" style="1" customWidth="1"/>
    <col min="274" max="274" width="17.44140625" style="1" customWidth="1"/>
    <col min="275" max="275" width="15.44140625" style="1" customWidth="1"/>
    <col min="276" max="276" width="14.44140625" style="1" customWidth="1"/>
    <col min="277" max="277" width="15.6640625" style="1" customWidth="1"/>
    <col min="278" max="278" width="12.88671875" style="1" customWidth="1"/>
    <col min="279" max="279" width="15.6640625" style="1" customWidth="1"/>
    <col min="280" max="280" width="9.109375" style="1"/>
    <col min="281" max="282" width="11.6640625" style="1" customWidth="1"/>
    <col min="283" max="283" width="91.33203125" style="1" customWidth="1"/>
    <col min="284" max="509" width="9.109375" style="1"/>
    <col min="510" max="510" width="21.88671875" style="1" customWidth="1"/>
    <col min="511" max="514" width="9.109375" style="1"/>
    <col min="515" max="515" width="10.6640625" style="1" customWidth="1"/>
    <col min="516" max="516" width="9.109375" style="1"/>
    <col min="517" max="517" width="16.44140625" style="1" customWidth="1"/>
    <col min="518" max="518" width="23.88671875" style="1" customWidth="1"/>
    <col min="519" max="519" width="39.44140625" style="1" customWidth="1"/>
    <col min="520" max="520" width="22" style="1" customWidth="1"/>
    <col min="521" max="521" width="15.33203125" style="1" customWidth="1"/>
    <col min="522" max="523" width="12.44140625" style="1" customWidth="1"/>
    <col min="524" max="524" width="9.109375" style="1"/>
    <col min="525" max="525" width="12.44140625" style="1" customWidth="1"/>
    <col min="526" max="526" width="14.33203125" style="1" customWidth="1"/>
    <col min="527" max="527" width="16.33203125" style="1" customWidth="1"/>
    <col min="528" max="528" width="22.33203125" style="1" customWidth="1"/>
    <col min="529" max="529" width="19.5546875" style="1" customWidth="1"/>
    <col min="530" max="530" width="17.44140625" style="1" customWidth="1"/>
    <col min="531" max="531" width="15.44140625" style="1" customWidth="1"/>
    <col min="532" max="532" width="14.44140625" style="1" customWidth="1"/>
    <col min="533" max="533" width="15.6640625" style="1" customWidth="1"/>
    <col min="534" max="534" width="12.88671875" style="1" customWidth="1"/>
    <col min="535" max="535" width="15.6640625" style="1" customWidth="1"/>
    <col min="536" max="536" width="9.109375" style="1"/>
    <col min="537" max="538" width="11.6640625" style="1" customWidth="1"/>
    <col min="539" max="539" width="91.33203125" style="1" customWidth="1"/>
    <col min="540" max="765" width="9.109375" style="1"/>
    <col min="766" max="766" width="21.88671875" style="1" customWidth="1"/>
    <col min="767" max="770" width="9.109375" style="1"/>
    <col min="771" max="771" width="10.6640625" style="1" customWidth="1"/>
    <col min="772" max="772" width="9.109375" style="1"/>
    <col min="773" max="773" width="16.44140625" style="1" customWidth="1"/>
    <col min="774" max="774" width="23.88671875" style="1" customWidth="1"/>
    <col min="775" max="775" width="39.44140625" style="1" customWidth="1"/>
    <col min="776" max="776" width="22" style="1" customWidth="1"/>
    <col min="777" max="777" width="15.33203125" style="1" customWidth="1"/>
    <col min="778" max="779" width="12.44140625" style="1" customWidth="1"/>
    <col min="780" max="780" width="9.109375" style="1"/>
    <col min="781" max="781" width="12.44140625" style="1" customWidth="1"/>
    <col min="782" max="782" width="14.33203125" style="1" customWidth="1"/>
    <col min="783" max="783" width="16.33203125" style="1" customWidth="1"/>
    <col min="784" max="784" width="22.33203125" style="1" customWidth="1"/>
    <col min="785" max="785" width="19.5546875" style="1" customWidth="1"/>
    <col min="786" max="786" width="17.44140625" style="1" customWidth="1"/>
    <col min="787" max="787" width="15.44140625" style="1" customWidth="1"/>
    <col min="788" max="788" width="14.44140625" style="1" customWidth="1"/>
    <col min="789" max="789" width="15.6640625" style="1" customWidth="1"/>
    <col min="790" max="790" width="12.88671875" style="1" customWidth="1"/>
    <col min="791" max="791" width="15.6640625" style="1" customWidth="1"/>
    <col min="792" max="792" width="9.109375" style="1"/>
    <col min="793" max="794" width="11.6640625" style="1" customWidth="1"/>
    <col min="795" max="795" width="91.33203125" style="1" customWidth="1"/>
    <col min="796" max="1021" width="9.109375" style="1"/>
    <col min="1022" max="1022" width="21.88671875" style="1" customWidth="1"/>
    <col min="1023" max="1026" width="9.109375" style="1"/>
    <col min="1027" max="1027" width="10.6640625" style="1" customWidth="1"/>
    <col min="1028" max="1028" width="9.109375" style="1"/>
    <col min="1029" max="1029" width="16.44140625" style="1" customWidth="1"/>
    <col min="1030" max="1030" width="23.88671875" style="1" customWidth="1"/>
    <col min="1031" max="1031" width="39.44140625" style="1" customWidth="1"/>
    <col min="1032" max="1032" width="22" style="1" customWidth="1"/>
    <col min="1033" max="1033" width="15.33203125" style="1" customWidth="1"/>
    <col min="1034" max="1035" width="12.44140625" style="1" customWidth="1"/>
    <col min="1036" max="1036" width="9.109375" style="1"/>
    <col min="1037" max="1037" width="12.44140625" style="1" customWidth="1"/>
    <col min="1038" max="1038" width="14.33203125" style="1" customWidth="1"/>
    <col min="1039" max="1039" width="16.33203125" style="1" customWidth="1"/>
    <col min="1040" max="1040" width="22.33203125" style="1" customWidth="1"/>
    <col min="1041" max="1041" width="19.5546875" style="1" customWidth="1"/>
    <col min="1042" max="1042" width="17.44140625" style="1" customWidth="1"/>
    <col min="1043" max="1043" width="15.44140625" style="1" customWidth="1"/>
    <col min="1044" max="1044" width="14.44140625" style="1" customWidth="1"/>
    <col min="1045" max="1045" width="15.6640625" style="1" customWidth="1"/>
    <col min="1046" max="1046" width="12.88671875" style="1" customWidth="1"/>
    <col min="1047" max="1047" width="15.6640625" style="1" customWidth="1"/>
    <col min="1048" max="1048" width="9.109375" style="1"/>
    <col min="1049" max="1050" width="11.6640625" style="1" customWidth="1"/>
    <col min="1051" max="1051" width="91.33203125" style="1" customWidth="1"/>
    <col min="1052" max="1277" width="9.109375" style="1"/>
    <col min="1278" max="1278" width="21.88671875" style="1" customWidth="1"/>
    <col min="1279" max="1282" width="9.109375" style="1"/>
    <col min="1283" max="1283" width="10.6640625" style="1" customWidth="1"/>
    <col min="1284" max="1284" width="9.109375" style="1"/>
    <col min="1285" max="1285" width="16.44140625" style="1" customWidth="1"/>
    <col min="1286" max="1286" width="23.88671875" style="1" customWidth="1"/>
    <col min="1287" max="1287" width="39.44140625" style="1" customWidth="1"/>
    <col min="1288" max="1288" width="22" style="1" customWidth="1"/>
    <col min="1289" max="1289" width="15.33203125" style="1" customWidth="1"/>
    <col min="1290" max="1291" width="12.44140625" style="1" customWidth="1"/>
    <col min="1292" max="1292" width="9.109375" style="1"/>
    <col min="1293" max="1293" width="12.44140625" style="1" customWidth="1"/>
    <col min="1294" max="1294" width="14.33203125" style="1" customWidth="1"/>
    <col min="1295" max="1295" width="16.33203125" style="1" customWidth="1"/>
    <col min="1296" max="1296" width="22.33203125" style="1" customWidth="1"/>
    <col min="1297" max="1297" width="19.5546875" style="1" customWidth="1"/>
    <col min="1298" max="1298" width="17.44140625" style="1" customWidth="1"/>
    <col min="1299" max="1299" width="15.44140625" style="1" customWidth="1"/>
    <col min="1300" max="1300" width="14.44140625" style="1" customWidth="1"/>
    <col min="1301" max="1301" width="15.6640625" style="1" customWidth="1"/>
    <col min="1302" max="1302" width="12.88671875" style="1" customWidth="1"/>
    <col min="1303" max="1303" width="15.6640625" style="1" customWidth="1"/>
    <col min="1304" max="1304" width="9.109375" style="1"/>
    <col min="1305" max="1306" width="11.6640625" style="1" customWidth="1"/>
    <col min="1307" max="1307" width="91.33203125" style="1" customWidth="1"/>
    <col min="1308" max="1533" width="9.109375" style="1"/>
    <col min="1534" max="1534" width="21.88671875" style="1" customWidth="1"/>
    <col min="1535" max="1538" width="9.109375" style="1"/>
    <col min="1539" max="1539" width="10.6640625" style="1" customWidth="1"/>
    <col min="1540" max="1540" width="9.109375" style="1"/>
    <col min="1541" max="1541" width="16.44140625" style="1" customWidth="1"/>
    <col min="1542" max="1542" width="23.88671875" style="1" customWidth="1"/>
    <col min="1543" max="1543" width="39.44140625" style="1" customWidth="1"/>
    <col min="1544" max="1544" width="22" style="1" customWidth="1"/>
    <col min="1545" max="1545" width="15.33203125" style="1" customWidth="1"/>
    <col min="1546" max="1547" width="12.44140625" style="1" customWidth="1"/>
    <col min="1548" max="1548" width="9.109375" style="1"/>
    <col min="1549" max="1549" width="12.44140625" style="1" customWidth="1"/>
    <col min="1550" max="1550" width="14.33203125" style="1" customWidth="1"/>
    <col min="1551" max="1551" width="16.33203125" style="1" customWidth="1"/>
    <col min="1552" max="1552" width="22.33203125" style="1" customWidth="1"/>
    <col min="1553" max="1553" width="19.5546875" style="1" customWidth="1"/>
    <col min="1554" max="1554" width="17.44140625" style="1" customWidth="1"/>
    <col min="1555" max="1555" width="15.44140625" style="1" customWidth="1"/>
    <col min="1556" max="1556" width="14.44140625" style="1" customWidth="1"/>
    <col min="1557" max="1557" width="15.6640625" style="1" customWidth="1"/>
    <col min="1558" max="1558" width="12.88671875" style="1" customWidth="1"/>
    <col min="1559" max="1559" width="15.6640625" style="1" customWidth="1"/>
    <col min="1560" max="1560" width="9.109375" style="1"/>
    <col min="1561" max="1562" width="11.6640625" style="1" customWidth="1"/>
    <col min="1563" max="1563" width="91.33203125" style="1" customWidth="1"/>
    <col min="1564" max="1789" width="9.109375" style="1"/>
    <col min="1790" max="1790" width="21.88671875" style="1" customWidth="1"/>
    <col min="1791" max="1794" width="9.109375" style="1"/>
    <col min="1795" max="1795" width="10.6640625" style="1" customWidth="1"/>
    <col min="1796" max="1796" width="9.109375" style="1"/>
    <col min="1797" max="1797" width="16.44140625" style="1" customWidth="1"/>
    <col min="1798" max="1798" width="23.88671875" style="1" customWidth="1"/>
    <col min="1799" max="1799" width="39.44140625" style="1" customWidth="1"/>
    <col min="1800" max="1800" width="22" style="1" customWidth="1"/>
    <col min="1801" max="1801" width="15.33203125" style="1" customWidth="1"/>
    <col min="1802" max="1803" width="12.44140625" style="1" customWidth="1"/>
    <col min="1804" max="1804" width="9.109375" style="1"/>
    <col min="1805" max="1805" width="12.44140625" style="1" customWidth="1"/>
    <col min="1806" max="1806" width="14.33203125" style="1" customWidth="1"/>
    <col min="1807" max="1807" width="16.33203125" style="1" customWidth="1"/>
    <col min="1808" max="1808" width="22.33203125" style="1" customWidth="1"/>
    <col min="1809" max="1809" width="19.5546875" style="1" customWidth="1"/>
    <col min="1810" max="1810" width="17.44140625" style="1" customWidth="1"/>
    <col min="1811" max="1811" width="15.44140625" style="1" customWidth="1"/>
    <col min="1812" max="1812" width="14.44140625" style="1" customWidth="1"/>
    <col min="1813" max="1813" width="15.6640625" style="1" customWidth="1"/>
    <col min="1814" max="1814" width="12.88671875" style="1" customWidth="1"/>
    <col min="1815" max="1815" width="15.6640625" style="1" customWidth="1"/>
    <col min="1816" max="1816" width="9.109375" style="1"/>
    <col min="1817" max="1818" width="11.6640625" style="1" customWidth="1"/>
    <col min="1819" max="1819" width="91.33203125" style="1" customWidth="1"/>
    <col min="1820" max="2045" width="9.109375" style="1"/>
    <col min="2046" max="2046" width="21.88671875" style="1" customWidth="1"/>
    <col min="2047" max="2050" width="9.109375" style="1"/>
    <col min="2051" max="2051" width="10.6640625" style="1" customWidth="1"/>
    <col min="2052" max="2052" width="9.109375" style="1"/>
    <col min="2053" max="2053" width="16.44140625" style="1" customWidth="1"/>
    <col min="2054" max="2054" width="23.88671875" style="1" customWidth="1"/>
    <col min="2055" max="2055" width="39.44140625" style="1" customWidth="1"/>
    <col min="2056" max="2056" width="22" style="1" customWidth="1"/>
    <col min="2057" max="2057" width="15.33203125" style="1" customWidth="1"/>
    <col min="2058" max="2059" width="12.44140625" style="1" customWidth="1"/>
    <col min="2060" max="2060" width="9.109375" style="1"/>
    <col min="2061" max="2061" width="12.44140625" style="1" customWidth="1"/>
    <col min="2062" max="2062" width="14.33203125" style="1" customWidth="1"/>
    <col min="2063" max="2063" width="16.33203125" style="1" customWidth="1"/>
    <col min="2064" max="2064" width="22.33203125" style="1" customWidth="1"/>
    <col min="2065" max="2065" width="19.5546875" style="1" customWidth="1"/>
    <col min="2066" max="2066" width="17.44140625" style="1" customWidth="1"/>
    <col min="2067" max="2067" width="15.44140625" style="1" customWidth="1"/>
    <col min="2068" max="2068" width="14.44140625" style="1" customWidth="1"/>
    <col min="2069" max="2069" width="15.6640625" style="1" customWidth="1"/>
    <col min="2070" max="2070" width="12.88671875" style="1" customWidth="1"/>
    <col min="2071" max="2071" width="15.6640625" style="1" customWidth="1"/>
    <col min="2072" max="2072" width="9.109375" style="1"/>
    <col min="2073" max="2074" width="11.6640625" style="1" customWidth="1"/>
    <col min="2075" max="2075" width="91.33203125" style="1" customWidth="1"/>
    <col min="2076" max="2301" width="9.109375" style="1"/>
    <col min="2302" max="2302" width="21.88671875" style="1" customWidth="1"/>
    <col min="2303" max="2306" width="9.109375" style="1"/>
    <col min="2307" max="2307" width="10.6640625" style="1" customWidth="1"/>
    <col min="2308" max="2308" width="9.109375" style="1"/>
    <col min="2309" max="2309" width="16.44140625" style="1" customWidth="1"/>
    <col min="2310" max="2310" width="23.88671875" style="1" customWidth="1"/>
    <col min="2311" max="2311" width="39.44140625" style="1" customWidth="1"/>
    <col min="2312" max="2312" width="22" style="1" customWidth="1"/>
    <col min="2313" max="2313" width="15.33203125" style="1" customWidth="1"/>
    <col min="2314" max="2315" width="12.44140625" style="1" customWidth="1"/>
    <col min="2316" max="2316" width="9.109375" style="1"/>
    <col min="2317" max="2317" width="12.44140625" style="1" customWidth="1"/>
    <col min="2318" max="2318" width="14.33203125" style="1" customWidth="1"/>
    <col min="2319" max="2319" width="16.33203125" style="1" customWidth="1"/>
    <col min="2320" max="2320" width="22.33203125" style="1" customWidth="1"/>
    <col min="2321" max="2321" width="19.5546875" style="1" customWidth="1"/>
    <col min="2322" max="2322" width="17.44140625" style="1" customWidth="1"/>
    <col min="2323" max="2323" width="15.44140625" style="1" customWidth="1"/>
    <col min="2324" max="2324" width="14.44140625" style="1" customWidth="1"/>
    <col min="2325" max="2325" width="15.6640625" style="1" customWidth="1"/>
    <col min="2326" max="2326" width="12.88671875" style="1" customWidth="1"/>
    <col min="2327" max="2327" width="15.6640625" style="1" customWidth="1"/>
    <col min="2328" max="2328" width="9.109375" style="1"/>
    <col min="2329" max="2330" width="11.6640625" style="1" customWidth="1"/>
    <col min="2331" max="2331" width="91.33203125" style="1" customWidth="1"/>
    <col min="2332" max="2557" width="9.109375" style="1"/>
    <col min="2558" max="2558" width="21.88671875" style="1" customWidth="1"/>
    <col min="2559" max="2562" width="9.109375" style="1"/>
    <col min="2563" max="2563" width="10.6640625" style="1" customWidth="1"/>
    <col min="2564" max="2564" width="9.109375" style="1"/>
    <col min="2565" max="2565" width="16.44140625" style="1" customWidth="1"/>
    <col min="2566" max="2566" width="23.88671875" style="1" customWidth="1"/>
    <col min="2567" max="2567" width="39.44140625" style="1" customWidth="1"/>
    <col min="2568" max="2568" width="22" style="1" customWidth="1"/>
    <col min="2569" max="2569" width="15.33203125" style="1" customWidth="1"/>
    <col min="2570" max="2571" width="12.44140625" style="1" customWidth="1"/>
    <col min="2572" max="2572" width="9.109375" style="1"/>
    <col min="2573" max="2573" width="12.44140625" style="1" customWidth="1"/>
    <col min="2574" max="2574" width="14.33203125" style="1" customWidth="1"/>
    <col min="2575" max="2575" width="16.33203125" style="1" customWidth="1"/>
    <col min="2576" max="2576" width="22.33203125" style="1" customWidth="1"/>
    <col min="2577" max="2577" width="19.5546875" style="1" customWidth="1"/>
    <col min="2578" max="2578" width="17.44140625" style="1" customWidth="1"/>
    <col min="2579" max="2579" width="15.44140625" style="1" customWidth="1"/>
    <col min="2580" max="2580" width="14.44140625" style="1" customWidth="1"/>
    <col min="2581" max="2581" width="15.6640625" style="1" customWidth="1"/>
    <col min="2582" max="2582" width="12.88671875" style="1" customWidth="1"/>
    <col min="2583" max="2583" width="15.6640625" style="1" customWidth="1"/>
    <col min="2584" max="2584" width="9.109375" style="1"/>
    <col min="2585" max="2586" width="11.6640625" style="1" customWidth="1"/>
    <col min="2587" max="2587" width="91.33203125" style="1" customWidth="1"/>
    <col min="2588" max="2813" width="9.109375" style="1"/>
    <col min="2814" max="2814" width="21.88671875" style="1" customWidth="1"/>
    <col min="2815" max="2818" width="9.109375" style="1"/>
    <col min="2819" max="2819" width="10.6640625" style="1" customWidth="1"/>
    <col min="2820" max="2820" width="9.109375" style="1"/>
    <col min="2821" max="2821" width="16.44140625" style="1" customWidth="1"/>
    <col min="2822" max="2822" width="23.88671875" style="1" customWidth="1"/>
    <col min="2823" max="2823" width="39.44140625" style="1" customWidth="1"/>
    <col min="2824" max="2824" width="22" style="1" customWidth="1"/>
    <col min="2825" max="2825" width="15.33203125" style="1" customWidth="1"/>
    <col min="2826" max="2827" width="12.44140625" style="1" customWidth="1"/>
    <col min="2828" max="2828" width="9.109375" style="1"/>
    <col min="2829" max="2829" width="12.44140625" style="1" customWidth="1"/>
    <col min="2830" max="2830" width="14.33203125" style="1" customWidth="1"/>
    <col min="2831" max="2831" width="16.33203125" style="1" customWidth="1"/>
    <col min="2832" max="2832" width="22.33203125" style="1" customWidth="1"/>
    <col min="2833" max="2833" width="19.5546875" style="1" customWidth="1"/>
    <col min="2834" max="2834" width="17.44140625" style="1" customWidth="1"/>
    <col min="2835" max="2835" width="15.44140625" style="1" customWidth="1"/>
    <col min="2836" max="2836" width="14.44140625" style="1" customWidth="1"/>
    <col min="2837" max="2837" width="15.6640625" style="1" customWidth="1"/>
    <col min="2838" max="2838" width="12.88671875" style="1" customWidth="1"/>
    <col min="2839" max="2839" width="15.6640625" style="1" customWidth="1"/>
    <col min="2840" max="2840" width="9.109375" style="1"/>
    <col min="2841" max="2842" width="11.6640625" style="1" customWidth="1"/>
    <col min="2843" max="2843" width="91.33203125" style="1" customWidth="1"/>
    <col min="2844" max="3069" width="9.109375" style="1"/>
    <col min="3070" max="3070" width="21.88671875" style="1" customWidth="1"/>
    <col min="3071" max="3074" width="9.109375" style="1"/>
    <col min="3075" max="3075" width="10.6640625" style="1" customWidth="1"/>
    <col min="3076" max="3076" width="9.109375" style="1"/>
    <col min="3077" max="3077" width="16.44140625" style="1" customWidth="1"/>
    <col min="3078" max="3078" width="23.88671875" style="1" customWidth="1"/>
    <col min="3079" max="3079" width="39.44140625" style="1" customWidth="1"/>
    <col min="3080" max="3080" width="22" style="1" customWidth="1"/>
    <col min="3081" max="3081" width="15.33203125" style="1" customWidth="1"/>
    <col min="3082" max="3083" width="12.44140625" style="1" customWidth="1"/>
    <col min="3084" max="3084" width="9.109375" style="1"/>
    <col min="3085" max="3085" width="12.44140625" style="1" customWidth="1"/>
    <col min="3086" max="3086" width="14.33203125" style="1" customWidth="1"/>
    <col min="3087" max="3087" width="16.33203125" style="1" customWidth="1"/>
    <col min="3088" max="3088" width="22.33203125" style="1" customWidth="1"/>
    <col min="3089" max="3089" width="19.5546875" style="1" customWidth="1"/>
    <col min="3090" max="3090" width="17.44140625" style="1" customWidth="1"/>
    <col min="3091" max="3091" width="15.44140625" style="1" customWidth="1"/>
    <col min="3092" max="3092" width="14.44140625" style="1" customWidth="1"/>
    <col min="3093" max="3093" width="15.6640625" style="1" customWidth="1"/>
    <col min="3094" max="3094" width="12.88671875" style="1" customWidth="1"/>
    <col min="3095" max="3095" width="15.6640625" style="1" customWidth="1"/>
    <col min="3096" max="3096" width="9.109375" style="1"/>
    <col min="3097" max="3098" width="11.6640625" style="1" customWidth="1"/>
    <col min="3099" max="3099" width="91.33203125" style="1" customWidth="1"/>
    <col min="3100" max="3325" width="9.109375" style="1"/>
    <col min="3326" max="3326" width="21.88671875" style="1" customWidth="1"/>
    <col min="3327" max="3330" width="9.109375" style="1"/>
    <col min="3331" max="3331" width="10.6640625" style="1" customWidth="1"/>
    <col min="3332" max="3332" width="9.109375" style="1"/>
    <col min="3333" max="3333" width="16.44140625" style="1" customWidth="1"/>
    <col min="3334" max="3334" width="23.88671875" style="1" customWidth="1"/>
    <col min="3335" max="3335" width="39.44140625" style="1" customWidth="1"/>
    <col min="3336" max="3336" width="22" style="1" customWidth="1"/>
    <col min="3337" max="3337" width="15.33203125" style="1" customWidth="1"/>
    <col min="3338" max="3339" width="12.44140625" style="1" customWidth="1"/>
    <col min="3340" max="3340" width="9.109375" style="1"/>
    <col min="3341" max="3341" width="12.44140625" style="1" customWidth="1"/>
    <col min="3342" max="3342" width="14.33203125" style="1" customWidth="1"/>
    <col min="3343" max="3343" width="16.33203125" style="1" customWidth="1"/>
    <col min="3344" max="3344" width="22.33203125" style="1" customWidth="1"/>
    <col min="3345" max="3345" width="19.5546875" style="1" customWidth="1"/>
    <col min="3346" max="3346" width="17.44140625" style="1" customWidth="1"/>
    <col min="3347" max="3347" width="15.44140625" style="1" customWidth="1"/>
    <col min="3348" max="3348" width="14.44140625" style="1" customWidth="1"/>
    <col min="3349" max="3349" width="15.6640625" style="1" customWidth="1"/>
    <col min="3350" max="3350" width="12.88671875" style="1" customWidth="1"/>
    <col min="3351" max="3351" width="15.6640625" style="1" customWidth="1"/>
    <col min="3352" max="3352" width="9.109375" style="1"/>
    <col min="3353" max="3354" width="11.6640625" style="1" customWidth="1"/>
    <col min="3355" max="3355" width="91.33203125" style="1" customWidth="1"/>
    <col min="3356" max="3581" width="9.109375" style="1"/>
    <col min="3582" max="3582" width="21.88671875" style="1" customWidth="1"/>
    <col min="3583" max="3586" width="9.109375" style="1"/>
    <col min="3587" max="3587" width="10.6640625" style="1" customWidth="1"/>
    <col min="3588" max="3588" width="9.109375" style="1"/>
    <col min="3589" max="3589" width="16.44140625" style="1" customWidth="1"/>
    <col min="3590" max="3590" width="23.88671875" style="1" customWidth="1"/>
    <col min="3591" max="3591" width="39.44140625" style="1" customWidth="1"/>
    <col min="3592" max="3592" width="22" style="1" customWidth="1"/>
    <col min="3593" max="3593" width="15.33203125" style="1" customWidth="1"/>
    <col min="3594" max="3595" width="12.44140625" style="1" customWidth="1"/>
    <col min="3596" max="3596" width="9.109375" style="1"/>
    <col min="3597" max="3597" width="12.44140625" style="1" customWidth="1"/>
    <col min="3598" max="3598" width="14.33203125" style="1" customWidth="1"/>
    <col min="3599" max="3599" width="16.33203125" style="1" customWidth="1"/>
    <col min="3600" max="3600" width="22.33203125" style="1" customWidth="1"/>
    <col min="3601" max="3601" width="19.5546875" style="1" customWidth="1"/>
    <col min="3602" max="3602" width="17.44140625" style="1" customWidth="1"/>
    <col min="3603" max="3603" width="15.44140625" style="1" customWidth="1"/>
    <col min="3604" max="3604" width="14.44140625" style="1" customWidth="1"/>
    <col min="3605" max="3605" width="15.6640625" style="1" customWidth="1"/>
    <col min="3606" max="3606" width="12.88671875" style="1" customWidth="1"/>
    <col min="3607" max="3607" width="15.6640625" style="1" customWidth="1"/>
    <col min="3608" max="3608" width="9.109375" style="1"/>
    <col min="3609" max="3610" width="11.6640625" style="1" customWidth="1"/>
    <col min="3611" max="3611" width="91.33203125" style="1" customWidth="1"/>
    <col min="3612" max="3837" width="9.109375" style="1"/>
    <col min="3838" max="3838" width="21.88671875" style="1" customWidth="1"/>
    <col min="3839" max="3842" width="9.109375" style="1"/>
    <col min="3843" max="3843" width="10.6640625" style="1" customWidth="1"/>
    <col min="3844" max="3844" width="9.109375" style="1"/>
    <col min="3845" max="3845" width="16.44140625" style="1" customWidth="1"/>
    <col min="3846" max="3846" width="23.88671875" style="1" customWidth="1"/>
    <col min="3847" max="3847" width="39.44140625" style="1" customWidth="1"/>
    <col min="3848" max="3848" width="22" style="1" customWidth="1"/>
    <col min="3849" max="3849" width="15.33203125" style="1" customWidth="1"/>
    <col min="3850" max="3851" width="12.44140625" style="1" customWidth="1"/>
    <col min="3852" max="3852" width="9.109375" style="1"/>
    <col min="3853" max="3853" width="12.44140625" style="1" customWidth="1"/>
    <col min="3854" max="3854" width="14.33203125" style="1" customWidth="1"/>
    <col min="3855" max="3855" width="16.33203125" style="1" customWidth="1"/>
    <col min="3856" max="3856" width="22.33203125" style="1" customWidth="1"/>
    <col min="3857" max="3857" width="19.5546875" style="1" customWidth="1"/>
    <col min="3858" max="3858" width="17.44140625" style="1" customWidth="1"/>
    <col min="3859" max="3859" width="15.44140625" style="1" customWidth="1"/>
    <col min="3860" max="3860" width="14.44140625" style="1" customWidth="1"/>
    <col min="3861" max="3861" width="15.6640625" style="1" customWidth="1"/>
    <col min="3862" max="3862" width="12.88671875" style="1" customWidth="1"/>
    <col min="3863" max="3863" width="15.6640625" style="1" customWidth="1"/>
    <col min="3864" max="3864" width="9.109375" style="1"/>
    <col min="3865" max="3866" width="11.6640625" style="1" customWidth="1"/>
    <col min="3867" max="3867" width="91.33203125" style="1" customWidth="1"/>
    <col min="3868" max="4093" width="9.109375" style="1"/>
    <col min="4094" max="4094" width="21.88671875" style="1" customWidth="1"/>
    <col min="4095" max="4098" width="9.109375" style="1"/>
    <col min="4099" max="4099" width="10.6640625" style="1" customWidth="1"/>
    <col min="4100" max="4100" width="9.109375" style="1"/>
    <col min="4101" max="4101" width="16.44140625" style="1" customWidth="1"/>
    <col min="4102" max="4102" width="23.88671875" style="1" customWidth="1"/>
    <col min="4103" max="4103" width="39.44140625" style="1" customWidth="1"/>
    <col min="4104" max="4104" width="22" style="1" customWidth="1"/>
    <col min="4105" max="4105" width="15.33203125" style="1" customWidth="1"/>
    <col min="4106" max="4107" width="12.44140625" style="1" customWidth="1"/>
    <col min="4108" max="4108" width="9.109375" style="1"/>
    <col min="4109" max="4109" width="12.44140625" style="1" customWidth="1"/>
    <col min="4110" max="4110" width="14.33203125" style="1" customWidth="1"/>
    <col min="4111" max="4111" width="16.33203125" style="1" customWidth="1"/>
    <col min="4112" max="4112" width="22.33203125" style="1" customWidth="1"/>
    <col min="4113" max="4113" width="19.5546875" style="1" customWidth="1"/>
    <col min="4114" max="4114" width="17.44140625" style="1" customWidth="1"/>
    <col min="4115" max="4115" width="15.44140625" style="1" customWidth="1"/>
    <col min="4116" max="4116" width="14.44140625" style="1" customWidth="1"/>
    <col min="4117" max="4117" width="15.6640625" style="1" customWidth="1"/>
    <col min="4118" max="4118" width="12.88671875" style="1" customWidth="1"/>
    <col min="4119" max="4119" width="15.6640625" style="1" customWidth="1"/>
    <col min="4120" max="4120" width="9.109375" style="1"/>
    <col min="4121" max="4122" width="11.6640625" style="1" customWidth="1"/>
    <col min="4123" max="4123" width="91.33203125" style="1" customWidth="1"/>
    <col min="4124" max="4349" width="9.109375" style="1"/>
    <col min="4350" max="4350" width="21.88671875" style="1" customWidth="1"/>
    <col min="4351" max="4354" width="9.109375" style="1"/>
    <col min="4355" max="4355" width="10.6640625" style="1" customWidth="1"/>
    <col min="4356" max="4356" width="9.109375" style="1"/>
    <col min="4357" max="4357" width="16.44140625" style="1" customWidth="1"/>
    <col min="4358" max="4358" width="23.88671875" style="1" customWidth="1"/>
    <col min="4359" max="4359" width="39.44140625" style="1" customWidth="1"/>
    <col min="4360" max="4360" width="22" style="1" customWidth="1"/>
    <col min="4361" max="4361" width="15.33203125" style="1" customWidth="1"/>
    <col min="4362" max="4363" width="12.44140625" style="1" customWidth="1"/>
    <col min="4364" max="4364" width="9.109375" style="1"/>
    <col min="4365" max="4365" width="12.44140625" style="1" customWidth="1"/>
    <col min="4366" max="4366" width="14.33203125" style="1" customWidth="1"/>
    <col min="4367" max="4367" width="16.33203125" style="1" customWidth="1"/>
    <col min="4368" max="4368" width="22.33203125" style="1" customWidth="1"/>
    <col min="4369" max="4369" width="19.5546875" style="1" customWidth="1"/>
    <col min="4370" max="4370" width="17.44140625" style="1" customWidth="1"/>
    <col min="4371" max="4371" width="15.44140625" style="1" customWidth="1"/>
    <col min="4372" max="4372" width="14.44140625" style="1" customWidth="1"/>
    <col min="4373" max="4373" width="15.6640625" style="1" customWidth="1"/>
    <col min="4374" max="4374" width="12.88671875" style="1" customWidth="1"/>
    <col min="4375" max="4375" width="15.6640625" style="1" customWidth="1"/>
    <col min="4376" max="4376" width="9.109375" style="1"/>
    <col min="4377" max="4378" width="11.6640625" style="1" customWidth="1"/>
    <col min="4379" max="4379" width="91.33203125" style="1" customWidth="1"/>
    <col min="4380" max="4605" width="9.109375" style="1"/>
    <col min="4606" max="4606" width="21.88671875" style="1" customWidth="1"/>
    <col min="4607" max="4610" width="9.109375" style="1"/>
    <col min="4611" max="4611" width="10.6640625" style="1" customWidth="1"/>
    <col min="4612" max="4612" width="9.109375" style="1"/>
    <col min="4613" max="4613" width="16.44140625" style="1" customWidth="1"/>
    <col min="4614" max="4614" width="23.88671875" style="1" customWidth="1"/>
    <col min="4615" max="4615" width="39.44140625" style="1" customWidth="1"/>
    <col min="4616" max="4616" width="22" style="1" customWidth="1"/>
    <col min="4617" max="4617" width="15.33203125" style="1" customWidth="1"/>
    <col min="4618" max="4619" width="12.44140625" style="1" customWidth="1"/>
    <col min="4620" max="4620" width="9.109375" style="1"/>
    <col min="4621" max="4621" width="12.44140625" style="1" customWidth="1"/>
    <col min="4622" max="4622" width="14.33203125" style="1" customWidth="1"/>
    <col min="4623" max="4623" width="16.33203125" style="1" customWidth="1"/>
    <col min="4624" max="4624" width="22.33203125" style="1" customWidth="1"/>
    <col min="4625" max="4625" width="19.5546875" style="1" customWidth="1"/>
    <col min="4626" max="4626" width="17.44140625" style="1" customWidth="1"/>
    <col min="4627" max="4627" width="15.44140625" style="1" customWidth="1"/>
    <col min="4628" max="4628" width="14.44140625" style="1" customWidth="1"/>
    <col min="4629" max="4629" width="15.6640625" style="1" customWidth="1"/>
    <col min="4630" max="4630" width="12.88671875" style="1" customWidth="1"/>
    <col min="4631" max="4631" width="15.6640625" style="1" customWidth="1"/>
    <col min="4632" max="4632" width="9.109375" style="1"/>
    <col min="4633" max="4634" width="11.6640625" style="1" customWidth="1"/>
    <col min="4635" max="4635" width="91.33203125" style="1" customWidth="1"/>
    <col min="4636" max="4861" width="9.109375" style="1"/>
    <col min="4862" max="4862" width="21.88671875" style="1" customWidth="1"/>
    <col min="4863" max="4866" width="9.109375" style="1"/>
    <col min="4867" max="4867" width="10.6640625" style="1" customWidth="1"/>
    <col min="4868" max="4868" width="9.109375" style="1"/>
    <col min="4869" max="4869" width="16.44140625" style="1" customWidth="1"/>
    <col min="4870" max="4870" width="23.88671875" style="1" customWidth="1"/>
    <col min="4871" max="4871" width="39.44140625" style="1" customWidth="1"/>
    <col min="4872" max="4872" width="22" style="1" customWidth="1"/>
    <col min="4873" max="4873" width="15.33203125" style="1" customWidth="1"/>
    <col min="4874" max="4875" width="12.44140625" style="1" customWidth="1"/>
    <col min="4876" max="4876" width="9.109375" style="1"/>
    <col min="4877" max="4877" width="12.44140625" style="1" customWidth="1"/>
    <col min="4878" max="4878" width="14.33203125" style="1" customWidth="1"/>
    <col min="4879" max="4879" width="16.33203125" style="1" customWidth="1"/>
    <col min="4880" max="4880" width="22.33203125" style="1" customWidth="1"/>
    <col min="4881" max="4881" width="19.5546875" style="1" customWidth="1"/>
    <col min="4882" max="4882" width="17.44140625" style="1" customWidth="1"/>
    <col min="4883" max="4883" width="15.44140625" style="1" customWidth="1"/>
    <col min="4884" max="4884" width="14.44140625" style="1" customWidth="1"/>
    <col min="4885" max="4885" width="15.6640625" style="1" customWidth="1"/>
    <col min="4886" max="4886" width="12.88671875" style="1" customWidth="1"/>
    <col min="4887" max="4887" width="15.6640625" style="1" customWidth="1"/>
    <col min="4888" max="4888" width="9.109375" style="1"/>
    <col min="4889" max="4890" width="11.6640625" style="1" customWidth="1"/>
    <col min="4891" max="4891" width="91.33203125" style="1" customWidth="1"/>
    <col min="4892" max="5117" width="9.109375" style="1"/>
    <col min="5118" max="5118" width="21.88671875" style="1" customWidth="1"/>
    <col min="5119" max="5122" width="9.109375" style="1"/>
    <col min="5123" max="5123" width="10.6640625" style="1" customWidth="1"/>
    <col min="5124" max="5124" width="9.109375" style="1"/>
    <col min="5125" max="5125" width="16.44140625" style="1" customWidth="1"/>
    <col min="5126" max="5126" width="23.88671875" style="1" customWidth="1"/>
    <col min="5127" max="5127" width="39.44140625" style="1" customWidth="1"/>
    <col min="5128" max="5128" width="22" style="1" customWidth="1"/>
    <col min="5129" max="5129" width="15.33203125" style="1" customWidth="1"/>
    <col min="5130" max="5131" width="12.44140625" style="1" customWidth="1"/>
    <col min="5132" max="5132" width="9.109375" style="1"/>
    <col min="5133" max="5133" width="12.44140625" style="1" customWidth="1"/>
    <col min="5134" max="5134" width="14.33203125" style="1" customWidth="1"/>
    <col min="5135" max="5135" width="16.33203125" style="1" customWidth="1"/>
    <col min="5136" max="5136" width="22.33203125" style="1" customWidth="1"/>
    <col min="5137" max="5137" width="19.5546875" style="1" customWidth="1"/>
    <col min="5138" max="5138" width="17.44140625" style="1" customWidth="1"/>
    <col min="5139" max="5139" width="15.44140625" style="1" customWidth="1"/>
    <col min="5140" max="5140" width="14.44140625" style="1" customWidth="1"/>
    <col min="5141" max="5141" width="15.6640625" style="1" customWidth="1"/>
    <col min="5142" max="5142" width="12.88671875" style="1" customWidth="1"/>
    <col min="5143" max="5143" width="15.6640625" style="1" customWidth="1"/>
    <col min="5144" max="5144" width="9.109375" style="1"/>
    <col min="5145" max="5146" width="11.6640625" style="1" customWidth="1"/>
    <col min="5147" max="5147" width="91.33203125" style="1" customWidth="1"/>
    <col min="5148" max="5373" width="9.109375" style="1"/>
    <col min="5374" max="5374" width="21.88671875" style="1" customWidth="1"/>
    <col min="5375" max="5378" width="9.109375" style="1"/>
    <col min="5379" max="5379" width="10.6640625" style="1" customWidth="1"/>
    <col min="5380" max="5380" width="9.109375" style="1"/>
    <col min="5381" max="5381" width="16.44140625" style="1" customWidth="1"/>
    <col min="5382" max="5382" width="23.88671875" style="1" customWidth="1"/>
    <col min="5383" max="5383" width="39.44140625" style="1" customWidth="1"/>
    <col min="5384" max="5384" width="22" style="1" customWidth="1"/>
    <col min="5385" max="5385" width="15.33203125" style="1" customWidth="1"/>
    <col min="5386" max="5387" width="12.44140625" style="1" customWidth="1"/>
    <col min="5388" max="5388" width="9.109375" style="1"/>
    <col min="5389" max="5389" width="12.44140625" style="1" customWidth="1"/>
    <col min="5390" max="5390" width="14.33203125" style="1" customWidth="1"/>
    <col min="5391" max="5391" width="16.33203125" style="1" customWidth="1"/>
    <col min="5392" max="5392" width="22.33203125" style="1" customWidth="1"/>
    <col min="5393" max="5393" width="19.5546875" style="1" customWidth="1"/>
    <col min="5394" max="5394" width="17.44140625" style="1" customWidth="1"/>
    <col min="5395" max="5395" width="15.44140625" style="1" customWidth="1"/>
    <col min="5396" max="5396" width="14.44140625" style="1" customWidth="1"/>
    <col min="5397" max="5397" width="15.6640625" style="1" customWidth="1"/>
    <col min="5398" max="5398" width="12.88671875" style="1" customWidth="1"/>
    <col min="5399" max="5399" width="15.6640625" style="1" customWidth="1"/>
    <col min="5400" max="5400" width="9.109375" style="1"/>
    <col min="5401" max="5402" width="11.6640625" style="1" customWidth="1"/>
    <col min="5403" max="5403" width="91.33203125" style="1" customWidth="1"/>
    <col min="5404" max="5629" width="9.109375" style="1"/>
    <col min="5630" max="5630" width="21.88671875" style="1" customWidth="1"/>
    <col min="5631" max="5634" width="9.109375" style="1"/>
    <col min="5635" max="5635" width="10.6640625" style="1" customWidth="1"/>
    <col min="5636" max="5636" width="9.109375" style="1"/>
    <col min="5637" max="5637" width="16.44140625" style="1" customWidth="1"/>
    <col min="5638" max="5638" width="23.88671875" style="1" customWidth="1"/>
    <col min="5639" max="5639" width="39.44140625" style="1" customWidth="1"/>
    <col min="5640" max="5640" width="22" style="1" customWidth="1"/>
    <col min="5641" max="5641" width="15.33203125" style="1" customWidth="1"/>
    <col min="5642" max="5643" width="12.44140625" style="1" customWidth="1"/>
    <col min="5644" max="5644" width="9.109375" style="1"/>
    <col min="5645" max="5645" width="12.44140625" style="1" customWidth="1"/>
    <col min="5646" max="5646" width="14.33203125" style="1" customWidth="1"/>
    <col min="5647" max="5647" width="16.33203125" style="1" customWidth="1"/>
    <col min="5648" max="5648" width="22.33203125" style="1" customWidth="1"/>
    <col min="5649" max="5649" width="19.5546875" style="1" customWidth="1"/>
    <col min="5650" max="5650" width="17.44140625" style="1" customWidth="1"/>
    <col min="5651" max="5651" width="15.44140625" style="1" customWidth="1"/>
    <col min="5652" max="5652" width="14.44140625" style="1" customWidth="1"/>
    <col min="5653" max="5653" width="15.6640625" style="1" customWidth="1"/>
    <col min="5654" max="5654" width="12.88671875" style="1" customWidth="1"/>
    <col min="5655" max="5655" width="15.6640625" style="1" customWidth="1"/>
    <col min="5656" max="5656" width="9.109375" style="1"/>
    <col min="5657" max="5658" width="11.6640625" style="1" customWidth="1"/>
    <col min="5659" max="5659" width="91.33203125" style="1" customWidth="1"/>
    <col min="5660" max="5885" width="9.109375" style="1"/>
    <col min="5886" max="5886" width="21.88671875" style="1" customWidth="1"/>
    <col min="5887" max="5890" width="9.109375" style="1"/>
    <col min="5891" max="5891" width="10.6640625" style="1" customWidth="1"/>
    <col min="5892" max="5892" width="9.109375" style="1"/>
    <col min="5893" max="5893" width="16.44140625" style="1" customWidth="1"/>
    <col min="5894" max="5894" width="23.88671875" style="1" customWidth="1"/>
    <col min="5895" max="5895" width="39.44140625" style="1" customWidth="1"/>
    <col min="5896" max="5896" width="22" style="1" customWidth="1"/>
    <col min="5897" max="5897" width="15.33203125" style="1" customWidth="1"/>
    <col min="5898" max="5899" width="12.44140625" style="1" customWidth="1"/>
    <col min="5900" max="5900" width="9.109375" style="1"/>
    <col min="5901" max="5901" width="12.44140625" style="1" customWidth="1"/>
    <col min="5902" max="5902" width="14.33203125" style="1" customWidth="1"/>
    <col min="5903" max="5903" width="16.33203125" style="1" customWidth="1"/>
    <col min="5904" max="5904" width="22.33203125" style="1" customWidth="1"/>
    <col min="5905" max="5905" width="19.5546875" style="1" customWidth="1"/>
    <col min="5906" max="5906" width="17.44140625" style="1" customWidth="1"/>
    <col min="5907" max="5907" width="15.44140625" style="1" customWidth="1"/>
    <col min="5908" max="5908" width="14.44140625" style="1" customWidth="1"/>
    <col min="5909" max="5909" width="15.6640625" style="1" customWidth="1"/>
    <col min="5910" max="5910" width="12.88671875" style="1" customWidth="1"/>
    <col min="5911" max="5911" width="15.6640625" style="1" customWidth="1"/>
    <col min="5912" max="5912" width="9.109375" style="1"/>
    <col min="5913" max="5914" width="11.6640625" style="1" customWidth="1"/>
    <col min="5915" max="5915" width="91.33203125" style="1" customWidth="1"/>
    <col min="5916" max="6141" width="9.109375" style="1"/>
    <col min="6142" max="6142" width="21.88671875" style="1" customWidth="1"/>
    <col min="6143" max="6146" width="9.109375" style="1"/>
    <col min="6147" max="6147" width="10.6640625" style="1" customWidth="1"/>
    <col min="6148" max="6148" width="9.109375" style="1"/>
    <col min="6149" max="6149" width="16.44140625" style="1" customWidth="1"/>
    <col min="6150" max="6150" width="23.88671875" style="1" customWidth="1"/>
    <col min="6151" max="6151" width="39.44140625" style="1" customWidth="1"/>
    <col min="6152" max="6152" width="22" style="1" customWidth="1"/>
    <col min="6153" max="6153" width="15.33203125" style="1" customWidth="1"/>
    <col min="6154" max="6155" width="12.44140625" style="1" customWidth="1"/>
    <col min="6156" max="6156" width="9.109375" style="1"/>
    <col min="6157" max="6157" width="12.44140625" style="1" customWidth="1"/>
    <col min="6158" max="6158" width="14.33203125" style="1" customWidth="1"/>
    <col min="6159" max="6159" width="16.33203125" style="1" customWidth="1"/>
    <col min="6160" max="6160" width="22.33203125" style="1" customWidth="1"/>
    <col min="6161" max="6161" width="19.5546875" style="1" customWidth="1"/>
    <col min="6162" max="6162" width="17.44140625" style="1" customWidth="1"/>
    <col min="6163" max="6163" width="15.44140625" style="1" customWidth="1"/>
    <col min="6164" max="6164" width="14.44140625" style="1" customWidth="1"/>
    <col min="6165" max="6165" width="15.6640625" style="1" customWidth="1"/>
    <col min="6166" max="6166" width="12.88671875" style="1" customWidth="1"/>
    <col min="6167" max="6167" width="15.6640625" style="1" customWidth="1"/>
    <col min="6168" max="6168" width="9.109375" style="1"/>
    <col min="6169" max="6170" width="11.6640625" style="1" customWidth="1"/>
    <col min="6171" max="6171" width="91.33203125" style="1" customWidth="1"/>
    <col min="6172" max="6397" width="9.109375" style="1"/>
    <col min="6398" max="6398" width="21.88671875" style="1" customWidth="1"/>
    <col min="6399" max="6402" width="9.109375" style="1"/>
    <col min="6403" max="6403" width="10.6640625" style="1" customWidth="1"/>
    <col min="6404" max="6404" width="9.109375" style="1"/>
    <col min="6405" max="6405" width="16.44140625" style="1" customWidth="1"/>
    <col min="6406" max="6406" width="23.88671875" style="1" customWidth="1"/>
    <col min="6407" max="6407" width="39.44140625" style="1" customWidth="1"/>
    <col min="6408" max="6408" width="22" style="1" customWidth="1"/>
    <col min="6409" max="6409" width="15.33203125" style="1" customWidth="1"/>
    <col min="6410" max="6411" width="12.44140625" style="1" customWidth="1"/>
    <col min="6412" max="6412" width="9.109375" style="1"/>
    <col min="6413" max="6413" width="12.44140625" style="1" customWidth="1"/>
    <col min="6414" max="6414" width="14.33203125" style="1" customWidth="1"/>
    <col min="6415" max="6415" width="16.33203125" style="1" customWidth="1"/>
    <col min="6416" max="6416" width="22.33203125" style="1" customWidth="1"/>
    <col min="6417" max="6417" width="19.5546875" style="1" customWidth="1"/>
    <col min="6418" max="6418" width="17.44140625" style="1" customWidth="1"/>
    <col min="6419" max="6419" width="15.44140625" style="1" customWidth="1"/>
    <col min="6420" max="6420" width="14.44140625" style="1" customWidth="1"/>
    <col min="6421" max="6421" width="15.6640625" style="1" customWidth="1"/>
    <col min="6422" max="6422" width="12.88671875" style="1" customWidth="1"/>
    <col min="6423" max="6423" width="15.6640625" style="1" customWidth="1"/>
    <col min="6424" max="6424" width="9.109375" style="1"/>
    <col min="6425" max="6426" width="11.6640625" style="1" customWidth="1"/>
    <col min="6427" max="6427" width="91.33203125" style="1" customWidth="1"/>
    <col min="6428" max="6653" width="9.109375" style="1"/>
    <col min="6654" max="6654" width="21.88671875" style="1" customWidth="1"/>
    <col min="6655" max="6658" width="9.109375" style="1"/>
    <col min="6659" max="6659" width="10.6640625" style="1" customWidth="1"/>
    <col min="6660" max="6660" width="9.109375" style="1"/>
    <col min="6661" max="6661" width="16.44140625" style="1" customWidth="1"/>
    <col min="6662" max="6662" width="23.88671875" style="1" customWidth="1"/>
    <col min="6663" max="6663" width="39.44140625" style="1" customWidth="1"/>
    <col min="6664" max="6664" width="22" style="1" customWidth="1"/>
    <col min="6665" max="6665" width="15.33203125" style="1" customWidth="1"/>
    <col min="6666" max="6667" width="12.44140625" style="1" customWidth="1"/>
    <col min="6668" max="6668" width="9.109375" style="1"/>
    <col min="6669" max="6669" width="12.44140625" style="1" customWidth="1"/>
    <col min="6670" max="6670" width="14.33203125" style="1" customWidth="1"/>
    <col min="6671" max="6671" width="16.33203125" style="1" customWidth="1"/>
    <col min="6672" max="6672" width="22.33203125" style="1" customWidth="1"/>
    <col min="6673" max="6673" width="19.5546875" style="1" customWidth="1"/>
    <col min="6674" max="6674" width="17.44140625" style="1" customWidth="1"/>
    <col min="6675" max="6675" width="15.44140625" style="1" customWidth="1"/>
    <col min="6676" max="6676" width="14.44140625" style="1" customWidth="1"/>
    <col min="6677" max="6677" width="15.6640625" style="1" customWidth="1"/>
    <col min="6678" max="6678" width="12.88671875" style="1" customWidth="1"/>
    <col min="6679" max="6679" width="15.6640625" style="1" customWidth="1"/>
    <col min="6680" max="6680" width="9.109375" style="1"/>
    <col min="6681" max="6682" width="11.6640625" style="1" customWidth="1"/>
    <col min="6683" max="6683" width="91.33203125" style="1" customWidth="1"/>
    <col min="6684" max="6909" width="9.109375" style="1"/>
    <col min="6910" max="6910" width="21.88671875" style="1" customWidth="1"/>
    <col min="6911" max="6914" width="9.109375" style="1"/>
    <col min="6915" max="6915" width="10.6640625" style="1" customWidth="1"/>
    <col min="6916" max="6916" width="9.109375" style="1"/>
    <col min="6917" max="6917" width="16.44140625" style="1" customWidth="1"/>
    <col min="6918" max="6918" width="23.88671875" style="1" customWidth="1"/>
    <col min="6919" max="6919" width="39.44140625" style="1" customWidth="1"/>
    <col min="6920" max="6920" width="22" style="1" customWidth="1"/>
    <col min="6921" max="6921" width="15.33203125" style="1" customWidth="1"/>
    <col min="6922" max="6923" width="12.44140625" style="1" customWidth="1"/>
    <col min="6924" max="6924" width="9.109375" style="1"/>
    <col min="6925" max="6925" width="12.44140625" style="1" customWidth="1"/>
    <col min="6926" max="6926" width="14.33203125" style="1" customWidth="1"/>
    <col min="6927" max="6927" width="16.33203125" style="1" customWidth="1"/>
    <col min="6928" max="6928" width="22.33203125" style="1" customWidth="1"/>
    <col min="6929" max="6929" width="19.5546875" style="1" customWidth="1"/>
    <col min="6930" max="6930" width="17.44140625" style="1" customWidth="1"/>
    <col min="6931" max="6931" width="15.44140625" style="1" customWidth="1"/>
    <col min="6932" max="6932" width="14.44140625" style="1" customWidth="1"/>
    <col min="6933" max="6933" width="15.6640625" style="1" customWidth="1"/>
    <col min="6934" max="6934" width="12.88671875" style="1" customWidth="1"/>
    <col min="6935" max="6935" width="15.6640625" style="1" customWidth="1"/>
    <col min="6936" max="6936" width="9.109375" style="1"/>
    <col min="6937" max="6938" width="11.6640625" style="1" customWidth="1"/>
    <col min="6939" max="6939" width="91.33203125" style="1" customWidth="1"/>
    <col min="6940" max="7165" width="9.109375" style="1"/>
    <col min="7166" max="7166" width="21.88671875" style="1" customWidth="1"/>
    <col min="7167" max="7170" width="9.109375" style="1"/>
    <col min="7171" max="7171" width="10.6640625" style="1" customWidth="1"/>
    <col min="7172" max="7172" width="9.109375" style="1"/>
    <col min="7173" max="7173" width="16.44140625" style="1" customWidth="1"/>
    <col min="7174" max="7174" width="23.88671875" style="1" customWidth="1"/>
    <col min="7175" max="7175" width="39.44140625" style="1" customWidth="1"/>
    <col min="7176" max="7176" width="22" style="1" customWidth="1"/>
    <col min="7177" max="7177" width="15.33203125" style="1" customWidth="1"/>
    <col min="7178" max="7179" width="12.44140625" style="1" customWidth="1"/>
    <col min="7180" max="7180" width="9.109375" style="1"/>
    <col min="7181" max="7181" width="12.44140625" style="1" customWidth="1"/>
    <col min="7182" max="7182" width="14.33203125" style="1" customWidth="1"/>
    <col min="7183" max="7183" width="16.33203125" style="1" customWidth="1"/>
    <col min="7184" max="7184" width="22.33203125" style="1" customWidth="1"/>
    <col min="7185" max="7185" width="19.5546875" style="1" customWidth="1"/>
    <col min="7186" max="7186" width="17.44140625" style="1" customWidth="1"/>
    <col min="7187" max="7187" width="15.44140625" style="1" customWidth="1"/>
    <col min="7188" max="7188" width="14.44140625" style="1" customWidth="1"/>
    <col min="7189" max="7189" width="15.6640625" style="1" customWidth="1"/>
    <col min="7190" max="7190" width="12.88671875" style="1" customWidth="1"/>
    <col min="7191" max="7191" width="15.6640625" style="1" customWidth="1"/>
    <col min="7192" max="7192" width="9.109375" style="1"/>
    <col min="7193" max="7194" width="11.6640625" style="1" customWidth="1"/>
    <col min="7195" max="7195" width="91.33203125" style="1" customWidth="1"/>
    <col min="7196" max="7421" width="9.109375" style="1"/>
    <col min="7422" max="7422" width="21.88671875" style="1" customWidth="1"/>
    <col min="7423" max="7426" width="9.109375" style="1"/>
    <col min="7427" max="7427" width="10.6640625" style="1" customWidth="1"/>
    <col min="7428" max="7428" width="9.109375" style="1"/>
    <col min="7429" max="7429" width="16.44140625" style="1" customWidth="1"/>
    <col min="7430" max="7430" width="23.88671875" style="1" customWidth="1"/>
    <col min="7431" max="7431" width="39.44140625" style="1" customWidth="1"/>
    <col min="7432" max="7432" width="22" style="1" customWidth="1"/>
    <col min="7433" max="7433" width="15.33203125" style="1" customWidth="1"/>
    <col min="7434" max="7435" width="12.44140625" style="1" customWidth="1"/>
    <col min="7436" max="7436" width="9.109375" style="1"/>
    <col min="7437" max="7437" width="12.44140625" style="1" customWidth="1"/>
    <col min="7438" max="7438" width="14.33203125" style="1" customWidth="1"/>
    <col min="7439" max="7439" width="16.33203125" style="1" customWidth="1"/>
    <col min="7440" max="7440" width="22.33203125" style="1" customWidth="1"/>
    <col min="7441" max="7441" width="19.5546875" style="1" customWidth="1"/>
    <col min="7442" max="7442" width="17.44140625" style="1" customWidth="1"/>
    <col min="7443" max="7443" width="15.44140625" style="1" customWidth="1"/>
    <col min="7444" max="7444" width="14.44140625" style="1" customWidth="1"/>
    <col min="7445" max="7445" width="15.6640625" style="1" customWidth="1"/>
    <col min="7446" max="7446" width="12.88671875" style="1" customWidth="1"/>
    <col min="7447" max="7447" width="15.6640625" style="1" customWidth="1"/>
    <col min="7448" max="7448" width="9.109375" style="1"/>
    <col min="7449" max="7450" width="11.6640625" style="1" customWidth="1"/>
    <col min="7451" max="7451" width="91.33203125" style="1" customWidth="1"/>
    <col min="7452" max="7677" width="9.109375" style="1"/>
    <col min="7678" max="7678" width="21.88671875" style="1" customWidth="1"/>
    <col min="7679" max="7682" width="9.109375" style="1"/>
    <col min="7683" max="7683" width="10.6640625" style="1" customWidth="1"/>
    <col min="7684" max="7684" width="9.109375" style="1"/>
    <col min="7685" max="7685" width="16.44140625" style="1" customWidth="1"/>
    <col min="7686" max="7686" width="23.88671875" style="1" customWidth="1"/>
    <col min="7687" max="7687" width="39.44140625" style="1" customWidth="1"/>
    <col min="7688" max="7688" width="22" style="1" customWidth="1"/>
    <col min="7689" max="7689" width="15.33203125" style="1" customWidth="1"/>
    <col min="7690" max="7691" width="12.44140625" style="1" customWidth="1"/>
    <col min="7692" max="7692" width="9.109375" style="1"/>
    <col min="7693" max="7693" width="12.44140625" style="1" customWidth="1"/>
    <col min="7694" max="7694" width="14.33203125" style="1" customWidth="1"/>
    <col min="7695" max="7695" width="16.33203125" style="1" customWidth="1"/>
    <col min="7696" max="7696" width="22.33203125" style="1" customWidth="1"/>
    <col min="7697" max="7697" width="19.5546875" style="1" customWidth="1"/>
    <col min="7698" max="7698" width="17.44140625" style="1" customWidth="1"/>
    <col min="7699" max="7699" width="15.44140625" style="1" customWidth="1"/>
    <col min="7700" max="7700" width="14.44140625" style="1" customWidth="1"/>
    <col min="7701" max="7701" width="15.6640625" style="1" customWidth="1"/>
    <col min="7702" max="7702" width="12.88671875" style="1" customWidth="1"/>
    <col min="7703" max="7703" width="15.6640625" style="1" customWidth="1"/>
    <col min="7704" max="7704" width="9.109375" style="1"/>
    <col min="7705" max="7706" width="11.6640625" style="1" customWidth="1"/>
    <col min="7707" max="7707" width="91.33203125" style="1" customWidth="1"/>
    <col min="7708" max="7933" width="9.109375" style="1"/>
    <col min="7934" max="7934" width="21.88671875" style="1" customWidth="1"/>
    <col min="7935" max="7938" width="9.109375" style="1"/>
    <col min="7939" max="7939" width="10.6640625" style="1" customWidth="1"/>
    <col min="7940" max="7940" width="9.109375" style="1"/>
    <col min="7941" max="7941" width="16.44140625" style="1" customWidth="1"/>
    <col min="7942" max="7942" width="23.88671875" style="1" customWidth="1"/>
    <col min="7943" max="7943" width="39.44140625" style="1" customWidth="1"/>
    <col min="7944" max="7944" width="22" style="1" customWidth="1"/>
    <col min="7945" max="7945" width="15.33203125" style="1" customWidth="1"/>
    <col min="7946" max="7947" width="12.44140625" style="1" customWidth="1"/>
    <col min="7948" max="7948" width="9.109375" style="1"/>
    <col min="7949" max="7949" width="12.44140625" style="1" customWidth="1"/>
    <col min="7950" max="7950" width="14.33203125" style="1" customWidth="1"/>
    <col min="7951" max="7951" width="16.33203125" style="1" customWidth="1"/>
    <col min="7952" max="7952" width="22.33203125" style="1" customWidth="1"/>
    <col min="7953" max="7953" width="19.5546875" style="1" customWidth="1"/>
    <col min="7954" max="7954" width="17.44140625" style="1" customWidth="1"/>
    <col min="7955" max="7955" width="15.44140625" style="1" customWidth="1"/>
    <col min="7956" max="7956" width="14.44140625" style="1" customWidth="1"/>
    <col min="7957" max="7957" width="15.6640625" style="1" customWidth="1"/>
    <col min="7958" max="7958" width="12.88671875" style="1" customWidth="1"/>
    <col min="7959" max="7959" width="15.6640625" style="1" customWidth="1"/>
    <col min="7960" max="7960" width="9.109375" style="1"/>
    <col min="7961" max="7962" width="11.6640625" style="1" customWidth="1"/>
    <col min="7963" max="7963" width="91.33203125" style="1" customWidth="1"/>
    <col min="7964" max="8189" width="9.109375" style="1"/>
    <col min="8190" max="8190" width="21.88671875" style="1" customWidth="1"/>
    <col min="8191" max="8194" width="9.109375" style="1"/>
    <col min="8195" max="8195" width="10.6640625" style="1" customWidth="1"/>
    <col min="8196" max="8196" width="9.109375" style="1"/>
    <col min="8197" max="8197" width="16.44140625" style="1" customWidth="1"/>
    <col min="8198" max="8198" width="23.88671875" style="1" customWidth="1"/>
    <col min="8199" max="8199" width="39.44140625" style="1" customWidth="1"/>
    <col min="8200" max="8200" width="22" style="1" customWidth="1"/>
    <col min="8201" max="8201" width="15.33203125" style="1" customWidth="1"/>
    <col min="8202" max="8203" width="12.44140625" style="1" customWidth="1"/>
    <col min="8204" max="8204" width="9.109375" style="1"/>
    <col min="8205" max="8205" width="12.44140625" style="1" customWidth="1"/>
    <col min="8206" max="8206" width="14.33203125" style="1" customWidth="1"/>
    <col min="8207" max="8207" width="16.33203125" style="1" customWidth="1"/>
    <col min="8208" max="8208" width="22.33203125" style="1" customWidth="1"/>
    <col min="8209" max="8209" width="19.5546875" style="1" customWidth="1"/>
    <col min="8210" max="8210" width="17.44140625" style="1" customWidth="1"/>
    <col min="8211" max="8211" width="15.44140625" style="1" customWidth="1"/>
    <col min="8212" max="8212" width="14.44140625" style="1" customWidth="1"/>
    <col min="8213" max="8213" width="15.6640625" style="1" customWidth="1"/>
    <col min="8214" max="8214" width="12.88671875" style="1" customWidth="1"/>
    <col min="8215" max="8215" width="15.6640625" style="1" customWidth="1"/>
    <col min="8216" max="8216" width="9.109375" style="1"/>
    <col min="8217" max="8218" width="11.6640625" style="1" customWidth="1"/>
    <col min="8219" max="8219" width="91.33203125" style="1" customWidth="1"/>
    <col min="8220" max="8445" width="9.109375" style="1"/>
    <col min="8446" max="8446" width="21.88671875" style="1" customWidth="1"/>
    <col min="8447" max="8450" width="9.109375" style="1"/>
    <col min="8451" max="8451" width="10.6640625" style="1" customWidth="1"/>
    <col min="8452" max="8452" width="9.109375" style="1"/>
    <col min="8453" max="8453" width="16.44140625" style="1" customWidth="1"/>
    <col min="8454" max="8454" width="23.88671875" style="1" customWidth="1"/>
    <col min="8455" max="8455" width="39.44140625" style="1" customWidth="1"/>
    <col min="8456" max="8456" width="22" style="1" customWidth="1"/>
    <col min="8457" max="8457" width="15.33203125" style="1" customWidth="1"/>
    <col min="8458" max="8459" width="12.44140625" style="1" customWidth="1"/>
    <col min="8460" max="8460" width="9.109375" style="1"/>
    <col min="8461" max="8461" width="12.44140625" style="1" customWidth="1"/>
    <col min="8462" max="8462" width="14.33203125" style="1" customWidth="1"/>
    <col min="8463" max="8463" width="16.33203125" style="1" customWidth="1"/>
    <col min="8464" max="8464" width="22.33203125" style="1" customWidth="1"/>
    <col min="8465" max="8465" width="19.5546875" style="1" customWidth="1"/>
    <col min="8466" max="8466" width="17.44140625" style="1" customWidth="1"/>
    <col min="8467" max="8467" width="15.44140625" style="1" customWidth="1"/>
    <col min="8468" max="8468" width="14.44140625" style="1" customWidth="1"/>
    <col min="8469" max="8469" width="15.6640625" style="1" customWidth="1"/>
    <col min="8470" max="8470" width="12.88671875" style="1" customWidth="1"/>
    <col min="8471" max="8471" width="15.6640625" style="1" customWidth="1"/>
    <col min="8472" max="8472" width="9.109375" style="1"/>
    <col min="8473" max="8474" width="11.6640625" style="1" customWidth="1"/>
    <col min="8475" max="8475" width="91.33203125" style="1" customWidth="1"/>
    <col min="8476" max="8701" width="9.109375" style="1"/>
    <col min="8702" max="8702" width="21.88671875" style="1" customWidth="1"/>
    <col min="8703" max="8706" width="9.109375" style="1"/>
    <col min="8707" max="8707" width="10.6640625" style="1" customWidth="1"/>
    <col min="8708" max="8708" width="9.109375" style="1"/>
    <col min="8709" max="8709" width="16.44140625" style="1" customWidth="1"/>
    <col min="8710" max="8710" width="23.88671875" style="1" customWidth="1"/>
    <col min="8711" max="8711" width="39.44140625" style="1" customWidth="1"/>
    <col min="8712" max="8712" width="22" style="1" customWidth="1"/>
    <col min="8713" max="8713" width="15.33203125" style="1" customWidth="1"/>
    <col min="8714" max="8715" width="12.44140625" style="1" customWidth="1"/>
    <col min="8716" max="8716" width="9.109375" style="1"/>
    <col min="8717" max="8717" width="12.44140625" style="1" customWidth="1"/>
    <col min="8718" max="8718" width="14.33203125" style="1" customWidth="1"/>
    <col min="8719" max="8719" width="16.33203125" style="1" customWidth="1"/>
    <col min="8720" max="8720" width="22.33203125" style="1" customWidth="1"/>
    <col min="8721" max="8721" width="19.5546875" style="1" customWidth="1"/>
    <col min="8722" max="8722" width="17.44140625" style="1" customWidth="1"/>
    <col min="8723" max="8723" width="15.44140625" style="1" customWidth="1"/>
    <col min="8724" max="8724" width="14.44140625" style="1" customWidth="1"/>
    <col min="8725" max="8725" width="15.6640625" style="1" customWidth="1"/>
    <col min="8726" max="8726" width="12.88671875" style="1" customWidth="1"/>
    <col min="8727" max="8727" width="15.6640625" style="1" customWidth="1"/>
    <col min="8728" max="8728" width="9.109375" style="1"/>
    <col min="8729" max="8730" width="11.6640625" style="1" customWidth="1"/>
    <col min="8731" max="8731" width="91.33203125" style="1" customWidth="1"/>
    <col min="8732" max="8957" width="9.109375" style="1"/>
    <col min="8958" max="8958" width="21.88671875" style="1" customWidth="1"/>
    <col min="8959" max="8962" width="9.109375" style="1"/>
    <col min="8963" max="8963" width="10.6640625" style="1" customWidth="1"/>
    <col min="8964" max="8964" width="9.109375" style="1"/>
    <col min="8965" max="8965" width="16.44140625" style="1" customWidth="1"/>
    <col min="8966" max="8966" width="23.88671875" style="1" customWidth="1"/>
    <col min="8967" max="8967" width="39.44140625" style="1" customWidth="1"/>
    <col min="8968" max="8968" width="22" style="1" customWidth="1"/>
    <col min="8969" max="8969" width="15.33203125" style="1" customWidth="1"/>
    <col min="8970" max="8971" width="12.44140625" style="1" customWidth="1"/>
    <col min="8972" max="8972" width="9.109375" style="1"/>
    <col min="8973" max="8973" width="12.44140625" style="1" customWidth="1"/>
    <col min="8974" max="8974" width="14.33203125" style="1" customWidth="1"/>
    <col min="8975" max="8975" width="16.33203125" style="1" customWidth="1"/>
    <col min="8976" max="8976" width="22.33203125" style="1" customWidth="1"/>
    <col min="8977" max="8977" width="19.5546875" style="1" customWidth="1"/>
    <col min="8978" max="8978" width="17.44140625" style="1" customWidth="1"/>
    <col min="8979" max="8979" width="15.44140625" style="1" customWidth="1"/>
    <col min="8980" max="8980" width="14.44140625" style="1" customWidth="1"/>
    <col min="8981" max="8981" width="15.6640625" style="1" customWidth="1"/>
    <col min="8982" max="8982" width="12.88671875" style="1" customWidth="1"/>
    <col min="8983" max="8983" width="15.6640625" style="1" customWidth="1"/>
    <col min="8984" max="8984" width="9.109375" style="1"/>
    <col min="8985" max="8986" width="11.6640625" style="1" customWidth="1"/>
    <col min="8987" max="8987" width="91.33203125" style="1" customWidth="1"/>
    <col min="8988" max="9213" width="9.109375" style="1"/>
    <col min="9214" max="9214" width="21.88671875" style="1" customWidth="1"/>
    <col min="9215" max="9218" width="9.109375" style="1"/>
    <col min="9219" max="9219" width="10.6640625" style="1" customWidth="1"/>
    <col min="9220" max="9220" width="9.109375" style="1"/>
    <col min="9221" max="9221" width="16.44140625" style="1" customWidth="1"/>
    <col min="9222" max="9222" width="23.88671875" style="1" customWidth="1"/>
    <col min="9223" max="9223" width="39.44140625" style="1" customWidth="1"/>
    <col min="9224" max="9224" width="22" style="1" customWidth="1"/>
    <col min="9225" max="9225" width="15.33203125" style="1" customWidth="1"/>
    <col min="9226" max="9227" width="12.44140625" style="1" customWidth="1"/>
    <col min="9228" max="9228" width="9.109375" style="1"/>
    <col min="9229" max="9229" width="12.44140625" style="1" customWidth="1"/>
    <col min="9230" max="9230" width="14.33203125" style="1" customWidth="1"/>
    <col min="9231" max="9231" width="16.33203125" style="1" customWidth="1"/>
    <col min="9232" max="9232" width="22.33203125" style="1" customWidth="1"/>
    <col min="9233" max="9233" width="19.5546875" style="1" customWidth="1"/>
    <col min="9234" max="9234" width="17.44140625" style="1" customWidth="1"/>
    <col min="9235" max="9235" width="15.44140625" style="1" customWidth="1"/>
    <col min="9236" max="9236" width="14.44140625" style="1" customWidth="1"/>
    <col min="9237" max="9237" width="15.6640625" style="1" customWidth="1"/>
    <col min="9238" max="9238" width="12.88671875" style="1" customWidth="1"/>
    <col min="9239" max="9239" width="15.6640625" style="1" customWidth="1"/>
    <col min="9240" max="9240" width="9.109375" style="1"/>
    <col min="9241" max="9242" width="11.6640625" style="1" customWidth="1"/>
    <col min="9243" max="9243" width="91.33203125" style="1" customWidth="1"/>
    <col min="9244" max="9469" width="9.109375" style="1"/>
    <col min="9470" max="9470" width="21.88671875" style="1" customWidth="1"/>
    <col min="9471" max="9474" width="9.109375" style="1"/>
    <col min="9475" max="9475" width="10.6640625" style="1" customWidth="1"/>
    <col min="9476" max="9476" width="9.109375" style="1"/>
    <col min="9477" max="9477" width="16.44140625" style="1" customWidth="1"/>
    <col min="9478" max="9478" width="23.88671875" style="1" customWidth="1"/>
    <col min="9479" max="9479" width="39.44140625" style="1" customWidth="1"/>
    <col min="9480" max="9480" width="22" style="1" customWidth="1"/>
    <col min="9481" max="9481" width="15.33203125" style="1" customWidth="1"/>
    <col min="9482" max="9483" width="12.44140625" style="1" customWidth="1"/>
    <col min="9484" max="9484" width="9.109375" style="1"/>
    <col min="9485" max="9485" width="12.44140625" style="1" customWidth="1"/>
    <col min="9486" max="9486" width="14.33203125" style="1" customWidth="1"/>
    <col min="9487" max="9487" width="16.33203125" style="1" customWidth="1"/>
    <col min="9488" max="9488" width="22.33203125" style="1" customWidth="1"/>
    <col min="9489" max="9489" width="19.5546875" style="1" customWidth="1"/>
    <col min="9490" max="9490" width="17.44140625" style="1" customWidth="1"/>
    <col min="9491" max="9491" width="15.44140625" style="1" customWidth="1"/>
    <col min="9492" max="9492" width="14.44140625" style="1" customWidth="1"/>
    <col min="9493" max="9493" width="15.6640625" style="1" customWidth="1"/>
    <col min="9494" max="9494" width="12.88671875" style="1" customWidth="1"/>
    <col min="9495" max="9495" width="15.6640625" style="1" customWidth="1"/>
    <col min="9496" max="9496" width="9.109375" style="1"/>
    <col min="9497" max="9498" width="11.6640625" style="1" customWidth="1"/>
    <col min="9499" max="9499" width="91.33203125" style="1" customWidth="1"/>
    <col min="9500" max="9725" width="9.109375" style="1"/>
    <col min="9726" max="9726" width="21.88671875" style="1" customWidth="1"/>
    <col min="9727" max="9730" width="9.109375" style="1"/>
    <col min="9731" max="9731" width="10.6640625" style="1" customWidth="1"/>
    <col min="9732" max="9732" width="9.109375" style="1"/>
    <col min="9733" max="9733" width="16.44140625" style="1" customWidth="1"/>
    <col min="9734" max="9734" width="23.88671875" style="1" customWidth="1"/>
    <col min="9735" max="9735" width="39.44140625" style="1" customWidth="1"/>
    <col min="9736" max="9736" width="22" style="1" customWidth="1"/>
    <col min="9737" max="9737" width="15.33203125" style="1" customWidth="1"/>
    <col min="9738" max="9739" width="12.44140625" style="1" customWidth="1"/>
    <col min="9740" max="9740" width="9.109375" style="1"/>
    <col min="9741" max="9741" width="12.44140625" style="1" customWidth="1"/>
    <col min="9742" max="9742" width="14.33203125" style="1" customWidth="1"/>
    <col min="9743" max="9743" width="16.33203125" style="1" customWidth="1"/>
    <col min="9744" max="9744" width="22.33203125" style="1" customWidth="1"/>
    <col min="9745" max="9745" width="19.5546875" style="1" customWidth="1"/>
    <col min="9746" max="9746" width="17.44140625" style="1" customWidth="1"/>
    <col min="9747" max="9747" width="15.44140625" style="1" customWidth="1"/>
    <col min="9748" max="9748" width="14.44140625" style="1" customWidth="1"/>
    <col min="9749" max="9749" width="15.6640625" style="1" customWidth="1"/>
    <col min="9750" max="9750" width="12.88671875" style="1" customWidth="1"/>
    <col min="9751" max="9751" width="15.6640625" style="1" customWidth="1"/>
    <col min="9752" max="9752" width="9.109375" style="1"/>
    <col min="9753" max="9754" width="11.6640625" style="1" customWidth="1"/>
    <col min="9755" max="9755" width="91.33203125" style="1" customWidth="1"/>
    <col min="9756" max="9981" width="9.109375" style="1"/>
    <col min="9982" max="9982" width="21.88671875" style="1" customWidth="1"/>
    <col min="9983" max="9986" width="9.109375" style="1"/>
    <col min="9987" max="9987" width="10.6640625" style="1" customWidth="1"/>
    <col min="9988" max="9988" width="9.109375" style="1"/>
    <col min="9989" max="9989" width="16.44140625" style="1" customWidth="1"/>
    <col min="9990" max="9990" width="23.88671875" style="1" customWidth="1"/>
    <col min="9991" max="9991" width="39.44140625" style="1" customWidth="1"/>
    <col min="9992" max="9992" width="22" style="1" customWidth="1"/>
    <col min="9993" max="9993" width="15.33203125" style="1" customWidth="1"/>
    <col min="9994" max="9995" width="12.44140625" style="1" customWidth="1"/>
    <col min="9996" max="9996" width="9.109375" style="1"/>
    <col min="9997" max="9997" width="12.44140625" style="1" customWidth="1"/>
    <col min="9998" max="9998" width="14.33203125" style="1" customWidth="1"/>
    <col min="9999" max="9999" width="16.33203125" style="1" customWidth="1"/>
    <col min="10000" max="10000" width="22.33203125" style="1" customWidth="1"/>
    <col min="10001" max="10001" width="19.5546875" style="1" customWidth="1"/>
    <col min="10002" max="10002" width="17.44140625" style="1" customWidth="1"/>
    <col min="10003" max="10003" width="15.44140625" style="1" customWidth="1"/>
    <col min="10004" max="10004" width="14.44140625" style="1" customWidth="1"/>
    <col min="10005" max="10005" width="15.6640625" style="1" customWidth="1"/>
    <col min="10006" max="10006" width="12.88671875" style="1" customWidth="1"/>
    <col min="10007" max="10007" width="15.6640625" style="1" customWidth="1"/>
    <col min="10008" max="10008" width="9.109375" style="1"/>
    <col min="10009" max="10010" width="11.6640625" style="1" customWidth="1"/>
    <col min="10011" max="10011" width="91.33203125" style="1" customWidth="1"/>
    <col min="10012" max="10237" width="9.109375" style="1"/>
    <col min="10238" max="10238" width="21.88671875" style="1" customWidth="1"/>
    <col min="10239" max="10242" width="9.109375" style="1"/>
    <col min="10243" max="10243" width="10.6640625" style="1" customWidth="1"/>
    <col min="10244" max="10244" width="9.109375" style="1"/>
    <col min="10245" max="10245" width="16.44140625" style="1" customWidth="1"/>
    <col min="10246" max="10246" width="23.88671875" style="1" customWidth="1"/>
    <col min="10247" max="10247" width="39.44140625" style="1" customWidth="1"/>
    <col min="10248" max="10248" width="22" style="1" customWidth="1"/>
    <col min="10249" max="10249" width="15.33203125" style="1" customWidth="1"/>
    <col min="10250" max="10251" width="12.44140625" style="1" customWidth="1"/>
    <col min="10252" max="10252" width="9.109375" style="1"/>
    <col min="10253" max="10253" width="12.44140625" style="1" customWidth="1"/>
    <col min="10254" max="10254" width="14.33203125" style="1" customWidth="1"/>
    <col min="10255" max="10255" width="16.33203125" style="1" customWidth="1"/>
    <col min="10256" max="10256" width="22.33203125" style="1" customWidth="1"/>
    <col min="10257" max="10257" width="19.5546875" style="1" customWidth="1"/>
    <col min="10258" max="10258" width="17.44140625" style="1" customWidth="1"/>
    <col min="10259" max="10259" width="15.44140625" style="1" customWidth="1"/>
    <col min="10260" max="10260" width="14.44140625" style="1" customWidth="1"/>
    <col min="10261" max="10261" width="15.6640625" style="1" customWidth="1"/>
    <col min="10262" max="10262" width="12.88671875" style="1" customWidth="1"/>
    <col min="10263" max="10263" width="15.6640625" style="1" customWidth="1"/>
    <col min="10264" max="10264" width="9.109375" style="1"/>
    <col min="10265" max="10266" width="11.6640625" style="1" customWidth="1"/>
    <col min="10267" max="10267" width="91.33203125" style="1" customWidth="1"/>
    <col min="10268" max="10493" width="9.109375" style="1"/>
    <col min="10494" max="10494" width="21.88671875" style="1" customWidth="1"/>
    <col min="10495" max="10498" width="9.109375" style="1"/>
    <col min="10499" max="10499" width="10.6640625" style="1" customWidth="1"/>
    <col min="10500" max="10500" width="9.109375" style="1"/>
    <col min="10501" max="10501" width="16.44140625" style="1" customWidth="1"/>
    <col min="10502" max="10502" width="23.88671875" style="1" customWidth="1"/>
    <col min="10503" max="10503" width="39.44140625" style="1" customWidth="1"/>
    <col min="10504" max="10504" width="22" style="1" customWidth="1"/>
    <col min="10505" max="10505" width="15.33203125" style="1" customWidth="1"/>
    <col min="10506" max="10507" width="12.44140625" style="1" customWidth="1"/>
    <col min="10508" max="10508" width="9.109375" style="1"/>
    <col min="10509" max="10509" width="12.44140625" style="1" customWidth="1"/>
    <col min="10510" max="10510" width="14.33203125" style="1" customWidth="1"/>
    <col min="10511" max="10511" width="16.33203125" style="1" customWidth="1"/>
    <col min="10512" max="10512" width="22.33203125" style="1" customWidth="1"/>
    <col min="10513" max="10513" width="19.5546875" style="1" customWidth="1"/>
    <col min="10514" max="10514" width="17.44140625" style="1" customWidth="1"/>
    <col min="10515" max="10515" width="15.44140625" style="1" customWidth="1"/>
    <col min="10516" max="10516" width="14.44140625" style="1" customWidth="1"/>
    <col min="10517" max="10517" width="15.6640625" style="1" customWidth="1"/>
    <col min="10518" max="10518" width="12.88671875" style="1" customWidth="1"/>
    <col min="10519" max="10519" width="15.6640625" style="1" customWidth="1"/>
    <col min="10520" max="10520" width="9.109375" style="1"/>
    <col min="10521" max="10522" width="11.6640625" style="1" customWidth="1"/>
    <col min="10523" max="10523" width="91.33203125" style="1" customWidth="1"/>
    <col min="10524" max="10749" width="9.109375" style="1"/>
    <col min="10750" max="10750" width="21.88671875" style="1" customWidth="1"/>
    <col min="10751" max="10754" width="9.109375" style="1"/>
    <col min="10755" max="10755" width="10.6640625" style="1" customWidth="1"/>
    <col min="10756" max="10756" width="9.109375" style="1"/>
    <col min="10757" max="10757" width="16.44140625" style="1" customWidth="1"/>
    <col min="10758" max="10758" width="23.88671875" style="1" customWidth="1"/>
    <col min="10759" max="10759" width="39.44140625" style="1" customWidth="1"/>
    <col min="10760" max="10760" width="22" style="1" customWidth="1"/>
    <col min="10761" max="10761" width="15.33203125" style="1" customWidth="1"/>
    <col min="10762" max="10763" width="12.44140625" style="1" customWidth="1"/>
    <col min="10764" max="10764" width="9.109375" style="1"/>
    <col min="10765" max="10765" width="12.44140625" style="1" customWidth="1"/>
    <col min="10766" max="10766" width="14.33203125" style="1" customWidth="1"/>
    <col min="10767" max="10767" width="16.33203125" style="1" customWidth="1"/>
    <col min="10768" max="10768" width="22.33203125" style="1" customWidth="1"/>
    <col min="10769" max="10769" width="19.5546875" style="1" customWidth="1"/>
    <col min="10770" max="10770" width="17.44140625" style="1" customWidth="1"/>
    <col min="10771" max="10771" width="15.44140625" style="1" customWidth="1"/>
    <col min="10772" max="10772" width="14.44140625" style="1" customWidth="1"/>
    <col min="10773" max="10773" width="15.6640625" style="1" customWidth="1"/>
    <col min="10774" max="10774" width="12.88671875" style="1" customWidth="1"/>
    <col min="10775" max="10775" width="15.6640625" style="1" customWidth="1"/>
    <col min="10776" max="10776" width="9.109375" style="1"/>
    <col min="10777" max="10778" width="11.6640625" style="1" customWidth="1"/>
    <col min="10779" max="10779" width="91.33203125" style="1" customWidth="1"/>
    <col min="10780" max="11005" width="9.109375" style="1"/>
    <col min="11006" max="11006" width="21.88671875" style="1" customWidth="1"/>
    <col min="11007" max="11010" width="9.109375" style="1"/>
    <col min="11011" max="11011" width="10.6640625" style="1" customWidth="1"/>
    <col min="11012" max="11012" width="9.109375" style="1"/>
    <col min="11013" max="11013" width="16.44140625" style="1" customWidth="1"/>
    <col min="11014" max="11014" width="23.88671875" style="1" customWidth="1"/>
    <col min="11015" max="11015" width="39.44140625" style="1" customWidth="1"/>
    <col min="11016" max="11016" width="22" style="1" customWidth="1"/>
    <col min="11017" max="11017" width="15.33203125" style="1" customWidth="1"/>
    <col min="11018" max="11019" width="12.44140625" style="1" customWidth="1"/>
    <col min="11020" max="11020" width="9.109375" style="1"/>
    <col min="11021" max="11021" width="12.44140625" style="1" customWidth="1"/>
    <col min="11022" max="11022" width="14.33203125" style="1" customWidth="1"/>
    <col min="11023" max="11023" width="16.33203125" style="1" customWidth="1"/>
    <col min="11024" max="11024" width="22.33203125" style="1" customWidth="1"/>
    <col min="11025" max="11025" width="19.5546875" style="1" customWidth="1"/>
    <col min="11026" max="11026" width="17.44140625" style="1" customWidth="1"/>
    <col min="11027" max="11027" width="15.44140625" style="1" customWidth="1"/>
    <col min="11028" max="11028" width="14.44140625" style="1" customWidth="1"/>
    <col min="11029" max="11029" width="15.6640625" style="1" customWidth="1"/>
    <col min="11030" max="11030" width="12.88671875" style="1" customWidth="1"/>
    <col min="11031" max="11031" width="15.6640625" style="1" customWidth="1"/>
    <col min="11032" max="11032" width="9.109375" style="1"/>
    <col min="11033" max="11034" width="11.6640625" style="1" customWidth="1"/>
    <col min="11035" max="11035" width="91.33203125" style="1" customWidth="1"/>
    <col min="11036" max="11261" width="9.109375" style="1"/>
    <col min="11262" max="11262" width="21.88671875" style="1" customWidth="1"/>
    <col min="11263" max="11266" width="9.109375" style="1"/>
    <col min="11267" max="11267" width="10.6640625" style="1" customWidth="1"/>
    <col min="11268" max="11268" width="9.109375" style="1"/>
    <col min="11269" max="11269" width="16.44140625" style="1" customWidth="1"/>
    <col min="11270" max="11270" width="23.88671875" style="1" customWidth="1"/>
    <col min="11271" max="11271" width="39.44140625" style="1" customWidth="1"/>
    <col min="11272" max="11272" width="22" style="1" customWidth="1"/>
    <col min="11273" max="11273" width="15.33203125" style="1" customWidth="1"/>
    <col min="11274" max="11275" width="12.44140625" style="1" customWidth="1"/>
    <col min="11276" max="11276" width="9.109375" style="1"/>
    <col min="11277" max="11277" width="12.44140625" style="1" customWidth="1"/>
    <col min="11278" max="11278" width="14.33203125" style="1" customWidth="1"/>
    <col min="11279" max="11279" width="16.33203125" style="1" customWidth="1"/>
    <col min="11280" max="11280" width="22.33203125" style="1" customWidth="1"/>
    <col min="11281" max="11281" width="19.5546875" style="1" customWidth="1"/>
    <col min="11282" max="11282" width="17.44140625" style="1" customWidth="1"/>
    <col min="11283" max="11283" width="15.44140625" style="1" customWidth="1"/>
    <col min="11284" max="11284" width="14.44140625" style="1" customWidth="1"/>
    <col min="11285" max="11285" width="15.6640625" style="1" customWidth="1"/>
    <col min="11286" max="11286" width="12.88671875" style="1" customWidth="1"/>
    <col min="11287" max="11287" width="15.6640625" style="1" customWidth="1"/>
    <col min="11288" max="11288" width="9.109375" style="1"/>
    <col min="11289" max="11290" width="11.6640625" style="1" customWidth="1"/>
    <col min="11291" max="11291" width="91.33203125" style="1" customWidth="1"/>
    <col min="11292" max="11517" width="9.109375" style="1"/>
    <col min="11518" max="11518" width="21.88671875" style="1" customWidth="1"/>
    <col min="11519" max="11522" width="9.109375" style="1"/>
    <col min="11523" max="11523" width="10.6640625" style="1" customWidth="1"/>
    <col min="11524" max="11524" width="9.109375" style="1"/>
    <col min="11525" max="11525" width="16.44140625" style="1" customWidth="1"/>
    <col min="11526" max="11526" width="23.88671875" style="1" customWidth="1"/>
    <col min="11527" max="11527" width="39.44140625" style="1" customWidth="1"/>
    <col min="11528" max="11528" width="22" style="1" customWidth="1"/>
    <col min="11529" max="11529" width="15.33203125" style="1" customWidth="1"/>
    <col min="11530" max="11531" width="12.44140625" style="1" customWidth="1"/>
    <col min="11532" max="11532" width="9.109375" style="1"/>
    <col min="11533" max="11533" width="12.44140625" style="1" customWidth="1"/>
    <col min="11534" max="11534" width="14.33203125" style="1" customWidth="1"/>
    <col min="11535" max="11535" width="16.33203125" style="1" customWidth="1"/>
    <col min="11536" max="11536" width="22.33203125" style="1" customWidth="1"/>
    <col min="11537" max="11537" width="19.5546875" style="1" customWidth="1"/>
    <col min="11538" max="11538" width="17.44140625" style="1" customWidth="1"/>
    <col min="11539" max="11539" width="15.44140625" style="1" customWidth="1"/>
    <col min="11540" max="11540" width="14.44140625" style="1" customWidth="1"/>
    <col min="11541" max="11541" width="15.6640625" style="1" customWidth="1"/>
    <col min="11542" max="11542" width="12.88671875" style="1" customWidth="1"/>
    <col min="11543" max="11543" width="15.6640625" style="1" customWidth="1"/>
    <col min="11544" max="11544" width="9.109375" style="1"/>
    <col min="11545" max="11546" width="11.6640625" style="1" customWidth="1"/>
    <col min="11547" max="11547" width="91.33203125" style="1" customWidth="1"/>
    <col min="11548" max="11773" width="9.109375" style="1"/>
    <col min="11774" max="11774" width="21.88671875" style="1" customWidth="1"/>
    <col min="11775" max="11778" width="9.109375" style="1"/>
    <col min="11779" max="11779" width="10.6640625" style="1" customWidth="1"/>
    <col min="11780" max="11780" width="9.109375" style="1"/>
    <col min="11781" max="11781" width="16.44140625" style="1" customWidth="1"/>
    <col min="11782" max="11782" width="23.88671875" style="1" customWidth="1"/>
    <col min="11783" max="11783" width="39.44140625" style="1" customWidth="1"/>
    <col min="11784" max="11784" width="22" style="1" customWidth="1"/>
    <col min="11785" max="11785" width="15.33203125" style="1" customWidth="1"/>
    <col min="11786" max="11787" width="12.44140625" style="1" customWidth="1"/>
    <col min="11788" max="11788" width="9.109375" style="1"/>
    <col min="11789" max="11789" width="12.44140625" style="1" customWidth="1"/>
    <col min="11790" max="11790" width="14.33203125" style="1" customWidth="1"/>
    <col min="11791" max="11791" width="16.33203125" style="1" customWidth="1"/>
    <col min="11792" max="11792" width="22.33203125" style="1" customWidth="1"/>
    <col min="11793" max="11793" width="19.5546875" style="1" customWidth="1"/>
    <col min="11794" max="11794" width="17.44140625" style="1" customWidth="1"/>
    <col min="11795" max="11795" width="15.44140625" style="1" customWidth="1"/>
    <col min="11796" max="11796" width="14.44140625" style="1" customWidth="1"/>
    <col min="11797" max="11797" width="15.6640625" style="1" customWidth="1"/>
    <col min="11798" max="11798" width="12.88671875" style="1" customWidth="1"/>
    <col min="11799" max="11799" width="15.6640625" style="1" customWidth="1"/>
    <col min="11800" max="11800" width="9.109375" style="1"/>
    <col min="11801" max="11802" width="11.6640625" style="1" customWidth="1"/>
    <col min="11803" max="11803" width="91.33203125" style="1" customWidth="1"/>
    <col min="11804" max="12029" width="9.109375" style="1"/>
    <col min="12030" max="12030" width="21.88671875" style="1" customWidth="1"/>
    <col min="12031" max="12034" width="9.109375" style="1"/>
    <col min="12035" max="12035" width="10.6640625" style="1" customWidth="1"/>
    <col min="12036" max="12036" width="9.109375" style="1"/>
    <col min="12037" max="12037" width="16.44140625" style="1" customWidth="1"/>
    <col min="12038" max="12038" width="23.88671875" style="1" customWidth="1"/>
    <col min="12039" max="12039" width="39.44140625" style="1" customWidth="1"/>
    <col min="12040" max="12040" width="22" style="1" customWidth="1"/>
    <col min="12041" max="12041" width="15.33203125" style="1" customWidth="1"/>
    <col min="12042" max="12043" width="12.44140625" style="1" customWidth="1"/>
    <col min="12044" max="12044" width="9.109375" style="1"/>
    <col min="12045" max="12045" width="12.44140625" style="1" customWidth="1"/>
    <col min="12046" max="12046" width="14.33203125" style="1" customWidth="1"/>
    <col min="12047" max="12047" width="16.33203125" style="1" customWidth="1"/>
    <col min="12048" max="12048" width="22.33203125" style="1" customWidth="1"/>
    <col min="12049" max="12049" width="19.5546875" style="1" customWidth="1"/>
    <col min="12050" max="12050" width="17.44140625" style="1" customWidth="1"/>
    <col min="12051" max="12051" width="15.44140625" style="1" customWidth="1"/>
    <col min="12052" max="12052" width="14.44140625" style="1" customWidth="1"/>
    <col min="12053" max="12053" width="15.6640625" style="1" customWidth="1"/>
    <col min="12054" max="12054" width="12.88671875" style="1" customWidth="1"/>
    <col min="12055" max="12055" width="15.6640625" style="1" customWidth="1"/>
    <col min="12056" max="12056" width="9.109375" style="1"/>
    <col min="12057" max="12058" width="11.6640625" style="1" customWidth="1"/>
    <col min="12059" max="12059" width="91.33203125" style="1" customWidth="1"/>
    <col min="12060" max="12285" width="9.109375" style="1"/>
    <col min="12286" max="12286" width="21.88671875" style="1" customWidth="1"/>
    <col min="12287" max="12290" width="9.109375" style="1"/>
    <col min="12291" max="12291" width="10.6640625" style="1" customWidth="1"/>
    <col min="12292" max="12292" width="9.109375" style="1"/>
    <col min="12293" max="12293" width="16.44140625" style="1" customWidth="1"/>
    <col min="12294" max="12294" width="23.88671875" style="1" customWidth="1"/>
    <col min="12295" max="12295" width="39.44140625" style="1" customWidth="1"/>
    <col min="12296" max="12296" width="22" style="1" customWidth="1"/>
    <col min="12297" max="12297" width="15.33203125" style="1" customWidth="1"/>
    <col min="12298" max="12299" width="12.44140625" style="1" customWidth="1"/>
    <col min="12300" max="12300" width="9.109375" style="1"/>
    <col min="12301" max="12301" width="12.44140625" style="1" customWidth="1"/>
    <col min="12302" max="12302" width="14.33203125" style="1" customWidth="1"/>
    <col min="12303" max="12303" width="16.33203125" style="1" customWidth="1"/>
    <col min="12304" max="12304" width="22.33203125" style="1" customWidth="1"/>
    <col min="12305" max="12305" width="19.5546875" style="1" customWidth="1"/>
    <col min="12306" max="12306" width="17.44140625" style="1" customWidth="1"/>
    <col min="12307" max="12307" width="15.44140625" style="1" customWidth="1"/>
    <col min="12308" max="12308" width="14.44140625" style="1" customWidth="1"/>
    <col min="12309" max="12309" width="15.6640625" style="1" customWidth="1"/>
    <col min="12310" max="12310" width="12.88671875" style="1" customWidth="1"/>
    <col min="12311" max="12311" width="15.6640625" style="1" customWidth="1"/>
    <col min="12312" max="12312" width="9.109375" style="1"/>
    <col min="12313" max="12314" width="11.6640625" style="1" customWidth="1"/>
    <col min="12315" max="12315" width="91.33203125" style="1" customWidth="1"/>
    <col min="12316" max="12541" width="9.109375" style="1"/>
    <col min="12542" max="12542" width="21.88671875" style="1" customWidth="1"/>
    <col min="12543" max="12546" width="9.109375" style="1"/>
    <col min="12547" max="12547" width="10.6640625" style="1" customWidth="1"/>
    <col min="12548" max="12548" width="9.109375" style="1"/>
    <col min="12549" max="12549" width="16.44140625" style="1" customWidth="1"/>
    <col min="12550" max="12550" width="23.88671875" style="1" customWidth="1"/>
    <col min="12551" max="12551" width="39.44140625" style="1" customWidth="1"/>
    <col min="12552" max="12552" width="22" style="1" customWidth="1"/>
    <col min="12553" max="12553" width="15.33203125" style="1" customWidth="1"/>
    <col min="12554" max="12555" width="12.44140625" style="1" customWidth="1"/>
    <col min="12556" max="12556" width="9.109375" style="1"/>
    <col min="12557" max="12557" width="12.44140625" style="1" customWidth="1"/>
    <col min="12558" max="12558" width="14.33203125" style="1" customWidth="1"/>
    <col min="12559" max="12559" width="16.33203125" style="1" customWidth="1"/>
    <col min="12560" max="12560" width="22.33203125" style="1" customWidth="1"/>
    <col min="12561" max="12561" width="19.5546875" style="1" customWidth="1"/>
    <col min="12562" max="12562" width="17.44140625" style="1" customWidth="1"/>
    <col min="12563" max="12563" width="15.44140625" style="1" customWidth="1"/>
    <col min="12564" max="12564" width="14.44140625" style="1" customWidth="1"/>
    <col min="12565" max="12565" width="15.6640625" style="1" customWidth="1"/>
    <col min="12566" max="12566" width="12.88671875" style="1" customWidth="1"/>
    <col min="12567" max="12567" width="15.6640625" style="1" customWidth="1"/>
    <col min="12568" max="12568" width="9.109375" style="1"/>
    <col min="12569" max="12570" width="11.6640625" style="1" customWidth="1"/>
    <col min="12571" max="12571" width="91.33203125" style="1" customWidth="1"/>
    <col min="12572" max="12797" width="9.109375" style="1"/>
    <col min="12798" max="12798" width="21.88671875" style="1" customWidth="1"/>
    <col min="12799" max="12802" width="9.109375" style="1"/>
    <col min="12803" max="12803" width="10.6640625" style="1" customWidth="1"/>
    <col min="12804" max="12804" width="9.109375" style="1"/>
    <col min="12805" max="12805" width="16.44140625" style="1" customWidth="1"/>
    <col min="12806" max="12806" width="23.88671875" style="1" customWidth="1"/>
    <col min="12807" max="12807" width="39.44140625" style="1" customWidth="1"/>
    <col min="12808" max="12808" width="22" style="1" customWidth="1"/>
    <col min="12809" max="12809" width="15.33203125" style="1" customWidth="1"/>
    <col min="12810" max="12811" width="12.44140625" style="1" customWidth="1"/>
    <col min="12812" max="12812" width="9.109375" style="1"/>
    <col min="12813" max="12813" width="12.44140625" style="1" customWidth="1"/>
    <col min="12814" max="12814" width="14.33203125" style="1" customWidth="1"/>
    <col min="12815" max="12815" width="16.33203125" style="1" customWidth="1"/>
    <col min="12816" max="12816" width="22.33203125" style="1" customWidth="1"/>
    <col min="12817" max="12817" width="19.5546875" style="1" customWidth="1"/>
    <col min="12818" max="12818" width="17.44140625" style="1" customWidth="1"/>
    <col min="12819" max="12819" width="15.44140625" style="1" customWidth="1"/>
    <col min="12820" max="12820" width="14.44140625" style="1" customWidth="1"/>
    <col min="12821" max="12821" width="15.6640625" style="1" customWidth="1"/>
    <col min="12822" max="12822" width="12.88671875" style="1" customWidth="1"/>
    <col min="12823" max="12823" width="15.6640625" style="1" customWidth="1"/>
    <col min="12824" max="12824" width="9.109375" style="1"/>
    <col min="12825" max="12826" width="11.6640625" style="1" customWidth="1"/>
    <col min="12827" max="12827" width="91.33203125" style="1" customWidth="1"/>
    <col min="12828" max="13053" width="9.109375" style="1"/>
    <col min="13054" max="13054" width="21.88671875" style="1" customWidth="1"/>
    <col min="13055" max="13058" width="9.109375" style="1"/>
    <col min="13059" max="13059" width="10.6640625" style="1" customWidth="1"/>
    <col min="13060" max="13060" width="9.109375" style="1"/>
    <col min="13061" max="13061" width="16.44140625" style="1" customWidth="1"/>
    <col min="13062" max="13062" width="23.88671875" style="1" customWidth="1"/>
    <col min="13063" max="13063" width="39.44140625" style="1" customWidth="1"/>
    <col min="13064" max="13064" width="22" style="1" customWidth="1"/>
    <col min="13065" max="13065" width="15.33203125" style="1" customWidth="1"/>
    <col min="13066" max="13067" width="12.44140625" style="1" customWidth="1"/>
    <col min="13068" max="13068" width="9.109375" style="1"/>
    <col min="13069" max="13069" width="12.44140625" style="1" customWidth="1"/>
    <col min="13070" max="13070" width="14.33203125" style="1" customWidth="1"/>
    <col min="13071" max="13071" width="16.33203125" style="1" customWidth="1"/>
    <col min="13072" max="13072" width="22.33203125" style="1" customWidth="1"/>
    <col min="13073" max="13073" width="19.5546875" style="1" customWidth="1"/>
    <col min="13074" max="13074" width="17.44140625" style="1" customWidth="1"/>
    <col min="13075" max="13075" width="15.44140625" style="1" customWidth="1"/>
    <col min="13076" max="13076" width="14.44140625" style="1" customWidth="1"/>
    <col min="13077" max="13077" width="15.6640625" style="1" customWidth="1"/>
    <col min="13078" max="13078" width="12.88671875" style="1" customWidth="1"/>
    <col min="13079" max="13079" width="15.6640625" style="1" customWidth="1"/>
    <col min="13080" max="13080" width="9.109375" style="1"/>
    <col min="13081" max="13082" width="11.6640625" style="1" customWidth="1"/>
    <col min="13083" max="13083" width="91.33203125" style="1" customWidth="1"/>
    <col min="13084" max="13309" width="9.109375" style="1"/>
    <col min="13310" max="13310" width="21.88671875" style="1" customWidth="1"/>
    <col min="13311" max="13314" width="9.109375" style="1"/>
    <col min="13315" max="13315" width="10.6640625" style="1" customWidth="1"/>
    <col min="13316" max="13316" width="9.109375" style="1"/>
    <col min="13317" max="13317" width="16.44140625" style="1" customWidth="1"/>
    <col min="13318" max="13318" width="23.88671875" style="1" customWidth="1"/>
    <col min="13319" max="13319" width="39.44140625" style="1" customWidth="1"/>
    <col min="13320" max="13320" width="22" style="1" customWidth="1"/>
    <col min="13321" max="13321" width="15.33203125" style="1" customWidth="1"/>
    <col min="13322" max="13323" width="12.44140625" style="1" customWidth="1"/>
    <col min="13324" max="13324" width="9.109375" style="1"/>
    <col min="13325" max="13325" width="12.44140625" style="1" customWidth="1"/>
    <col min="13326" max="13326" width="14.33203125" style="1" customWidth="1"/>
    <col min="13327" max="13327" width="16.33203125" style="1" customWidth="1"/>
    <col min="13328" max="13328" width="22.33203125" style="1" customWidth="1"/>
    <col min="13329" max="13329" width="19.5546875" style="1" customWidth="1"/>
    <col min="13330" max="13330" width="17.44140625" style="1" customWidth="1"/>
    <col min="13331" max="13331" width="15.44140625" style="1" customWidth="1"/>
    <col min="13332" max="13332" width="14.44140625" style="1" customWidth="1"/>
    <col min="13333" max="13333" width="15.6640625" style="1" customWidth="1"/>
    <col min="13334" max="13334" width="12.88671875" style="1" customWidth="1"/>
    <col min="13335" max="13335" width="15.6640625" style="1" customWidth="1"/>
    <col min="13336" max="13336" width="9.109375" style="1"/>
    <col min="13337" max="13338" width="11.6640625" style="1" customWidth="1"/>
    <col min="13339" max="13339" width="91.33203125" style="1" customWidth="1"/>
    <col min="13340" max="13565" width="9.109375" style="1"/>
    <col min="13566" max="13566" width="21.88671875" style="1" customWidth="1"/>
    <col min="13567" max="13570" width="9.109375" style="1"/>
    <col min="13571" max="13571" width="10.6640625" style="1" customWidth="1"/>
    <col min="13572" max="13572" width="9.109375" style="1"/>
    <col min="13573" max="13573" width="16.44140625" style="1" customWidth="1"/>
    <col min="13574" max="13574" width="23.88671875" style="1" customWidth="1"/>
    <col min="13575" max="13575" width="39.44140625" style="1" customWidth="1"/>
    <col min="13576" max="13576" width="22" style="1" customWidth="1"/>
    <col min="13577" max="13577" width="15.33203125" style="1" customWidth="1"/>
    <col min="13578" max="13579" width="12.44140625" style="1" customWidth="1"/>
    <col min="13580" max="13580" width="9.109375" style="1"/>
    <col min="13581" max="13581" width="12.44140625" style="1" customWidth="1"/>
    <col min="13582" max="13582" width="14.33203125" style="1" customWidth="1"/>
    <col min="13583" max="13583" width="16.33203125" style="1" customWidth="1"/>
    <col min="13584" max="13584" width="22.33203125" style="1" customWidth="1"/>
    <col min="13585" max="13585" width="19.5546875" style="1" customWidth="1"/>
    <col min="13586" max="13586" width="17.44140625" style="1" customWidth="1"/>
    <col min="13587" max="13587" width="15.44140625" style="1" customWidth="1"/>
    <col min="13588" max="13588" width="14.44140625" style="1" customWidth="1"/>
    <col min="13589" max="13589" width="15.6640625" style="1" customWidth="1"/>
    <col min="13590" max="13590" width="12.88671875" style="1" customWidth="1"/>
    <col min="13591" max="13591" width="15.6640625" style="1" customWidth="1"/>
    <col min="13592" max="13592" width="9.109375" style="1"/>
    <col min="13593" max="13594" width="11.6640625" style="1" customWidth="1"/>
    <col min="13595" max="13595" width="91.33203125" style="1" customWidth="1"/>
    <col min="13596" max="13821" width="9.109375" style="1"/>
    <col min="13822" max="13822" width="21.88671875" style="1" customWidth="1"/>
    <col min="13823" max="13826" width="9.109375" style="1"/>
    <col min="13827" max="13827" width="10.6640625" style="1" customWidth="1"/>
    <col min="13828" max="13828" width="9.109375" style="1"/>
    <col min="13829" max="13829" width="16.44140625" style="1" customWidth="1"/>
    <col min="13830" max="13830" width="23.88671875" style="1" customWidth="1"/>
    <col min="13831" max="13831" width="39.44140625" style="1" customWidth="1"/>
    <col min="13832" max="13832" width="22" style="1" customWidth="1"/>
    <col min="13833" max="13833" width="15.33203125" style="1" customWidth="1"/>
    <col min="13834" max="13835" width="12.44140625" style="1" customWidth="1"/>
    <col min="13836" max="13836" width="9.109375" style="1"/>
    <col min="13837" max="13837" width="12.44140625" style="1" customWidth="1"/>
    <col min="13838" max="13838" width="14.33203125" style="1" customWidth="1"/>
    <col min="13839" max="13839" width="16.33203125" style="1" customWidth="1"/>
    <col min="13840" max="13840" width="22.33203125" style="1" customWidth="1"/>
    <col min="13841" max="13841" width="19.5546875" style="1" customWidth="1"/>
    <col min="13842" max="13842" width="17.44140625" style="1" customWidth="1"/>
    <col min="13843" max="13843" width="15.44140625" style="1" customWidth="1"/>
    <col min="13844" max="13844" width="14.44140625" style="1" customWidth="1"/>
    <col min="13845" max="13845" width="15.6640625" style="1" customWidth="1"/>
    <col min="13846" max="13846" width="12.88671875" style="1" customWidth="1"/>
    <col min="13847" max="13847" width="15.6640625" style="1" customWidth="1"/>
    <col min="13848" max="13848" width="9.109375" style="1"/>
    <col min="13849" max="13850" width="11.6640625" style="1" customWidth="1"/>
    <col min="13851" max="13851" width="91.33203125" style="1" customWidth="1"/>
    <col min="13852" max="14077" width="9.109375" style="1"/>
    <col min="14078" max="14078" width="21.88671875" style="1" customWidth="1"/>
    <col min="14079" max="14082" width="9.109375" style="1"/>
    <col min="14083" max="14083" width="10.6640625" style="1" customWidth="1"/>
    <col min="14084" max="14084" width="9.109375" style="1"/>
    <col min="14085" max="14085" width="16.44140625" style="1" customWidth="1"/>
    <col min="14086" max="14086" width="23.88671875" style="1" customWidth="1"/>
    <col min="14087" max="14087" width="39.44140625" style="1" customWidth="1"/>
    <col min="14088" max="14088" width="22" style="1" customWidth="1"/>
    <col min="14089" max="14089" width="15.33203125" style="1" customWidth="1"/>
    <col min="14090" max="14091" width="12.44140625" style="1" customWidth="1"/>
    <col min="14092" max="14092" width="9.109375" style="1"/>
    <col min="14093" max="14093" width="12.44140625" style="1" customWidth="1"/>
    <col min="14094" max="14094" width="14.33203125" style="1" customWidth="1"/>
    <col min="14095" max="14095" width="16.33203125" style="1" customWidth="1"/>
    <col min="14096" max="14096" width="22.33203125" style="1" customWidth="1"/>
    <col min="14097" max="14097" width="19.5546875" style="1" customWidth="1"/>
    <col min="14098" max="14098" width="17.44140625" style="1" customWidth="1"/>
    <col min="14099" max="14099" width="15.44140625" style="1" customWidth="1"/>
    <col min="14100" max="14100" width="14.44140625" style="1" customWidth="1"/>
    <col min="14101" max="14101" width="15.6640625" style="1" customWidth="1"/>
    <col min="14102" max="14102" width="12.88671875" style="1" customWidth="1"/>
    <col min="14103" max="14103" width="15.6640625" style="1" customWidth="1"/>
    <col min="14104" max="14104" width="9.109375" style="1"/>
    <col min="14105" max="14106" width="11.6640625" style="1" customWidth="1"/>
    <col min="14107" max="14107" width="91.33203125" style="1" customWidth="1"/>
    <col min="14108" max="14333" width="9.109375" style="1"/>
    <col min="14334" max="14334" width="21.88671875" style="1" customWidth="1"/>
    <col min="14335" max="14338" width="9.109375" style="1"/>
    <col min="14339" max="14339" width="10.6640625" style="1" customWidth="1"/>
    <col min="14340" max="14340" width="9.109375" style="1"/>
    <col min="14341" max="14341" width="16.44140625" style="1" customWidth="1"/>
    <col min="14342" max="14342" width="23.88671875" style="1" customWidth="1"/>
    <col min="14343" max="14343" width="39.44140625" style="1" customWidth="1"/>
    <col min="14344" max="14344" width="22" style="1" customWidth="1"/>
    <col min="14345" max="14345" width="15.33203125" style="1" customWidth="1"/>
    <col min="14346" max="14347" width="12.44140625" style="1" customWidth="1"/>
    <col min="14348" max="14348" width="9.109375" style="1"/>
    <col min="14349" max="14349" width="12.44140625" style="1" customWidth="1"/>
    <col min="14350" max="14350" width="14.33203125" style="1" customWidth="1"/>
    <col min="14351" max="14351" width="16.33203125" style="1" customWidth="1"/>
    <col min="14352" max="14352" width="22.33203125" style="1" customWidth="1"/>
    <col min="14353" max="14353" width="19.5546875" style="1" customWidth="1"/>
    <col min="14354" max="14354" width="17.44140625" style="1" customWidth="1"/>
    <col min="14355" max="14355" width="15.44140625" style="1" customWidth="1"/>
    <col min="14356" max="14356" width="14.44140625" style="1" customWidth="1"/>
    <col min="14357" max="14357" width="15.6640625" style="1" customWidth="1"/>
    <col min="14358" max="14358" width="12.88671875" style="1" customWidth="1"/>
    <col min="14359" max="14359" width="15.6640625" style="1" customWidth="1"/>
    <col min="14360" max="14360" width="9.109375" style="1"/>
    <col min="14361" max="14362" width="11.6640625" style="1" customWidth="1"/>
    <col min="14363" max="14363" width="91.33203125" style="1" customWidth="1"/>
    <col min="14364" max="14589" width="9.109375" style="1"/>
    <col min="14590" max="14590" width="21.88671875" style="1" customWidth="1"/>
    <col min="14591" max="14594" width="9.109375" style="1"/>
    <col min="14595" max="14595" width="10.6640625" style="1" customWidth="1"/>
    <col min="14596" max="14596" width="9.109375" style="1"/>
    <col min="14597" max="14597" width="16.44140625" style="1" customWidth="1"/>
    <col min="14598" max="14598" width="23.88671875" style="1" customWidth="1"/>
    <col min="14599" max="14599" width="39.44140625" style="1" customWidth="1"/>
    <col min="14600" max="14600" width="22" style="1" customWidth="1"/>
    <col min="14601" max="14601" width="15.33203125" style="1" customWidth="1"/>
    <col min="14602" max="14603" width="12.44140625" style="1" customWidth="1"/>
    <col min="14604" max="14604" width="9.109375" style="1"/>
    <col min="14605" max="14605" width="12.44140625" style="1" customWidth="1"/>
    <col min="14606" max="14606" width="14.33203125" style="1" customWidth="1"/>
    <col min="14607" max="14607" width="16.33203125" style="1" customWidth="1"/>
    <col min="14608" max="14608" width="22.33203125" style="1" customWidth="1"/>
    <col min="14609" max="14609" width="19.5546875" style="1" customWidth="1"/>
    <col min="14610" max="14610" width="17.44140625" style="1" customWidth="1"/>
    <col min="14611" max="14611" width="15.44140625" style="1" customWidth="1"/>
    <col min="14612" max="14612" width="14.44140625" style="1" customWidth="1"/>
    <col min="14613" max="14613" width="15.6640625" style="1" customWidth="1"/>
    <col min="14614" max="14614" width="12.88671875" style="1" customWidth="1"/>
    <col min="14615" max="14615" width="15.6640625" style="1" customWidth="1"/>
    <col min="14616" max="14616" width="9.109375" style="1"/>
    <col min="14617" max="14618" width="11.6640625" style="1" customWidth="1"/>
    <col min="14619" max="14619" width="91.33203125" style="1" customWidth="1"/>
    <col min="14620" max="14845" width="9.109375" style="1"/>
    <col min="14846" max="14846" width="21.88671875" style="1" customWidth="1"/>
    <col min="14847" max="14850" width="9.109375" style="1"/>
    <col min="14851" max="14851" width="10.6640625" style="1" customWidth="1"/>
    <col min="14852" max="14852" width="9.109375" style="1"/>
    <col min="14853" max="14853" width="16.44140625" style="1" customWidth="1"/>
    <col min="14854" max="14854" width="23.88671875" style="1" customWidth="1"/>
    <col min="14855" max="14855" width="39.44140625" style="1" customWidth="1"/>
    <col min="14856" max="14856" width="22" style="1" customWidth="1"/>
    <col min="14857" max="14857" width="15.33203125" style="1" customWidth="1"/>
    <col min="14858" max="14859" width="12.44140625" style="1" customWidth="1"/>
    <col min="14860" max="14860" width="9.109375" style="1"/>
    <col min="14861" max="14861" width="12.44140625" style="1" customWidth="1"/>
    <col min="14862" max="14862" width="14.33203125" style="1" customWidth="1"/>
    <col min="14863" max="14863" width="16.33203125" style="1" customWidth="1"/>
    <col min="14864" max="14864" width="22.33203125" style="1" customWidth="1"/>
    <col min="14865" max="14865" width="19.5546875" style="1" customWidth="1"/>
    <col min="14866" max="14866" width="17.44140625" style="1" customWidth="1"/>
    <col min="14867" max="14867" width="15.44140625" style="1" customWidth="1"/>
    <col min="14868" max="14868" width="14.44140625" style="1" customWidth="1"/>
    <col min="14869" max="14869" width="15.6640625" style="1" customWidth="1"/>
    <col min="14870" max="14870" width="12.88671875" style="1" customWidth="1"/>
    <col min="14871" max="14871" width="15.6640625" style="1" customWidth="1"/>
    <col min="14872" max="14872" width="9.109375" style="1"/>
    <col min="14873" max="14874" width="11.6640625" style="1" customWidth="1"/>
    <col min="14875" max="14875" width="91.33203125" style="1" customWidth="1"/>
    <col min="14876" max="15101" width="9.109375" style="1"/>
    <col min="15102" max="15102" width="21.88671875" style="1" customWidth="1"/>
    <col min="15103" max="15106" width="9.109375" style="1"/>
    <col min="15107" max="15107" width="10.6640625" style="1" customWidth="1"/>
    <col min="15108" max="15108" width="9.109375" style="1"/>
    <col min="15109" max="15109" width="16.44140625" style="1" customWidth="1"/>
    <col min="15110" max="15110" width="23.88671875" style="1" customWidth="1"/>
    <col min="15111" max="15111" width="39.44140625" style="1" customWidth="1"/>
    <col min="15112" max="15112" width="22" style="1" customWidth="1"/>
    <col min="15113" max="15113" width="15.33203125" style="1" customWidth="1"/>
    <col min="15114" max="15115" width="12.44140625" style="1" customWidth="1"/>
    <col min="15116" max="15116" width="9.109375" style="1"/>
    <col min="15117" max="15117" width="12.44140625" style="1" customWidth="1"/>
    <col min="15118" max="15118" width="14.33203125" style="1" customWidth="1"/>
    <col min="15119" max="15119" width="16.33203125" style="1" customWidth="1"/>
    <col min="15120" max="15120" width="22.33203125" style="1" customWidth="1"/>
    <col min="15121" max="15121" width="19.5546875" style="1" customWidth="1"/>
    <col min="15122" max="15122" width="17.44140625" style="1" customWidth="1"/>
    <col min="15123" max="15123" width="15.44140625" style="1" customWidth="1"/>
    <col min="15124" max="15124" width="14.44140625" style="1" customWidth="1"/>
    <col min="15125" max="15125" width="15.6640625" style="1" customWidth="1"/>
    <col min="15126" max="15126" width="12.88671875" style="1" customWidth="1"/>
    <col min="15127" max="15127" width="15.6640625" style="1" customWidth="1"/>
    <col min="15128" max="15128" width="9.109375" style="1"/>
    <col min="15129" max="15130" width="11.6640625" style="1" customWidth="1"/>
    <col min="15131" max="15131" width="91.33203125" style="1" customWidth="1"/>
    <col min="15132" max="15357" width="9.109375" style="1"/>
    <col min="15358" max="15358" width="21.88671875" style="1" customWidth="1"/>
    <col min="15359" max="15362" width="9.109375" style="1"/>
    <col min="15363" max="15363" width="10.6640625" style="1" customWidth="1"/>
    <col min="15364" max="15364" width="9.109375" style="1"/>
    <col min="15365" max="15365" width="16.44140625" style="1" customWidth="1"/>
    <col min="15366" max="15366" width="23.88671875" style="1" customWidth="1"/>
    <col min="15367" max="15367" width="39.44140625" style="1" customWidth="1"/>
    <col min="15368" max="15368" width="22" style="1" customWidth="1"/>
    <col min="15369" max="15369" width="15.33203125" style="1" customWidth="1"/>
    <col min="15370" max="15371" width="12.44140625" style="1" customWidth="1"/>
    <col min="15372" max="15372" width="9.109375" style="1"/>
    <col min="15373" max="15373" width="12.44140625" style="1" customWidth="1"/>
    <col min="15374" max="15374" width="14.33203125" style="1" customWidth="1"/>
    <col min="15375" max="15375" width="16.33203125" style="1" customWidth="1"/>
    <col min="15376" max="15376" width="22.33203125" style="1" customWidth="1"/>
    <col min="15377" max="15377" width="19.5546875" style="1" customWidth="1"/>
    <col min="15378" max="15378" width="17.44140625" style="1" customWidth="1"/>
    <col min="15379" max="15379" width="15.44140625" style="1" customWidth="1"/>
    <col min="15380" max="15380" width="14.44140625" style="1" customWidth="1"/>
    <col min="15381" max="15381" width="15.6640625" style="1" customWidth="1"/>
    <col min="15382" max="15382" width="12.88671875" style="1" customWidth="1"/>
    <col min="15383" max="15383" width="15.6640625" style="1" customWidth="1"/>
    <col min="15384" max="15384" width="9.109375" style="1"/>
    <col min="15385" max="15386" width="11.6640625" style="1" customWidth="1"/>
    <col min="15387" max="15387" width="91.33203125" style="1" customWidth="1"/>
    <col min="15388" max="15613" width="9.109375" style="1"/>
    <col min="15614" max="15614" width="21.88671875" style="1" customWidth="1"/>
    <col min="15615" max="15618" width="9.109375" style="1"/>
    <col min="15619" max="15619" width="10.6640625" style="1" customWidth="1"/>
    <col min="15620" max="15620" width="9.109375" style="1"/>
    <col min="15621" max="15621" width="16.44140625" style="1" customWidth="1"/>
    <col min="15622" max="15622" width="23.88671875" style="1" customWidth="1"/>
    <col min="15623" max="15623" width="39.44140625" style="1" customWidth="1"/>
    <col min="15624" max="15624" width="22" style="1" customWidth="1"/>
    <col min="15625" max="15625" width="15.33203125" style="1" customWidth="1"/>
    <col min="15626" max="15627" width="12.44140625" style="1" customWidth="1"/>
    <col min="15628" max="15628" width="9.109375" style="1"/>
    <col min="15629" max="15629" width="12.44140625" style="1" customWidth="1"/>
    <col min="15630" max="15630" width="14.33203125" style="1" customWidth="1"/>
    <col min="15631" max="15631" width="16.33203125" style="1" customWidth="1"/>
    <col min="15632" max="15632" width="22.33203125" style="1" customWidth="1"/>
    <col min="15633" max="15633" width="19.5546875" style="1" customWidth="1"/>
    <col min="15634" max="15634" width="17.44140625" style="1" customWidth="1"/>
    <col min="15635" max="15635" width="15.44140625" style="1" customWidth="1"/>
    <col min="15636" max="15636" width="14.44140625" style="1" customWidth="1"/>
    <col min="15637" max="15637" width="15.6640625" style="1" customWidth="1"/>
    <col min="15638" max="15638" width="12.88671875" style="1" customWidth="1"/>
    <col min="15639" max="15639" width="15.6640625" style="1" customWidth="1"/>
    <col min="15640" max="15640" width="9.109375" style="1"/>
    <col min="15641" max="15642" width="11.6640625" style="1" customWidth="1"/>
    <col min="15643" max="15643" width="91.33203125" style="1" customWidth="1"/>
    <col min="15644" max="15869" width="9.109375" style="1"/>
    <col min="15870" max="15870" width="21.88671875" style="1" customWidth="1"/>
    <col min="15871" max="15874" width="9.109375" style="1"/>
    <col min="15875" max="15875" width="10.6640625" style="1" customWidth="1"/>
    <col min="15876" max="15876" width="9.109375" style="1"/>
    <col min="15877" max="15877" width="16.44140625" style="1" customWidth="1"/>
    <col min="15878" max="15878" width="23.88671875" style="1" customWidth="1"/>
    <col min="15879" max="15879" width="39.44140625" style="1" customWidth="1"/>
    <col min="15880" max="15880" width="22" style="1" customWidth="1"/>
    <col min="15881" max="15881" width="15.33203125" style="1" customWidth="1"/>
    <col min="15882" max="15883" width="12.44140625" style="1" customWidth="1"/>
    <col min="15884" max="15884" width="9.109375" style="1"/>
    <col min="15885" max="15885" width="12.44140625" style="1" customWidth="1"/>
    <col min="15886" max="15886" width="14.33203125" style="1" customWidth="1"/>
    <col min="15887" max="15887" width="16.33203125" style="1" customWidth="1"/>
    <col min="15888" max="15888" width="22.33203125" style="1" customWidth="1"/>
    <col min="15889" max="15889" width="19.5546875" style="1" customWidth="1"/>
    <col min="15890" max="15890" width="17.44140625" style="1" customWidth="1"/>
    <col min="15891" max="15891" width="15.44140625" style="1" customWidth="1"/>
    <col min="15892" max="15892" width="14.44140625" style="1" customWidth="1"/>
    <col min="15893" max="15893" width="15.6640625" style="1" customWidth="1"/>
    <col min="15894" max="15894" width="12.88671875" style="1" customWidth="1"/>
    <col min="15895" max="15895" width="15.6640625" style="1" customWidth="1"/>
    <col min="15896" max="15896" width="9.109375" style="1"/>
    <col min="15897" max="15898" width="11.6640625" style="1" customWidth="1"/>
    <col min="15899" max="15899" width="91.33203125" style="1" customWidth="1"/>
    <col min="15900" max="16125" width="9.109375" style="1"/>
    <col min="16126" max="16126" width="21.88671875" style="1" customWidth="1"/>
    <col min="16127" max="16130" width="9.109375" style="1"/>
    <col min="16131" max="16131" width="10.6640625" style="1" customWidth="1"/>
    <col min="16132" max="16132" width="9.109375" style="1"/>
    <col min="16133" max="16133" width="16.44140625" style="1" customWidth="1"/>
    <col min="16134" max="16134" width="23.88671875" style="1" customWidth="1"/>
    <col min="16135" max="16135" width="39.44140625" style="1" customWidth="1"/>
    <col min="16136" max="16136" width="22" style="1" customWidth="1"/>
    <col min="16137" max="16137" width="15.33203125" style="1" customWidth="1"/>
    <col min="16138" max="16139" width="12.44140625" style="1" customWidth="1"/>
    <col min="16140" max="16140" width="9.109375" style="1"/>
    <col min="16141" max="16141" width="12.44140625" style="1" customWidth="1"/>
    <col min="16142" max="16142" width="14.33203125" style="1" customWidth="1"/>
    <col min="16143" max="16143" width="16.33203125" style="1" customWidth="1"/>
    <col min="16144" max="16144" width="22.33203125" style="1" customWidth="1"/>
    <col min="16145" max="16145" width="19.5546875" style="1" customWidth="1"/>
    <col min="16146" max="16146" width="17.44140625" style="1" customWidth="1"/>
    <col min="16147" max="16147" width="15.44140625" style="1" customWidth="1"/>
    <col min="16148" max="16148" width="14.44140625" style="1" customWidth="1"/>
    <col min="16149" max="16149" width="15.6640625" style="1" customWidth="1"/>
    <col min="16150" max="16150" width="12.88671875" style="1" customWidth="1"/>
    <col min="16151" max="16151" width="15.6640625" style="1" customWidth="1"/>
    <col min="16152" max="16152" width="9.109375" style="1"/>
    <col min="16153" max="16154" width="11.6640625" style="1" customWidth="1"/>
    <col min="16155" max="16155" width="91.33203125" style="1" customWidth="1"/>
    <col min="16156" max="16384" width="9.109375" style="1"/>
  </cols>
  <sheetData>
    <row r="1" spans="1:13" x14ac:dyDescent="0.3">
      <c r="A1" s="5" t="s">
        <v>110</v>
      </c>
      <c r="B1" s="5" t="s">
        <v>111</v>
      </c>
      <c r="C1" s="5" t="s">
        <v>112</v>
      </c>
      <c r="D1" s="5" t="s">
        <v>113</v>
      </c>
      <c r="E1" s="5" t="s">
        <v>114</v>
      </c>
      <c r="F1" s="5" t="s">
        <v>115</v>
      </c>
      <c r="G1" s="5"/>
      <c r="H1" s="6" t="s">
        <v>116</v>
      </c>
      <c r="J1" s="5" t="s">
        <v>117</v>
      </c>
      <c r="K1" s="5" t="s">
        <v>118</v>
      </c>
      <c r="L1" s="5"/>
      <c r="M1" s="5"/>
    </row>
    <row r="2" spans="1:13" x14ac:dyDescent="0.3">
      <c r="A2" s="1" t="s">
        <v>119</v>
      </c>
      <c r="B2" s="1">
        <v>0.01</v>
      </c>
      <c r="C2" s="1">
        <v>3.4000000000000002E-2</v>
      </c>
      <c r="D2" s="1">
        <v>10</v>
      </c>
      <c r="E2" s="1">
        <v>1</v>
      </c>
      <c r="F2" s="1">
        <v>1</v>
      </c>
      <c r="J2" s="1" t="s">
        <v>85</v>
      </c>
      <c r="K2" s="49" t="s">
        <v>120</v>
      </c>
    </row>
    <row r="3" spans="1:13" x14ac:dyDescent="0.3">
      <c r="A3" s="1" t="s">
        <v>121</v>
      </c>
      <c r="B3" s="1">
        <v>0.01</v>
      </c>
      <c r="C3" s="1">
        <v>3.4000000000000002E-2</v>
      </c>
      <c r="D3" s="1">
        <v>10</v>
      </c>
      <c r="E3" s="1">
        <v>1</v>
      </c>
      <c r="F3" s="1">
        <v>1</v>
      </c>
      <c r="J3" s="8" t="s">
        <v>91</v>
      </c>
      <c r="K3" s="49" t="s">
        <v>122</v>
      </c>
    </row>
    <row r="4" spans="1:13" x14ac:dyDescent="0.3">
      <c r="A4" s="1" t="s">
        <v>123</v>
      </c>
      <c r="B4" s="1">
        <v>0.01</v>
      </c>
      <c r="C4" s="1">
        <v>3.4000000000000002E-2</v>
      </c>
      <c r="D4" s="1">
        <v>10</v>
      </c>
      <c r="E4" s="1">
        <v>1</v>
      </c>
      <c r="F4" s="1">
        <v>1</v>
      </c>
      <c r="J4" s="8" t="s">
        <v>92</v>
      </c>
      <c r="K4" s="49" t="s">
        <v>124</v>
      </c>
    </row>
    <row r="5" spans="1:13" x14ac:dyDescent="0.3">
      <c r="A5" s="1" t="s">
        <v>125</v>
      </c>
      <c r="B5" s="1">
        <v>0.1</v>
      </c>
      <c r="C5" s="1">
        <v>3.4000000000000002E-2</v>
      </c>
      <c r="D5" s="1">
        <v>10</v>
      </c>
      <c r="E5" s="1">
        <v>1</v>
      </c>
      <c r="F5" s="1">
        <v>1</v>
      </c>
      <c r="J5" s="8" t="s">
        <v>93</v>
      </c>
      <c r="K5" s="49" t="s">
        <v>126</v>
      </c>
    </row>
    <row r="6" spans="1:13" x14ac:dyDescent="0.3">
      <c r="A6" s="1" t="s">
        <v>127</v>
      </c>
      <c r="B6" s="1">
        <v>0.01</v>
      </c>
      <c r="C6" s="1">
        <v>3.4000000000000002E-2</v>
      </c>
      <c r="D6" s="1">
        <v>10</v>
      </c>
      <c r="E6" s="1">
        <v>1</v>
      </c>
      <c r="F6" s="1">
        <v>1</v>
      </c>
      <c r="J6" s="8" t="s">
        <v>94</v>
      </c>
      <c r="K6" s="49" t="s">
        <v>128</v>
      </c>
    </row>
    <row r="7" spans="1:13" x14ac:dyDescent="0.3">
      <c r="A7" s="1" t="s">
        <v>129</v>
      </c>
      <c r="B7" s="1">
        <v>0.01</v>
      </c>
      <c r="C7" s="1">
        <v>3.4000000000000002E-2</v>
      </c>
      <c r="D7" s="1">
        <v>10</v>
      </c>
      <c r="E7" s="1">
        <v>1</v>
      </c>
      <c r="F7" s="1">
        <v>1</v>
      </c>
      <c r="J7" s="8" t="s">
        <v>95</v>
      </c>
      <c r="K7" s="49" t="s">
        <v>130</v>
      </c>
    </row>
    <row r="8" spans="1:13" x14ac:dyDescent="0.3">
      <c r="A8" s="1" t="s">
        <v>131</v>
      </c>
      <c r="B8" s="1">
        <v>0.01</v>
      </c>
      <c r="C8" s="1">
        <v>3.4000000000000002E-2</v>
      </c>
      <c r="D8" s="1">
        <v>10</v>
      </c>
      <c r="E8" s="1">
        <v>1</v>
      </c>
      <c r="F8" s="1">
        <v>1</v>
      </c>
      <c r="J8" s="8" t="s">
        <v>96</v>
      </c>
      <c r="K8" s="49" t="s">
        <v>132</v>
      </c>
    </row>
    <row r="9" spans="1:13" x14ac:dyDescent="0.3">
      <c r="A9" s="1" t="s">
        <v>133</v>
      </c>
      <c r="B9" s="1">
        <v>0.01</v>
      </c>
      <c r="C9" s="1">
        <v>3.4000000000000002E-2</v>
      </c>
      <c r="D9" s="1">
        <v>10</v>
      </c>
      <c r="E9" s="1">
        <v>1</v>
      </c>
      <c r="F9" s="1">
        <v>1</v>
      </c>
      <c r="J9" s="8" t="s">
        <v>97</v>
      </c>
      <c r="K9" s="49" t="s">
        <v>134</v>
      </c>
    </row>
    <row r="10" spans="1:13" x14ac:dyDescent="0.3">
      <c r="A10" s="1" t="s">
        <v>135</v>
      </c>
      <c r="B10" s="1">
        <v>0.01</v>
      </c>
      <c r="C10" s="1">
        <v>3.4000000000000002E-2</v>
      </c>
      <c r="D10" s="1">
        <v>10</v>
      </c>
      <c r="E10" s="1">
        <v>1</v>
      </c>
      <c r="F10" s="1">
        <v>1</v>
      </c>
      <c r="J10" s="1" t="s">
        <v>98</v>
      </c>
      <c r="K10" s="49" t="s">
        <v>136</v>
      </c>
    </row>
    <row r="11" spans="1:13" x14ac:dyDescent="0.3">
      <c r="A11" s="1" t="s">
        <v>137</v>
      </c>
      <c r="B11" s="1">
        <v>0.1</v>
      </c>
      <c r="C11" s="1">
        <v>3.4000000000000002E-2</v>
      </c>
      <c r="D11" s="1">
        <v>10</v>
      </c>
      <c r="E11" s="1">
        <v>1</v>
      </c>
      <c r="F11" s="1">
        <v>1</v>
      </c>
      <c r="J11" s="8" t="s">
        <v>99</v>
      </c>
      <c r="K11" s="49" t="s">
        <v>138</v>
      </c>
    </row>
    <row r="12" spans="1:13" x14ac:dyDescent="0.3">
      <c r="A12" s="1" t="s">
        <v>139</v>
      </c>
      <c r="B12" s="1">
        <v>0.01</v>
      </c>
      <c r="C12" s="1">
        <v>3.4000000000000002E-2</v>
      </c>
      <c r="D12" s="1">
        <v>10</v>
      </c>
      <c r="E12" s="1">
        <v>1</v>
      </c>
      <c r="F12" s="1">
        <v>1</v>
      </c>
      <c r="J12" s="8" t="s">
        <v>100</v>
      </c>
      <c r="K12" s="49" t="s">
        <v>140</v>
      </c>
    </row>
    <row r="13" spans="1:13" x14ac:dyDescent="0.3">
      <c r="A13" s="1" t="s">
        <v>141</v>
      </c>
      <c r="B13" s="1">
        <v>0.01</v>
      </c>
      <c r="C13" s="1">
        <v>3.4000000000000002E-2</v>
      </c>
      <c r="D13" s="1">
        <v>10</v>
      </c>
      <c r="E13" s="1">
        <v>1</v>
      </c>
      <c r="F13" s="1">
        <v>1</v>
      </c>
      <c r="J13" s="8" t="s">
        <v>101</v>
      </c>
      <c r="K13" s="49" t="s">
        <v>142</v>
      </c>
    </row>
    <row r="14" spans="1:13" x14ac:dyDescent="0.3">
      <c r="A14" s="1" t="s">
        <v>143</v>
      </c>
      <c r="B14" s="1">
        <v>0.01</v>
      </c>
      <c r="C14" s="1">
        <v>3.4000000000000002E-2</v>
      </c>
      <c r="D14" s="1">
        <v>10</v>
      </c>
      <c r="E14" s="1">
        <v>1</v>
      </c>
      <c r="F14" s="1">
        <v>1</v>
      </c>
      <c r="J14" s="8" t="s">
        <v>102</v>
      </c>
      <c r="K14" s="49" t="s">
        <v>144</v>
      </c>
    </row>
    <row r="15" spans="1:13" x14ac:dyDescent="0.3">
      <c r="A15" s="1" t="s">
        <v>145</v>
      </c>
      <c r="B15" s="1">
        <v>0.01</v>
      </c>
      <c r="C15" s="1">
        <v>3.4000000000000002E-2</v>
      </c>
      <c r="D15" s="1">
        <v>10</v>
      </c>
      <c r="E15" s="1">
        <v>1</v>
      </c>
      <c r="F15" s="1">
        <v>1</v>
      </c>
      <c r="J15" s="8" t="s">
        <v>103</v>
      </c>
      <c r="K15" s="50" t="s">
        <v>146</v>
      </c>
    </row>
    <row r="16" spans="1:13" x14ac:dyDescent="0.3">
      <c r="A16" s="1" t="s">
        <v>147</v>
      </c>
      <c r="B16" s="1">
        <v>0.01</v>
      </c>
      <c r="C16" s="1">
        <v>3.4000000000000002E-2</v>
      </c>
      <c r="D16" s="1">
        <v>10</v>
      </c>
      <c r="E16" s="1">
        <v>1</v>
      </c>
      <c r="F16" s="1">
        <v>1</v>
      </c>
      <c r="J16" s="8" t="s">
        <v>104</v>
      </c>
      <c r="K16" s="49" t="s">
        <v>148</v>
      </c>
    </row>
    <row r="17" spans="1:11" x14ac:dyDescent="0.3">
      <c r="A17" s="1" t="s">
        <v>149</v>
      </c>
      <c r="B17" s="1">
        <v>0.01</v>
      </c>
      <c r="C17" s="1">
        <v>3.4000000000000002E-2</v>
      </c>
      <c r="D17" s="1">
        <v>10</v>
      </c>
      <c r="E17" s="1">
        <v>1</v>
      </c>
      <c r="F17" s="1">
        <v>1</v>
      </c>
      <c r="J17" s="8" t="s">
        <v>105</v>
      </c>
      <c r="K17" s="49" t="s">
        <v>150</v>
      </c>
    </row>
    <row r="18" spans="1:11" x14ac:dyDescent="0.3">
      <c r="A18" s="1" t="s">
        <v>151</v>
      </c>
      <c r="B18" s="1">
        <v>0.1</v>
      </c>
      <c r="C18" s="1">
        <v>3.4000000000000002E-2</v>
      </c>
      <c r="D18" s="1">
        <v>10</v>
      </c>
      <c r="E18" s="1">
        <v>1</v>
      </c>
      <c r="F18" s="1">
        <v>1</v>
      </c>
      <c r="J18" s="8" t="s">
        <v>106</v>
      </c>
      <c r="K18" s="49" t="s">
        <v>152</v>
      </c>
    </row>
    <row r="19" spans="1:11" x14ac:dyDescent="0.3">
      <c r="A19" s="1" t="s">
        <v>153</v>
      </c>
      <c r="B19" s="1">
        <v>0.01</v>
      </c>
      <c r="C19" s="1">
        <v>3.4000000000000002E-2</v>
      </c>
      <c r="D19" s="1">
        <v>10</v>
      </c>
      <c r="E19" s="1">
        <v>1</v>
      </c>
      <c r="F19" s="1">
        <v>1</v>
      </c>
      <c r="J19" s="8" t="s">
        <v>107</v>
      </c>
      <c r="K19" s="49" t="s">
        <v>154</v>
      </c>
    </row>
    <row r="20" spans="1:11" x14ac:dyDescent="0.3">
      <c r="A20" s="1" t="s">
        <v>155</v>
      </c>
      <c r="B20" s="1">
        <v>0.01</v>
      </c>
      <c r="C20" s="1">
        <v>3.4000000000000002E-2</v>
      </c>
      <c r="D20" s="1">
        <v>10</v>
      </c>
      <c r="E20" s="1">
        <v>1</v>
      </c>
      <c r="F20" s="1">
        <v>1</v>
      </c>
      <c r="J20" s="8" t="s">
        <v>108</v>
      </c>
      <c r="K20" s="49" t="s">
        <v>156</v>
      </c>
    </row>
    <row r="21" spans="1:11" x14ac:dyDescent="0.3">
      <c r="A21" s="1" t="s">
        <v>157</v>
      </c>
      <c r="B21" s="1">
        <v>0.01</v>
      </c>
      <c r="C21" s="1">
        <v>3.4000000000000002E-2</v>
      </c>
      <c r="D21" s="1">
        <v>10</v>
      </c>
      <c r="E21" s="1">
        <v>1</v>
      </c>
      <c r="F21" s="1">
        <v>1</v>
      </c>
      <c r="J21" s="8" t="s">
        <v>109</v>
      </c>
      <c r="K21" s="49" t="s">
        <v>158</v>
      </c>
    </row>
    <row r="22" spans="1:11" x14ac:dyDescent="0.3">
      <c r="A22" s="1" t="s">
        <v>159</v>
      </c>
      <c r="B22" s="1">
        <v>0.01</v>
      </c>
      <c r="C22" s="1">
        <v>3.4000000000000002E-2</v>
      </c>
      <c r="D22" s="1">
        <v>10</v>
      </c>
      <c r="E22" s="1">
        <v>1</v>
      </c>
      <c r="F22" s="1">
        <v>1</v>
      </c>
      <c r="J22" s="8" t="s">
        <v>160</v>
      </c>
      <c r="K22" s="49" t="s">
        <v>161</v>
      </c>
    </row>
    <row r="23" spans="1:11" x14ac:dyDescent="0.3">
      <c r="A23" s="1" t="s">
        <v>162</v>
      </c>
      <c r="B23" s="1">
        <v>0.01</v>
      </c>
      <c r="C23" s="1">
        <v>3.4000000000000002E-2</v>
      </c>
      <c r="D23" s="1">
        <v>10</v>
      </c>
      <c r="E23" s="1">
        <v>1</v>
      </c>
      <c r="F23" s="1">
        <v>1</v>
      </c>
      <c r="J23" s="8" t="s">
        <v>163</v>
      </c>
      <c r="K23" s="49" t="s">
        <v>164</v>
      </c>
    </row>
    <row r="24" spans="1:11" x14ac:dyDescent="0.3">
      <c r="A24" s="1" t="s">
        <v>165</v>
      </c>
      <c r="B24" s="1">
        <v>0.01</v>
      </c>
      <c r="C24" s="1">
        <v>3.4000000000000002E-2</v>
      </c>
      <c r="D24" s="1">
        <v>10</v>
      </c>
      <c r="E24" s="1">
        <v>1</v>
      </c>
      <c r="F24" s="1">
        <v>1</v>
      </c>
      <c r="J24" s="8" t="s">
        <v>166</v>
      </c>
      <c r="K24" s="49" t="s">
        <v>167</v>
      </c>
    </row>
    <row r="25" spans="1:11" x14ac:dyDescent="0.3">
      <c r="A25" s="1" t="s">
        <v>168</v>
      </c>
      <c r="B25" s="1">
        <v>0.01</v>
      </c>
      <c r="C25" s="1">
        <v>3.4000000000000002E-2</v>
      </c>
      <c r="D25" s="1">
        <v>10</v>
      </c>
      <c r="E25" s="1">
        <v>1</v>
      </c>
      <c r="F25" s="1">
        <v>1</v>
      </c>
      <c r="J25" s="8" t="s">
        <v>169</v>
      </c>
      <c r="K25" s="49" t="s">
        <v>170</v>
      </c>
    </row>
    <row r="26" spans="1:11" x14ac:dyDescent="0.3">
      <c r="A26" s="1" t="s">
        <v>171</v>
      </c>
      <c r="B26" s="1">
        <v>0.1</v>
      </c>
      <c r="C26" s="1">
        <v>3.4000000000000002E-2</v>
      </c>
      <c r="D26" s="1">
        <v>10</v>
      </c>
      <c r="E26" s="1">
        <v>1</v>
      </c>
      <c r="F26" s="1">
        <v>1</v>
      </c>
      <c r="J26" s="8" t="s">
        <v>172</v>
      </c>
      <c r="K26" s="49" t="s">
        <v>173</v>
      </c>
    </row>
    <row r="27" spans="1:11" x14ac:dyDescent="0.3">
      <c r="A27" s="1" t="s">
        <v>174</v>
      </c>
      <c r="B27" s="1">
        <v>0.01</v>
      </c>
      <c r="C27" s="1">
        <v>3.4000000000000002E-2</v>
      </c>
      <c r="D27" s="1">
        <v>10</v>
      </c>
      <c r="E27" s="1">
        <v>1</v>
      </c>
      <c r="F27" s="1">
        <v>1</v>
      </c>
      <c r="J27" s="8" t="s">
        <v>175</v>
      </c>
      <c r="K27" s="49" t="s">
        <v>176</v>
      </c>
    </row>
    <row r="28" spans="1:11" x14ac:dyDescent="0.3">
      <c r="A28" s="1" t="s">
        <v>177</v>
      </c>
      <c r="B28" s="1">
        <v>0.01</v>
      </c>
      <c r="C28" s="1">
        <v>3.4000000000000002E-2</v>
      </c>
      <c r="D28" s="1">
        <v>10</v>
      </c>
      <c r="E28" s="1">
        <v>1</v>
      </c>
      <c r="F28" s="1">
        <v>1</v>
      </c>
      <c r="J28" s="8"/>
      <c r="K28" s="49"/>
    </row>
    <row r="29" spans="1:11" x14ac:dyDescent="0.3">
      <c r="A29" s="9" t="s">
        <v>178</v>
      </c>
      <c r="B29" s="9">
        <v>0.01</v>
      </c>
      <c r="C29" s="9">
        <v>3.4000000000000002E-2</v>
      </c>
      <c r="D29" s="9">
        <v>10</v>
      </c>
      <c r="E29" s="9">
        <v>1</v>
      </c>
      <c r="F29" s="9">
        <v>1</v>
      </c>
      <c r="G29" s="9"/>
      <c r="H29" s="10"/>
      <c r="J29" s="8"/>
      <c r="K29" s="49"/>
    </row>
    <row r="30" spans="1:11" x14ac:dyDescent="0.3">
      <c r="A30" s="1" t="s">
        <v>179</v>
      </c>
      <c r="B30" s="1">
        <v>1</v>
      </c>
      <c r="C30" s="1">
        <v>1.37</v>
      </c>
      <c r="D30" s="1">
        <v>200</v>
      </c>
      <c r="E30" s="1">
        <v>0.1</v>
      </c>
      <c r="F30" s="1">
        <v>0.1</v>
      </c>
      <c r="J30" s="8"/>
    </row>
    <row r="31" spans="1:11" x14ac:dyDescent="0.3">
      <c r="A31" s="1" t="s">
        <v>180</v>
      </c>
      <c r="B31" s="1">
        <v>0.5</v>
      </c>
      <c r="C31" s="1">
        <v>1.37</v>
      </c>
      <c r="D31" s="1">
        <v>200</v>
      </c>
      <c r="E31" s="1">
        <v>0.1</v>
      </c>
      <c r="F31" s="1">
        <v>0.1</v>
      </c>
      <c r="J31" s="8"/>
      <c r="K31" s="49"/>
    </row>
    <row r="32" spans="1:11" x14ac:dyDescent="0.3">
      <c r="A32" s="1" t="s">
        <v>181</v>
      </c>
      <c r="B32" s="1">
        <v>0.01</v>
      </c>
      <c r="C32" s="1">
        <v>1.37</v>
      </c>
      <c r="D32" s="1">
        <v>200</v>
      </c>
      <c r="E32" s="1">
        <v>0.1</v>
      </c>
      <c r="F32" s="1">
        <v>0.1</v>
      </c>
      <c r="J32" s="8"/>
      <c r="K32" s="49"/>
    </row>
    <row r="33" spans="1:11" x14ac:dyDescent="0.3">
      <c r="A33" s="1" t="s">
        <v>182</v>
      </c>
      <c r="B33" s="1">
        <v>5</v>
      </c>
      <c r="C33" s="1">
        <v>1.37</v>
      </c>
      <c r="D33" s="1">
        <v>200</v>
      </c>
      <c r="E33" s="1">
        <v>0.2</v>
      </c>
      <c r="F33" s="1">
        <v>0.2</v>
      </c>
      <c r="J33" s="11"/>
    </row>
    <row r="34" spans="1:11" x14ac:dyDescent="0.3">
      <c r="A34" s="1" t="s">
        <v>183</v>
      </c>
      <c r="B34" s="1">
        <v>1</v>
      </c>
      <c r="C34" s="1">
        <v>1.37</v>
      </c>
      <c r="D34" s="1">
        <v>200</v>
      </c>
      <c r="E34" s="1">
        <v>0.2</v>
      </c>
      <c r="F34" s="1">
        <v>0.2</v>
      </c>
      <c r="J34" s="11"/>
      <c r="K34" s="49"/>
    </row>
    <row r="35" spans="1:11" x14ac:dyDescent="0.3">
      <c r="A35" s="1" t="s">
        <v>184</v>
      </c>
      <c r="B35" s="1">
        <v>0.01</v>
      </c>
      <c r="C35" s="1">
        <v>1.37</v>
      </c>
      <c r="D35" s="1">
        <v>200</v>
      </c>
      <c r="E35" s="1">
        <v>0.2</v>
      </c>
      <c r="F35" s="1">
        <v>0.2</v>
      </c>
      <c r="J35" s="11"/>
      <c r="K35" s="49"/>
    </row>
    <row r="36" spans="1:11" x14ac:dyDescent="0.3">
      <c r="A36" s="1" t="s">
        <v>185</v>
      </c>
      <c r="B36" s="1">
        <v>1</v>
      </c>
      <c r="C36" s="1">
        <v>1.37</v>
      </c>
      <c r="D36" s="1">
        <v>200</v>
      </c>
      <c r="E36" s="1">
        <v>1</v>
      </c>
      <c r="F36" s="1">
        <v>1</v>
      </c>
    </row>
    <row r="37" spans="1:11" x14ac:dyDescent="0.3">
      <c r="A37" s="1" t="s">
        <v>186</v>
      </c>
      <c r="B37" s="1">
        <v>0.5</v>
      </c>
      <c r="C37" s="1">
        <v>1.37</v>
      </c>
      <c r="D37" s="1">
        <v>200</v>
      </c>
      <c r="E37" s="1">
        <v>1</v>
      </c>
      <c r="F37" s="1">
        <v>1</v>
      </c>
    </row>
    <row r="38" spans="1:11" x14ac:dyDescent="0.3">
      <c r="A38" s="1" t="s">
        <v>187</v>
      </c>
      <c r="B38" s="1">
        <v>0.01</v>
      </c>
      <c r="C38" s="1">
        <v>1.37</v>
      </c>
      <c r="D38" s="1">
        <v>200</v>
      </c>
      <c r="E38" s="1">
        <v>1</v>
      </c>
      <c r="F38" s="1">
        <v>1</v>
      </c>
    </row>
    <row r="39" spans="1:11" x14ac:dyDescent="0.3">
      <c r="A39" s="1" t="s">
        <v>188</v>
      </c>
      <c r="B39" s="1">
        <v>5</v>
      </c>
      <c r="C39" s="1">
        <v>1.37</v>
      </c>
      <c r="D39" s="1">
        <v>200</v>
      </c>
      <c r="E39" s="1">
        <v>1</v>
      </c>
      <c r="F39" s="1">
        <v>1</v>
      </c>
    </row>
    <row r="40" spans="1:11" x14ac:dyDescent="0.3">
      <c r="A40" s="1" t="s">
        <v>189</v>
      </c>
      <c r="B40" s="1">
        <v>1</v>
      </c>
      <c r="C40" s="1">
        <v>1.37</v>
      </c>
      <c r="D40" s="1">
        <v>200</v>
      </c>
      <c r="E40" s="1">
        <v>1</v>
      </c>
      <c r="F40" s="1">
        <v>1</v>
      </c>
    </row>
    <row r="41" spans="1:11" x14ac:dyDescent="0.3">
      <c r="A41" s="1" t="s">
        <v>190</v>
      </c>
      <c r="B41" s="1">
        <v>0.01</v>
      </c>
      <c r="C41" s="1">
        <v>1.37</v>
      </c>
      <c r="D41" s="1">
        <v>200</v>
      </c>
      <c r="E41" s="1">
        <v>1</v>
      </c>
      <c r="F41" s="1">
        <v>1</v>
      </c>
    </row>
    <row r="42" spans="1:11" x14ac:dyDescent="0.3">
      <c r="A42" s="1" t="s">
        <v>191</v>
      </c>
      <c r="B42" s="1">
        <v>25</v>
      </c>
      <c r="C42" s="1">
        <v>1.37</v>
      </c>
      <c r="D42" s="1">
        <v>200</v>
      </c>
      <c r="E42" s="1">
        <v>0.1</v>
      </c>
      <c r="F42" s="1">
        <v>0.1</v>
      </c>
    </row>
    <row r="43" spans="1:11" x14ac:dyDescent="0.3">
      <c r="A43" s="1" t="s">
        <v>192</v>
      </c>
      <c r="B43" s="1">
        <v>5</v>
      </c>
      <c r="C43" s="1">
        <v>1.37</v>
      </c>
      <c r="D43" s="1">
        <v>200</v>
      </c>
      <c r="E43" s="1">
        <v>0.1</v>
      </c>
      <c r="F43" s="1">
        <v>0.1</v>
      </c>
    </row>
    <row r="44" spans="1:11" x14ac:dyDescent="0.3">
      <c r="A44" s="1" t="s">
        <v>193</v>
      </c>
      <c r="B44" s="1">
        <v>1</v>
      </c>
      <c r="C44" s="1">
        <v>1.37</v>
      </c>
      <c r="D44" s="1">
        <v>200</v>
      </c>
      <c r="E44" s="1">
        <v>0.1</v>
      </c>
      <c r="F44" s="1">
        <v>0.1</v>
      </c>
    </row>
    <row r="45" spans="1:11" x14ac:dyDescent="0.3">
      <c r="A45" s="1" t="s">
        <v>194</v>
      </c>
      <c r="B45" s="1">
        <v>0.1</v>
      </c>
      <c r="C45" s="1">
        <v>1.37</v>
      </c>
      <c r="D45" s="1">
        <v>200</v>
      </c>
      <c r="E45" s="1">
        <v>0.1</v>
      </c>
      <c r="F45" s="1">
        <v>0.1</v>
      </c>
    </row>
    <row r="46" spans="1:11" x14ac:dyDescent="0.3">
      <c r="A46" s="1" t="s">
        <v>195</v>
      </c>
      <c r="B46" s="1">
        <v>50</v>
      </c>
      <c r="C46" s="1">
        <v>1.37</v>
      </c>
      <c r="D46" s="1">
        <v>200</v>
      </c>
      <c r="E46" s="1">
        <v>0.2</v>
      </c>
      <c r="F46" s="1">
        <v>0.2</v>
      </c>
    </row>
    <row r="47" spans="1:11" x14ac:dyDescent="0.3">
      <c r="A47" s="1" t="s">
        <v>196</v>
      </c>
      <c r="B47" s="1">
        <v>20</v>
      </c>
      <c r="C47" s="1">
        <v>1.37</v>
      </c>
      <c r="D47" s="1">
        <v>200</v>
      </c>
      <c r="E47" s="1">
        <v>0.2</v>
      </c>
      <c r="F47" s="1">
        <v>0.2</v>
      </c>
    </row>
    <row r="48" spans="1:11" x14ac:dyDescent="0.3">
      <c r="A48" s="1" t="s">
        <v>197</v>
      </c>
      <c r="B48" s="1">
        <v>5</v>
      </c>
      <c r="C48" s="1">
        <v>1.37</v>
      </c>
      <c r="D48" s="1">
        <v>200</v>
      </c>
      <c r="E48" s="1">
        <v>0.2</v>
      </c>
      <c r="F48" s="1">
        <v>0.2</v>
      </c>
    </row>
    <row r="49" spans="1:8" x14ac:dyDescent="0.3">
      <c r="A49" s="1" t="s">
        <v>198</v>
      </c>
      <c r="B49" s="1">
        <v>0.1</v>
      </c>
      <c r="C49" s="1">
        <v>1.37</v>
      </c>
      <c r="D49" s="1">
        <v>200</v>
      </c>
      <c r="E49" s="1">
        <v>0.2</v>
      </c>
      <c r="F49" s="1">
        <v>0.2</v>
      </c>
    </row>
    <row r="50" spans="1:8" x14ac:dyDescent="0.3">
      <c r="A50" s="1" t="s">
        <v>199</v>
      </c>
      <c r="B50" s="1">
        <v>25</v>
      </c>
      <c r="C50" s="1">
        <v>1.37</v>
      </c>
      <c r="D50" s="1">
        <v>200</v>
      </c>
      <c r="E50" s="1">
        <v>1</v>
      </c>
      <c r="F50" s="1">
        <v>1</v>
      </c>
    </row>
    <row r="51" spans="1:8" x14ac:dyDescent="0.3">
      <c r="A51" s="1" t="s">
        <v>200</v>
      </c>
      <c r="B51" s="1">
        <v>5</v>
      </c>
      <c r="C51" s="1">
        <v>1.37</v>
      </c>
      <c r="D51" s="1">
        <v>200</v>
      </c>
      <c r="E51" s="1">
        <v>1</v>
      </c>
      <c r="F51" s="1">
        <v>1</v>
      </c>
    </row>
    <row r="52" spans="1:8" x14ac:dyDescent="0.3">
      <c r="A52" s="1" t="s">
        <v>201</v>
      </c>
      <c r="B52" s="1">
        <v>1</v>
      </c>
      <c r="C52" s="1">
        <v>1.37</v>
      </c>
      <c r="D52" s="1">
        <v>200</v>
      </c>
      <c r="E52" s="1">
        <v>1</v>
      </c>
      <c r="F52" s="1">
        <v>1</v>
      </c>
    </row>
    <row r="53" spans="1:8" x14ac:dyDescent="0.3">
      <c r="A53" s="1" t="s">
        <v>202</v>
      </c>
      <c r="B53" s="1">
        <v>0.1</v>
      </c>
      <c r="C53" s="1">
        <v>1.37</v>
      </c>
      <c r="D53" s="1">
        <v>200</v>
      </c>
      <c r="E53" s="1">
        <v>1</v>
      </c>
      <c r="F53" s="1">
        <v>1</v>
      </c>
    </row>
    <row r="54" spans="1:8" x14ac:dyDescent="0.3">
      <c r="A54" s="1" t="s">
        <v>203</v>
      </c>
      <c r="B54" s="1">
        <v>50</v>
      </c>
      <c r="C54" s="1">
        <v>1.37</v>
      </c>
      <c r="D54" s="1">
        <v>200</v>
      </c>
      <c r="E54" s="1">
        <v>1</v>
      </c>
      <c r="F54" s="1">
        <v>1</v>
      </c>
    </row>
    <row r="55" spans="1:8" x14ac:dyDescent="0.3">
      <c r="A55" s="1" t="s">
        <v>204</v>
      </c>
      <c r="B55" s="1">
        <v>20</v>
      </c>
      <c r="C55" s="1">
        <v>1.37</v>
      </c>
      <c r="D55" s="1">
        <v>200</v>
      </c>
      <c r="E55" s="1">
        <v>1</v>
      </c>
      <c r="F55" s="1">
        <v>1</v>
      </c>
    </row>
    <row r="56" spans="1:8" x14ac:dyDescent="0.3">
      <c r="A56" s="1" t="s">
        <v>205</v>
      </c>
      <c r="B56" s="1">
        <v>5</v>
      </c>
      <c r="C56" s="1">
        <v>1.37</v>
      </c>
      <c r="D56" s="1">
        <v>200</v>
      </c>
      <c r="E56" s="1">
        <v>1</v>
      </c>
      <c r="F56" s="1">
        <v>1</v>
      </c>
    </row>
    <row r="57" spans="1:8" x14ac:dyDescent="0.3">
      <c r="A57" s="9" t="s">
        <v>206</v>
      </c>
      <c r="B57" s="9">
        <v>0.1</v>
      </c>
      <c r="C57" s="9">
        <v>1.37</v>
      </c>
      <c r="D57" s="9">
        <v>200</v>
      </c>
      <c r="E57" s="9">
        <v>1</v>
      </c>
      <c r="F57" s="9">
        <v>1</v>
      </c>
      <c r="G57" s="9"/>
      <c r="H57" s="10"/>
    </row>
    <row r="58" spans="1:8" x14ac:dyDescent="0.3">
      <c r="A58" s="1" t="s">
        <v>207</v>
      </c>
      <c r="B58" s="1">
        <v>1</v>
      </c>
      <c r="C58" s="1">
        <v>0.69</v>
      </c>
      <c r="D58" s="1">
        <v>200</v>
      </c>
      <c r="E58" s="1">
        <v>0.1</v>
      </c>
      <c r="F58" s="1">
        <v>0.1</v>
      </c>
    </row>
    <row r="59" spans="1:8" x14ac:dyDescent="0.3">
      <c r="A59" s="1" t="s">
        <v>208</v>
      </c>
      <c r="B59" s="1">
        <v>1</v>
      </c>
      <c r="C59" s="1">
        <v>0.69</v>
      </c>
      <c r="D59" s="1">
        <v>200</v>
      </c>
      <c r="E59" s="1">
        <v>0.1</v>
      </c>
      <c r="F59" s="1">
        <v>0.1</v>
      </c>
    </row>
    <row r="60" spans="1:8" x14ac:dyDescent="0.3">
      <c r="A60" s="1" t="s">
        <v>209</v>
      </c>
      <c r="B60" s="1">
        <v>0.1</v>
      </c>
      <c r="C60" s="1">
        <v>0.69</v>
      </c>
      <c r="D60" s="1">
        <v>200</v>
      </c>
      <c r="E60" s="1">
        <v>0.1</v>
      </c>
      <c r="F60" s="1">
        <v>0.1</v>
      </c>
    </row>
    <row r="61" spans="1:8" x14ac:dyDescent="0.3">
      <c r="A61" s="1" t="s">
        <v>210</v>
      </c>
      <c r="B61" s="1">
        <v>5</v>
      </c>
      <c r="C61" s="1">
        <v>0.69</v>
      </c>
      <c r="D61" s="1">
        <v>200</v>
      </c>
      <c r="E61" s="1">
        <v>0.2</v>
      </c>
      <c r="F61" s="1">
        <v>0.2</v>
      </c>
    </row>
    <row r="62" spans="1:8" x14ac:dyDescent="0.3">
      <c r="A62" s="1" t="s">
        <v>211</v>
      </c>
      <c r="B62" s="1">
        <v>1</v>
      </c>
      <c r="C62" s="1">
        <v>0.69</v>
      </c>
      <c r="D62" s="1">
        <v>200</v>
      </c>
      <c r="E62" s="1">
        <v>0.2</v>
      </c>
      <c r="F62" s="1">
        <v>0.2</v>
      </c>
    </row>
    <row r="63" spans="1:8" x14ac:dyDescent="0.3">
      <c r="A63" s="1" t="s">
        <v>212</v>
      </c>
      <c r="B63" s="1">
        <v>0.1</v>
      </c>
      <c r="C63" s="1">
        <v>0.69</v>
      </c>
      <c r="D63" s="1">
        <v>200</v>
      </c>
      <c r="E63" s="1">
        <v>0.2</v>
      </c>
      <c r="F63" s="1">
        <v>0.2</v>
      </c>
    </row>
    <row r="64" spans="1:8" x14ac:dyDescent="0.3">
      <c r="A64" s="1" t="s">
        <v>213</v>
      </c>
      <c r="B64" s="1">
        <v>1</v>
      </c>
      <c r="C64" s="1">
        <v>0.69</v>
      </c>
      <c r="D64" s="1">
        <v>200</v>
      </c>
      <c r="E64" s="1">
        <v>1</v>
      </c>
      <c r="F64" s="1">
        <v>1</v>
      </c>
    </row>
    <row r="65" spans="1:6" x14ac:dyDescent="0.3">
      <c r="A65" s="1" t="s">
        <v>214</v>
      </c>
      <c r="B65" s="1">
        <v>1</v>
      </c>
      <c r="C65" s="1">
        <v>0.69</v>
      </c>
      <c r="D65" s="1">
        <v>200</v>
      </c>
      <c r="E65" s="1">
        <v>1</v>
      </c>
      <c r="F65" s="1">
        <v>1</v>
      </c>
    </row>
    <row r="66" spans="1:6" x14ac:dyDescent="0.3">
      <c r="A66" s="1" t="s">
        <v>215</v>
      </c>
      <c r="B66" s="1">
        <v>0.1</v>
      </c>
      <c r="C66" s="1">
        <v>0.69</v>
      </c>
      <c r="D66" s="1">
        <v>200</v>
      </c>
      <c r="E66" s="1">
        <v>1</v>
      </c>
      <c r="F66" s="1">
        <v>1</v>
      </c>
    </row>
    <row r="67" spans="1:6" x14ac:dyDescent="0.3">
      <c r="A67" s="1" t="s">
        <v>216</v>
      </c>
      <c r="B67" s="1">
        <v>5</v>
      </c>
      <c r="C67" s="1">
        <v>0.69</v>
      </c>
      <c r="D67" s="1">
        <v>200</v>
      </c>
      <c r="E67" s="1">
        <v>1</v>
      </c>
      <c r="F67" s="1">
        <v>1</v>
      </c>
    </row>
    <row r="68" spans="1:6" x14ac:dyDescent="0.3">
      <c r="A68" s="1" t="s">
        <v>217</v>
      </c>
      <c r="B68" s="1">
        <v>1</v>
      </c>
      <c r="C68" s="1">
        <v>0.69</v>
      </c>
      <c r="D68" s="1">
        <v>200</v>
      </c>
      <c r="E68" s="1">
        <v>1</v>
      </c>
      <c r="F68" s="1">
        <v>1</v>
      </c>
    </row>
    <row r="69" spans="1:6" x14ac:dyDescent="0.3">
      <c r="A69" s="1" t="s">
        <v>218</v>
      </c>
      <c r="B69" s="1">
        <v>0.1</v>
      </c>
      <c r="C69" s="1">
        <v>0.69</v>
      </c>
      <c r="D69" s="1">
        <v>200</v>
      </c>
      <c r="E69" s="1">
        <v>1</v>
      </c>
      <c r="F69" s="1">
        <v>1</v>
      </c>
    </row>
    <row r="70" spans="1:6" x14ac:dyDescent="0.3">
      <c r="A70" s="1" t="s">
        <v>219</v>
      </c>
      <c r="B70" s="1">
        <v>50</v>
      </c>
      <c r="C70" s="1">
        <v>0.69</v>
      </c>
      <c r="D70" s="1">
        <v>200</v>
      </c>
      <c r="E70" s="1">
        <v>0.1</v>
      </c>
      <c r="F70" s="1">
        <v>0.1</v>
      </c>
    </row>
    <row r="71" spans="1:6" x14ac:dyDescent="0.3">
      <c r="A71" s="1" t="s">
        <v>220</v>
      </c>
      <c r="B71" s="1">
        <v>10</v>
      </c>
      <c r="C71" s="1">
        <v>0.69</v>
      </c>
      <c r="D71" s="1">
        <v>200</v>
      </c>
      <c r="E71" s="1">
        <v>0.1</v>
      </c>
      <c r="F71" s="1">
        <v>0.1</v>
      </c>
    </row>
    <row r="72" spans="1:6" x14ac:dyDescent="0.3">
      <c r="A72" s="1" t="s">
        <v>221</v>
      </c>
      <c r="B72" s="1">
        <v>3</v>
      </c>
      <c r="C72" s="1">
        <v>0.69</v>
      </c>
      <c r="D72" s="1">
        <v>200</v>
      </c>
      <c r="E72" s="1">
        <v>0.1</v>
      </c>
      <c r="F72" s="1">
        <v>0.1</v>
      </c>
    </row>
    <row r="73" spans="1:6" x14ac:dyDescent="0.3">
      <c r="A73" s="1" t="s">
        <v>222</v>
      </c>
      <c r="B73" s="1">
        <v>0.1</v>
      </c>
      <c r="C73" s="1">
        <v>0.69</v>
      </c>
      <c r="D73" s="1">
        <v>200</v>
      </c>
      <c r="E73" s="1">
        <v>0.1</v>
      </c>
      <c r="F73" s="1">
        <v>0.1</v>
      </c>
    </row>
    <row r="74" spans="1:6" x14ac:dyDescent="0.3">
      <c r="A74" s="1" t="s">
        <v>223</v>
      </c>
      <c r="B74" s="1">
        <v>100</v>
      </c>
      <c r="C74" s="1">
        <v>0.69</v>
      </c>
      <c r="D74" s="1">
        <v>200</v>
      </c>
      <c r="E74" s="1">
        <v>0.2</v>
      </c>
      <c r="F74" s="1">
        <v>0.2</v>
      </c>
    </row>
    <row r="75" spans="1:6" x14ac:dyDescent="0.3">
      <c r="A75" s="1" t="s">
        <v>224</v>
      </c>
      <c r="B75" s="1">
        <v>25</v>
      </c>
      <c r="C75" s="1">
        <v>0.69</v>
      </c>
      <c r="D75" s="1">
        <v>200</v>
      </c>
      <c r="E75" s="1">
        <v>0.2</v>
      </c>
      <c r="F75" s="1">
        <v>0.2</v>
      </c>
    </row>
    <row r="76" spans="1:6" x14ac:dyDescent="0.3">
      <c r="A76" s="1" t="s">
        <v>225</v>
      </c>
      <c r="B76" s="1">
        <v>3</v>
      </c>
      <c r="C76" s="1">
        <v>0.69</v>
      </c>
      <c r="D76" s="1">
        <v>200</v>
      </c>
      <c r="E76" s="1">
        <v>0.2</v>
      </c>
      <c r="F76" s="1">
        <v>0.2</v>
      </c>
    </row>
    <row r="77" spans="1:6" x14ac:dyDescent="0.3">
      <c r="A77" s="1" t="s">
        <v>226</v>
      </c>
      <c r="B77" s="1">
        <v>0.1</v>
      </c>
      <c r="C77" s="1">
        <v>0.69</v>
      </c>
      <c r="D77" s="1">
        <v>200</v>
      </c>
      <c r="E77" s="1">
        <v>0.2</v>
      </c>
      <c r="F77" s="1">
        <v>0.2</v>
      </c>
    </row>
    <row r="78" spans="1:6" x14ac:dyDescent="0.3">
      <c r="A78" s="1" t="s">
        <v>227</v>
      </c>
      <c r="B78" s="1">
        <v>50</v>
      </c>
      <c r="C78" s="1">
        <v>0.69</v>
      </c>
      <c r="D78" s="1">
        <v>200</v>
      </c>
      <c r="E78" s="1">
        <v>1</v>
      </c>
      <c r="F78" s="1">
        <v>1</v>
      </c>
    </row>
    <row r="79" spans="1:6" x14ac:dyDescent="0.3">
      <c r="A79" s="1" t="s">
        <v>228</v>
      </c>
      <c r="B79" s="1">
        <v>10</v>
      </c>
      <c r="C79" s="1">
        <v>0.69</v>
      </c>
      <c r="D79" s="1">
        <v>200</v>
      </c>
      <c r="E79" s="1">
        <v>1</v>
      </c>
      <c r="F79" s="1">
        <v>1</v>
      </c>
    </row>
    <row r="80" spans="1:6" x14ac:dyDescent="0.3">
      <c r="A80" s="1" t="s">
        <v>229</v>
      </c>
      <c r="B80" s="1">
        <v>3</v>
      </c>
      <c r="C80" s="1">
        <v>0.69</v>
      </c>
      <c r="D80" s="1">
        <v>200</v>
      </c>
      <c r="E80" s="1">
        <v>1</v>
      </c>
      <c r="F80" s="1">
        <v>1</v>
      </c>
    </row>
    <row r="81" spans="1:8" x14ac:dyDescent="0.3">
      <c r="A81" s="1" t="s">
        <v>230</v>
      </c>
      <c r="B81" s="1">
        <v>0.1</v>
      </c>
      <c r="C81" s="1">
        <v>0.69</v>
      </c>
      <c r="D81" s="1">
        <v>200</v>
      </c>
      <c r="E81" s="1">
        <v>1</v>
      </c>
      <c r="F81" s="1">
        <v>1</v>
      </c>
    </row>
    <row r="82" spans="1:8" x14ac:dyDescent="0.3">
      <c r="A82" s="1" t="s">
        <v>231</v>
      </c>
      <c r="B82" s="1">
        <v>100</v>
      </c>
      <c r="C82" s="1">
        <v>0.69</v>
      </c>
      <c r="D82" s="1">
        <v>200</v>
      </c>
      <c r="E82" s="1">
        <v>1</v>
      </c>
      <c r="F82" s="1">
        <v>1</v>
      </c>
    </row>
    <row r="83" spans="1:8" x14ac:dyDescent="0.3">
      <c r="A83" s="1" t="s">
        <v>232</v>
      </c>
      <c r="B83" s="1">
        <v>25</v>
      </c>
      <c r="C83" s="1">
        <v>0.69</v>
      </c>
      <c r="D83" s="1">
        <v>200</v>
      </c>
      <c r="E83" s="1">
        <v>1</v>
      </c>
      <c r="F83" s="1">
        <v>1</v>
      </c>
    </row>
    <row r="84" spans="1:8" x14ac:dyDescent="0.3">
      <c r="A84" s="1" t="s">
        <v>233</v>
      </c>
      <c r="B84" s="1">
        <v>3</v>
      </c>
      <c r="C84" s="1">
        <v>0.69</v>
      </c>
      <c r="D84" s="1">
        <v>200</v>
      </c>
      <c r="E84" s="1">
        <v>1</v>
      </c>
      <c r="F84" s="1">
        <v>1</v>
      </c>
    </row>
    <row r="85" spans="1:8" x14ac:dyDescent="0.3">
      <c r="A85" s="9" t="s">
        <v>234</v>
      </c>
      <c r="B85" s="9">
        <v>0.1</v>
      </c>
      <c r="C85" s="9">
        <v>0.69</v>
      </c>
      <c r="D85" s="9">
        <v>200</v>
      </c>
      <c r="E85" s="9">
        <v>1</v>
      </c>
      <c r="F85" s="9">
        <v>1</v>
      </c>
      <c r="G85" s="9"/>
      <c r="H85" s="10"/>
    </row>
    <row r="86" spans="1:8" x14ac:dyDescent="0.3">
      <c r="A86" s="1" t="s">
        <v>235</v>
      </c>
      <c r="B86" s="1">
        <v>25</v>
      </c>
      <c r="C86" s="1">
        <v>6.86</v>
      </c>
      <c r="D86" s="1">
        <v>1000</v>
      </c>
      <c r="E86" s="1">
        <v>0.1</v>
      </c>
      <c r="F86" s="1">
        <v>0.1</v>
      </c>
    </row>
    <row r="87" spans="1:8" x14ac:dyDescent="0.3">
      <c r="A87" s="1" t="s">
        <v>236</v>
      </c>
      <c r="B87" s="1">
        <v>5</v>
      </c>
      <c r="C87" s="1">
        <v>6.86</v>
      </c>
      <c r="D87" s="1">
        <v>1000</v>
      </c>
      <c r="E87" s="1">
        <v>0.1</v>
      </c>
      <c r="F87" s="1">
        <v>0.1</v>
      </c>
    </row>
    <row r="88" spans="1:8" x14ac:dyDescent="0.3">
      <c r="A88" s="1" t="s">
        <v>237</v>
      </c>
      <c r="B88" s="1">
        <v>0.5</v>
      </c>
      <c r="C88" s="1">
        <v>6.86</v>
      </c>
      <c r="D88" s="1">
        <v>1000</v>
      </c>
      <c r="E88" s="1">
        <v>0.1</v>
      </c>
      <c r="F88" s="1">
        <v>0.1</v>
      </c>
    </row>
    <row r="89" spans="1:8" x14ac:dyDescent="0.3">
      <c r="A89" s="1" t="s">
        <v>238</v>
      </c>
      <c r="B89" s="1">
        <v>50</v>
      </c>
      <c r="C89" s="1">
        <v>6.86</v>
      </c>
      <c r="D89" s="1">
        <v>1000</v>
      </c>
      <c r="E89" s="1">
        <v>0.2</v>
      </c>
      <c r="F89" s="1">
        <v>0.2</v>
      </c>
    </row>
    <row r="90" spans="1:8" x14ac:dyDescent="0.3">
      <c r="A90" s="1" t="s">
        <v>239</v>
      </c>
      <c r="B90" s="1">
        <v>5</v>
      </c>
      <c r="C90" s="1">
        <v>6.86</v>
      </c>
      <c r="D90" s="1">
        <v>1000</v>
      </c>
      <c r="E90" s="1">
        <v>0.2</v>
      </c>
      <c r="F90" s="1">
        <v>0.2</v>
      </c>
    </row>
    <row r="91" spans="1:8" x14ac:dyDescent="0.3">
      <c r="A91" s="1" t="s">
        <v>240</v>
      </c>
      <c r="B91" s="1">
        <v>1</v>
      </c>
      <c r="C91" s="1">
        <v>6.86</v>
      </c>
      <c r="D91" s="1">
        <v>1000</v>
      </c>
      <c r="E91" s="1">
        <v>0.2</v>
      </c>
      <c r="F91" s="1">
        <v>0.2</v>
      </c>
    </row>
    <row r="92" spans="1:8" x14ac:dyDescent="0.3">
      <c r="A92" s="1" t="s">
        <v>241</v>
      </c>
      <c r="B92" s="1">
        <v>25</v>
      </c>
      <c r="C92" s="1">
        <v>6.86</v>
      </c>
      <c r="D92" s="1">
        <v>1000</v>
      </c>
      <c r="E92" s="1">
        <v>1</v>
      </c>
      <c r="F92" s="1">
        <v>1</v>
      </c>
    </row>
    <row r="93" spans="1:8" x14ac:dyDescent="0.3">
      <c r="A93" s="1" t="s">
        <v>242</v>
      </c>
      <c r="B93" s="1">
        <v>5</v>
      </c>
      <c r="C93" s="1">
        <v>6.86</v>
      </c>
      <c r="D93" s="1">
        <v>1000</v>
      </c>
      <c r="E93" s="1">
        <v>1</v>
      </c>
      <c r="F93" s="1">
        <v>1</v>
      </c>
    </row>
    <row r="94" spans="1:8" x14ac:dyDescent="0.3">
      <c r="A94" s="1" t="s">
        <v>243</v>
      </c>
      <c r="B94" s="1">
        <v>0.5</v>
      </c>
      <c r="C94" s="1">
        <v>6.86</v>
      </c>
      <c r="D94" s="1">
        <v>1000</v>
      </c>
      <c r="E94" s="1">
        <v>1</v>
      </c>
      <c r="F94" s="1">
        <v>1</v>
      </c>
    </row>
    <row r="95" spans="1:8" x14ac:dyDescent="0.3">
      <c r="A95" s="1" t="s">
        <v>244</v>
      </c>
      <c r="B95" s="1">
        <v>50</v>
      </c>
      <c r="C95" s="1">
        <v>6.86</v>
      </c>
      <c r="D95" s="1">
        <v>1000</v>
      </c>
      <c r="E95" s="1">
        <v>1</v>
      </c>
      <c r="F95" s="1">
        <v>1</v>
      </c>
    </row>
    <row r="96" spans="1:8" x14ac:dyDescent="0.3">
      <c r="A96" s="1" t="s">
        <v>245</v>
      </c>
      <c r="B96" s="1">
        <v>5</v>
      </c>
      <c r="C96" s="1">
        <v>6.86</v>
      </c>
      <c r="D96" s="1">
        <v>1000</v>
      </c>
      <c r="E96" s="1">
        <v>1</v>
      </c>
      <c r="F96" s="1">
        <v>1</v>
      </c>
    </row>
    <row r="97" spans="1:6" x14ac:dyDescent="0.3">
      <c r="A97" s="1" t="s">
        <v>246</v>
      </c>
      <c r="B97" s="1">
        <v>1</v>
      </c>
      <c r="C97" s="1">
        <v>6.86</v>
      </c>
      <c r="D97" s="1">
        <v>1000</v>
      </c>
      <c r="E97" s="1">
        <v>1</v>
      </c>
      <c r="F97" s="1">
        <v>1</v>
      </c>
    </row>
    <row r="98" spans="1:6" x14ac:dyDescent="0.3">
      <c r="A98" s="1" t="s">
        <v>247</v>
      </c>
      <c r="B98" s="1">
        <v>100</v>
      </c>
      <c r="C98" s="1">
        <v>6.86</v>
      </c>
      <c r="D98" s="1">
        <v>1000</v>
      </c>
      <c r="E98" s="1">
        <v>0.1</v>
      </c>
      <c r="F98" s="1">
        <v>0.1</v>
      </c>
    </row>
    <row r="99" spans="1:6" x14ac:dyDescent="0.3">
      <c r="A99" s="1" t="s">
        <v>248</v>
      </c>
      <c r="B99" s="1">
        <v>20</v>
      </c>
      <c r="C99" s="1">
        <v>6.86</v>
      </c>
      <c r="D99" s="1">
        <v>1000</v>
      </c>
      <c r="E99" s="1">
        <v>0.1</v>
      </c>
      <c r="F99" s="1">
        <v>0.1</v>
      </c>
    </row>
    <row r="100" spans="1:6" x14ac:dyDescent="0.3">
      <c r="A100" s="1" t="s">
        <v>249</v>
      </c>
      <c r="B100" s="1">
        <v>5</v>
      </c>
      <c r="C100" s="1">
        <v>6.86</v>
      </c>
      <c r="D100" s="1">
        <v>1000</v>
      </c>
      <c r="E100" s="1">
        <v>0.1</v>
      </c>
      <c r="F100" s="1">
        <v>0.1</v>
      </c>
    </row>
    <row r="101" spans="1:6" x14ac:dyDescent="0.3">
      <c r="A101" s="1" t="s">
        <v>250</v>
      </c>
      <c r="B101" s="1">
        <v>0.1</v>
      </c>
      <c r="C101" s="1">
        <v>6.86</v>
      </c>
      <c r="D101" s="1">
        <v>1000</v>
      </c>
      <c r="E101" s="1">
        <v>0.1</v>
      </c>
      <c r="F101" s="1">
        <v>0.1</v>
      </c>
    </row>
    <row r="102" spans="1:6" x14ac:dyDescent="0.3">
      <c r="A102" s="1" t="s">
        <v>251</v>
      </c>
      <c r="B102" s="1">
        <v>250</v>
      </c>
      <c r="C102" s="1">
        <v>6.86</v>
      </c>
      <c r="D102" s="1">
        <v>1000</v>
      </c>
      <c r="E102" s="1">
        <v>0.2</v>
      </c>
      <c r="F102" s="1">
        <v>0.2</v>
      </c>
    </row>
    <row r="103" spans="1:6" x14ac:dyDescent="0.3">
      <c r="A103" s="1" t="s">
        <v>252</v>
      </c>
      <c r="B103" s="1">
        <v>50</v>
      </c>
      <c r="C103" s="1">
        <v>6.86</v>
      </c>
      <c r="D103" s="1">
        <v>1000</v>
      </c>
      <c r="E103" s="1">
        <v>0.2</v>
      </c>
      <c r="F103" s="1">
        <v>0.2</v>
      </c>
    </row>
    <row r="104" spans="1:6" x14ac:dyDescent="0.3">
      <c r="A104" s="1" t="s">
        <v>253</v>
      </c>
      <c r="B104" s="1">
        <v>10</v>
      </c>
      <c r="C104" s="1">
        <v>6.86</v>
      </c>
      <c r="D104" s="1">
        <v>1000</v>
      </c>
      <c r="E104" s="1">
        <v>0.2</v>
      </c>
      <c r="F104" s="1">
        <v>0.2</v>
      </c>
    </row>
    <row r="105" spans="1:6" x14ac:dyDescent="0.3">
      <c r="A105" s="1" t="s">
        <v>254</v>
      </c>
      <c r="B105" s="1">
        <v>0.1</v>
      </c>
      <c r="C105" s="1">
        <v>6.86</v>
      </c>
      <c r="D105" s="1">
        <v>1000</v>
      </c>
      <c r="E105" s="1">
        <v>0.2</v>
      </c>
      <c r="F105" s="1">
        <v>0.2</v>
      </c>
    </row>
    <row r="106" spans="1:6" x14ac:dyDescent="0.3">
      <c r="A106" s="1" t="s">
        <v>255</v>
      </c>
      <c r="B106" s="1">
        <v>100</v>
      </c>
      <c r="C106" s="1">
        <v>6.86</v>
      </c>
      <c r="D106" s="1">
        <v>1000</v>
      </c>
      <c r="E106" s="1">
        <v>1</v>
      </c>
      <c r="F106" s="1">
        <v>1</v>
      </c>
    </row>
    <row r="107" spans="1:6" x14ac:dyDescent="0.3">
      <c r="A107" s="1" t="s">
        <v>256</v>
      </c>
      <c r="B107" s="1">
        <v>20</v>
      </c>
      <c r="C107" s="1">
        <v>6.86</v>
      </c>
      <c r="D107" s="1">
        <v>1000</v>
      </c>
      <c r="E107" s="1">
        <v>1</v>
      </c>
      <c r="F107" s="1">
        <v>1</v>
      </c>
    </row>
    <row r="108" spans="1:6" x14ac:dyDescent="0.3">
      <c r="A108" s="1" t="s">
        <v>257</v>
      </c>
      <c r="B108" s="1">
        <v>5</v>
      </c>
      <c r="C108" s="1">
        <v>6.86</v>
      </c>
      <c r="D108" s="1">
        <v>1000</v>
      </c>
      <c r="E108" s="1">
        <v>1</v>
      </c>
      <c r="F108" s="1">
        <v>1</v>
      </c>
    </row>
    <row r="109" spans="1:6" x14ac:dyDescent="0.3">
      <c r="A109" s="1" t="s">
        <v>258</v>
      </c>
      <c r="B109" s="1">
        <v>0.1</v>
      </c>
      <c r="C109" s="1">
        <v>6.86</v>
      </c>
      <c r="D109" s="1">
        <v>1000</v>
      </c>
      <c r="E109" s="1">
        <v>1</v>
      </c>
      <c r="F109" s="1">
        <v>1</v>
      </c>
    </row>
    <row r="110" spans="1:6" x14ac:dyDescent="0.3">
      <c r="A110" s="1" t="s">
        <v>259</v>
      </c>
      <c r="B110" s="1">
        <v>250</v>
      </c>
      <c r="C110" s="1">
        <v>6.86</v>
      </c>
      <c r="D110" s="1">
        <v>1000</v>
      </c>
      <c r="E110" s="1">
        <v>1</v>
      </c>
      <c r="F110" s="1">
        <v>1</v>
      </c>
    </row>
    <row r="111" spans="1:6" x14ac:dyDescent="0.3">
      <c r="A111" s="1" t="s">
        <v>260</v>
      </c>
      <c r="B111" s="1">
        <v>50</v>
      </c>
      <c r="C111" s="1">
        <v>6.86</v>
      </c>
      <c r="D111" s="1">
        <v>1000</v>
      </c>
      <c r="E111" s="1">
        <v>1</v>
      </c>
      <c r="F111" s="1">
        <v>1</v>
      </c>
    </row>
    <row r="112" spans="1:6" x14ac:dyDescent="0.3">
      <c r="A112" s="1" t="s">
        <v>261</v>
      </c>
      <c r="B112" s="1">
        <v>10</v>
      </c>
      <c r="C112" s="1">
        <v>6.86</v>
      </c>
      <c r="D112" s="1">
        <v>1000</v>
      </c>
      <c r="E112" s="1">
        <v>1</v>
      </c>
      <c r="F112" s="1">
        <v>1</v>
      </c>
    </row>
    <row r="113" spans="1:8" x14ac:dyDescent="0.3">
      <c r="A113" s="9" t="s">
        <v>262</v>
      </c>
      <c r="B113" s="9">
        <v>0.1</v>
      </c>
      <c r="C113" s="9">
        <v>6.86</v>
      </c>
      <c r="D113" s="9">
        <v>1000</v>
      </c>
      <c r="E113" s="9">
        <v>1</v>
      </c>
      <c r="F113" s="9">
        <v>1</v>
      </c>
      <c r="G113" s="9"/>
      <c r="H113" s="10"/>
    </row>
    <row r="114" spans="1:8" x14ac:dyDescent="0.3">
      <c r="A114" s="1" t="s">
        <v>263</v>
      </c>
      <c r="B114" s="1">
        <v>25</v>
      </c>
      <c r="C114" s="1">
        <v>13.71</v>
      </c>
      <c r="D114" s="1">
        <v>2000</v>
      </c>
      <c r="E114" s="1">
        <v>0.1</v>
      </c>
      <c r="F114" s="1">
        <v>0.1</v>
      </c>
    </row>
    <row r="115" spans="1:8" x14ac:dyDescent="0.3">
      <c r="A115" s="1" t="s">
        <v>264</v>
      </c>
      <c r="B115" s="1">
        <v>5</v>
      </c>
      <c r="C115" s="1">
        <v>13.71</v>
      </c>
      <c r="D115" s="1">
        <v>2000</v>
      </c>
      <c r="E115" s="1">
        <v>0.1</v>
      </c>
      <c r="F115" s="1">
        <v>0.1</v>
      </c>
    </row>
    <row r="116" spans="1:8" x14ac:dyDescent="0.3">
      <c r="A116" s="1" t="s">
        <v>265</v>
      </c>
      <c r="B116" s="1">
        <v>0.5</v>
      </c>
      <c r="C116" s="1">
        <v>13.71</v>
      </c>
      <c r="D116" s="1">
        <v>2000</v>
      </c>
      <c r="E116" s="1">
        <v>0.1</v>
      </c>
      <c r="F116" s="1">
        <v>0.1</v>
      </c>
    </row>
    <row r="117" spans="1:8" x14ac:dyDescent="0.3">
      <c r="A117" s="1" t="s">
        <v>266</v>
      </c>
      <c r="B117" s="1">
        <v>50</v>
      </c>
      <c r="C117" s="1">
        <v>13.71</v>
      </c>
      <c r="D117" s="1">
        <v>2000</v>
      </c>
      <c r="E117" s="1">
        <v>0.2</v>
      </c>
      <c r="F117" s="1">
        <v>0.2</v>
      </c>
    </row>
    <row r="118" spans="1:8" x14ac:dyDescent="0.3">
      <c r="A118" s="1" t="s">
        <v>267</v>
      </c>
      <c r="B118" s="1">
        <v>5</v>
      </c>
      <c r="C118" s="1">
        <v>13.71</v>
      </c>
      <c r="D118" s="1">
        <v>2000</v>
      </c>
      <c r="E118" s="1">
        <v>0.2</v>
      </c>
      <c r="F118" s="1">
        <v>0.2</v>
      </c>
    </row>
    <row r="119" spans="1:8" x14ac:dyDescent="0.3">
      <c r="A119" s="1" t="s">
        <v>268</v>
      </c>
      <c r="B119" s="1">
        <v>1</v>
      </c>
      <c r="C119" s="1">
        <v>13.71</v>
      </c>
      <c r="D119" s="1">
        <v>2000</v>
      </c>
      <c r="E119" s="1">
        <v>0.2</v>
      </c>
      <c r="F119" s="1">
        <v>0.2</v>
      </c>
    </row>
    <row r="120" spans="1:8" x14ac:dyDescent="0.3">
      <c r="A120" s="1" t="s">
        <v>269</v>
      </c>
      <c r="B120" s="1">
        <v>25</v>
      </c>
      <c r="C120" s="1">
        <v>13.71</v>
      </c>
      <c r="D120" s="1">
        <v>2000</v>
      </c>
      <c r="E120" s="1">
        <v>1</v>
      </c>
      <c r="F120" s="1">
        <v>1</v>
      </c>
    </row>
    <row r="121" spans="1:8" x14ac:dyDescent="0.3">
      <c r="A121" s="1" t="s">
        <v>270</v>
      </c>
      <c r="B121" s="1">
        <v>5</v>
      </c>
      <c r="C121" s="1">
        <v>13.71</v>
      </c>
      <c r="D121" s="1">
        <v>2000</v>
      </c>
      <c r="E121" s="1">
        <v>1</v>
      </c>
      <c r="F121" s="1">
        <v>1</v>
      </c>
    </row>
    <row r="122" spans="1:8" x14ac:dyDescent="0.3">
      <c r="A122" s="1" t="s">
        <v>271</v>
      </c>
      <c r="B122" s="1">
        <v>0.5</v>
      </c>
      <c r="C122" s="1">
        <v>13.71</v>
      </c>
      <c r="D122" s="1">
        <v>2000</v>
      </c>
      <c r="E122" s="1">
        <v>1</v>
      </c>
      <c r="F122" s="1">
        <v>1</v>
      </c>
    </row>
    <row r="123" spans="1:8" x14ac:dyDescent="0.3">
      <c r="A123" s="1" t="s">
        <v>272</v>
      </c>
      <c r="B123" s="1">
        <v>50</v>
      </c>
      <c r="C123" s="1">
        <v>13.71</v>
      </c>
      <c r="D123" s="1">
        <v>2000</v>
      </c>
      <c r="E123" s="1">
        <v>1</v>
      </c>
      <c r="F123" s="1">
        <v>1</v>
      </c>
    </row>
    <row r="124" spans="1:8" x14ac:dyDescent="0.3">
      <c r="A124" s="1" t="s">
        <v>273</v>
      </c>
      <c r="B124" s="1">
        <v>5</v>
      </c>
      <c r="C124" s="1">
        <v>13.71</v>
      </c>
      <c r="D124" s="1">
        <v>2000</v>
      </c>
      <c r="E124" s="1">
        <v>1</v>
      </c>
      <c r="F124" s="1">
        <v>1</v>
      </c>
    </row>
    <row r="125" spans="1:8" x14ac:dyDescent="0.3">
      <c r="A125" s="1" t="s">
        <v>274</v>
      </c>
      <c r="B125" s="1">
        <v>1</v>
      </c>
      <c r="C125" s="1">
        <v>13.71</v>
      </c>
      <c r="D125" s="1">
        <v>2000</v>
      </c>
      <c r="E125" s="1">
        <v>1</v>
      </c>
      <c r="F125" s="1">
        <v>1</v>
      </c>
    </row>
    <row r="126" spans="1:8" x14ac:dyDescent="0.3">
      <c r="A126" s="1" t="s">
        <v>275</v>
      </c>
      <c r="B126" s="1">
        <v>250</v>
      </c>
      <c r="C126" s="1">
        <v>13.71</v>
      </c>
      <c r="D126" s="1">
        <v>2000</v>
      </c>
      <c r="E126" s="1">
        <v>0.1</v>
      </c>
      <c r="F126" s="1">
        <v>0.1</v>
      </c>
    </row>
    <row r="127" spans="1:8" x14ac:dyDescent="0.3">
      <c r="A127" s="1" t="s">
        <v>276</v>
      </c>
      <c r="B127" s="1">
        <v>50</v>
      </c>
      <c r="C127" s="1">
        <v>13.71</v>
      </c>
      <c r="D127" s="1">
        <v>2000</v>
      </c>
      <c r="E127" s="1">
        <v>0.1</v>
      </c>
      <c r="F127" s="1">
        <v>0.1</v>
      </c>
    </row>
    <row r="128" spans="1:8" x14ac:dyDescent="0.3">
      <c r="A128" s="1" t="s">
        <v>277</v>
      </c>
      <c r="B128" s="1">
        <v>5</v>
      </c>
      <c r="C128" s="1">
        <v>13.71</v>
      </c>
      <c r="D128" s="1">
        <v>2000</v>
      </c>
      <c r="E128" s="1">
        <v>0.1</v>
      </c>
      <c r="F128" s="1">
        <v>0.1</v>
      </c>
    </row>
    <row r="129" spans="1:8" x14ac:dyDescent="0.3">
      <c r="A129" s="1" t="s">
        <v>278</v>
      </c>
      <c r="B129" s="1">
        <v>0.1</v>
      </c>
      <c r="C129" s="1">
        <v>13.71</v>
      </c>
      <c r="D129" s="1">
        <v>2000</v>
      </c>
      <c r="E129" s="1">
        <v>0.1</v>
      </c>
      <c r="F129" s="1">
        <v>0.1</v>
      </c>
    </row>
    <row r="130" spans="1:8" x14ac:dyDescent="0.3">
      <c r="A130" s="1" t="s">
        <v>279</v>
      </c>
      <c r="B130" s="1">
        <v>500</v>
      </c>
      <c r="C130" s="1">
        <v>13.71</v>
      </c>
      <c r="D130" s="1">
        <v>2000</v>
      </c>
      <c r="E130" s="1">
        <v>0.2</v>
      </c>
      <c r="F130" s="1">
        <v>0.2</v>
      </c>
    </row>
    <row r="131" spans="1:8" x14ac:dyDescent="0.3">
      <c r="A131" s="1" t="s">
        <v>280</v>
      </c>
      <c r="B131" s="1">
        <v>100</v>
      </c>
      <c r="C131" s="1">
        <v>13.71</v>
      </c>
      <c r="D131" s="1">
        <v>2000</v>
      </c>
      <c r="E131" s="1">
        <v>0.2</v>
      </c>
      <c r="F131" s="1">
        <v>0.2</v>
      </c>
    </row>
    <row r="132" spans="1:8" x14ac:dyDescent="0.3">
      <c r="A132" s="1" t="s">
        <v>281</v>
      </c>
      <c r="B132" s="1">
        <v>10</v>
      </c>
      <c r="C132" s="1">
        <v>13.71</v>
      </c>
      <c r="D132" s="1">
        <v>2000</v>
      </c>
      <c r="E132" s="1">
        <v>0.2</v>
      </c>
      <c r="F132" s="1">
        <v>0.2</v>
      </c>
    </row>
    <row r="133" spans="1:8" x14ac:dyDescent="0.3">
      <c r="A133" s="1" t="s">
        <v>282</v>
      </c>
      <c r="B133" s="1">
        <v>0.1</v>
      </c>
      <c r="C133" s="1">
        <v>13.71</v>
      </c>
      <c r="D133" s="1">
        <v>2000</v>
      </c>
      <c r="E133" s="1">
        <v>0.2</v>
      </c>
      <c r="F133" s="1">
        <v>0.2</v>
      </c>
    </row>
    <row r="134" spans="1:8" x14ac:dyDescent="0.3">
      <c r="A134" s="1" t="s">
        <v>283</v>
      </c>
      <c r="B134" s="1">
        <v>250</v>
      </c>
      <c r="C134" s="1">
        <v>13.71</v>
      </c>
      <c r="D134" s="1">
        <v>2000</v>
      </c>
      <c r="E134" s="1">
        <v>1</v>
      </c>
      <c r="F134" s="1">
        <v>1</v>
      </c>
    </row>
    <row r="135" spans="1:8" x14ac:dyDescent="0.3">
      <c r="A135" s="1" t="s">
        <v>284</v>
      </c>
      <c r="B135" s="1">
        <v>50</v>
      </c>
      <c r="C135" s="1">
        <v>13.71</v>
      </c>
      <c r="D135" s="1">
        <v>2000</v>
      </c>
      <c r="E135" s="1">
        <v>1</v>
      </c>
      <c r="F135" s="1">
        <v>1</v>
      </c>
    </row>
    <row r="136" spans="1:8" x14ac:dyDescent="0.3">
      <c r="A136" s="1" t="s">
        <v>285</v>
      </c>
      <c r="B136" s="1">
        <v>5</v>
      </c>
      <c r="C136" s="1">
        <v>13.71</v>
      </c>
      <c r="D136" s="1">
        <v>2000</v>
      </c>
      <c r="E136" s="1">
        <v>1</v>
      </c>
      <c r="F136" s="1">
        <v>1</v>
      </c>
    </row>
    <row r="137" spans="1:8" x14ac:dyDescent="0.3">
      <c r="A137" s="1" t="s">
        <v>286</v>
      </c>
      <c r="B137" s="1">
        <v>0.1</v>
      </c>
      <c r="C137" s="1">
        <v>13.71</v>
      </c>
      <c r="D137" s="1">
        <v>2000</v>
      </c>
      <c r="E137" s="1">
        <v>1</v>
      </c>
      <c r="F137" s="1">
        <v>1</v>
      </c>
    </row>
    <row r="138" spans="1:8" x14ac:dyDescent="0.3">
      <c r="A138" s="1" t="s">
        <v>287</v>
      </c>
      <c r="B138" s="1">
        <v>500</v>
      </c>
      <c r="C138" s="1">
        <v>13.71</v>
      </c>
      <c r="D138" s="1">
        <v>2000</v>
      </c>
      <c r="E138" s="1">
        <v>1</v>
      </c>
      <c r="F138" s="1">
        <v>1</v>
      </c>
    </row>
    <row r="139" spans="1:8" x14ac:dyDescent="0.3">
      <c r="A139" s="1" t="s">
        <v>288</v>
      </c>
      <c r="B139" s="1">
        <v>100</v>
      </c>
      <c r="C139" s="1">
        <v>13.71</v>
      </c>
      <c r="D139" s="1">
        <v>2000</v>
      </c>
      <c r="E139" s="1">
        <v>1</v>
      </c>
      <c r="F139" s="1">
        <v>1</v>
      </c>
    </row>
    <row r="140" spans="1:8" x14ac:dyDescent="0.3">
      <c r="A140" s="1" t="s">
        <v>289</v>
      </c>
      <c r="B140" s="1">
        <v>10</v>
      </c>
      <c r="C140" s="1">
        <v>13.71</v>
      </c>
      <c r="D140" s="1">
        <v>2000</v>
      </c>
      <c r="E140" s="1">
        <v>1</v>
      </c>
      <c r="F140" s="1">
        <v>1</v>
      </c>
    </row>
    <row r="141" spans="1:8" x14ac:dyDescent="0.3">
      <c r="A141" s="9" t="s">
        <v>290</v>
      </c>
      <c r="B141" s="9">
        <v>0.1</v>
      </c>
      <c r="C141" s="9">
        <v>13.71</v>
      </c>
      <c r="D141" s="9">
        <v>2000</v>
      </c>
      <c r="E141" s="9">
        <v>1</v>
      </c>
      <c r="F141" s="9">
        <v>1</v>
      </c>
      <c r="G141" s="9"/>
      <c r="H141" s="10"/>
    </row>
    <row r="142" spans="1:8" x14ac:dyDescent="0.3">
      <c r="A142" s="1" t="s">
        <v>291</v>
      </c>
      <c r="B142" s="1">
        <v>25</v>
      </c>
      <c r="C142" s="1">
        <v>27.43</v>
      </c>
      <c r="D142" s="1">
        <v>2000</v>
      </c>
      <c r="E142" s="1">
        <v>0.1</v>
      </c>
      <c r="F142" s="1">
        <v>0.1</v>
      </c>
    </row>
    <row r="143" spans="1:8" x14ac:dyDescent="0.3">
      <c r="A143" s="1" t="s">
        <v>292</v>
      </c>
      <c r="B143" s="1">
        <v>5</v>
      </c>
      <c r="C143" s="1">
        <v>27.43</v>
      </c>
      <c r="D143" s="1">
        <v>2000</v>
      </c>
      <c r="E143" s="1">
        <v>0.1</v>
      </c>
      <c r="F143" s="1">
        <v>0.1</v>
      </c>
    </row>
    <row r="144" spans="1:8" x14ac:dyDescent="0.3">
      <c r="A144" s="1" t="s">
        <v>293</v>
      </c>
      <c r="B144" s="1">
        <v>0.1</v>
      </c>
      <c r="C144" s="1">
        <v>27.43</v>
      </c>
      <c r="D144" s="1">
        <v>2000</v>
      </c>
      <c r="E144" s="1">
        <v>0.1</v>
      </c>
      <c r="F144" s="1">
        <v>0.1</v>
      </c>
    </row>
    <row r="145" spans="1:6" x14ac:dyDescent="0.3">
      <c r="A145" s="1" t="s">
        <v>294</v>
      </c>
      <c r="B145" s="1">
        <v>50</v>
      </c>
      <c r="C145" s="1">
        <v>27.43</v>
      </c>
      <c r="D145" s="1">
        <v>2000</v>
      </c>
      <c r="E145" s="1">
        <v>0.2</v>
      </c>
      <c r="F145" s="1">
        <v>0.2</v>
      </c>
    </row>
    <row r="146" spans="1:6" x14ac:dyDescent="0.3">
      <c r="A146" s="1" t="s">
        <v>295</v>
      </c>
      <c r="B146" s="1">
        <v>5</v>
      </c>
      <c r="C146" s="1">
        <v>27.43</v>
      </c>
      <c r="D146" s="1">
        <v>2000</v>
      </c>
      <c r="E146" s="1">
        <v>0.2</v>
      </c>
      <c r="F146" s="1">
        <v>0.2</v>
      </c>
    </row>
    <row r="147" spans="1:6" x14ac:dyDescent="0.3">
      <c r="A147" s="1" t="s">
        <v>296</v>
      </c>
      <c r="B147" s="1">
        <v>1</v>
      </c>
      <c r="C147" s="1">
        <v>27.43</v>
      </c>
      <c r="D147" s="1">
        <v>2000</v>
      </c>
      <c r="E147" s="1">
        <v>0.2</v>
      </c>
      <c r="F147" s="1">
        <v>0.2</v>
      </c>
    </row>
    <row r="148" spans="1:6" x14ac:dyDescent="0.3">
      <c r="A148" s="1" t="s">
        <v>297</v>
      </c>
      <c r="B148" s="1">
        <v>25</v>
      </c>
      <c r="C148" s="1">
        <v>27.43</v>
      </c>
      <c r="D148" s="1">
        <v>2000</v>
      </c>
      <c r="E148" s="1">
        <v>1</v>
      </c>
      <c r="F148" s="1">
        <v>1</v>
      </c>
    </row>
    <row r="149" spans="1:6" x14ac:dyDescent="0.3">
      <c r="A149" s="1" t="s">
        <v>298</v>
      </c>
      <c r="B149" s="1">
        <v>5</v>
      </c>
      <c r="C149" s="1">
        <v>27.43</v>
      </c>
      <c r="D149" s="1">
        <v>2000</v>
      </c>
      <c r="E149" s="1">
        <v>1</v>
      </c>
      <c r="F149" s="1">
        <v>1</v>
      </c>
    </row>
    <row r="150" spans="1:6" x14ac:dyDescent="0.3">
      <c r="A150" s="1" t="s">
        <v>299</v>
      </c>
      <c r="B150" s="1">
        <v>0.1</v>
      </c>
      <c r="C150" s="1">
        <v>27.43</v>
      </c>
      <c r="D150" s="1">
        <v>2000</v>
      </c>
      <c r="E150" s="1">
        <v>1</v>
      </c>
      <c r="F150" s="1">
        <v>1</v>
      </c>
    </row>
    <row r="151" spans="1:6" x14ac:dyDescent="0.3">
      <c r="A151" s="1" t="s">
        <v>300</v>
      </c>
      <c r="B151" s="1">
        <v>50</v>
      </c>
      <c r="C151" s="1">
        <v>27.43</v>
      </c>
      <c r="D151" s="1">
        <v>2000</v>
      </c>
      <c r="E151" s="1">
        <v>1</v>
      </c>
      <c r="F151" s="1">
        <v>1</v>
      </c>
    </row>
    <row r="152" spans="1:6" x14ac:dyDescent="0.3">
      <c r="A152" s="1" t="s">
        <v>301</v>
      </c>
      <c r="B152" s="1">
        <v>5</v>
      </c>
      <c r="C152" s="1">
        <v>27.43</v>
      </c>
      <c r="D152" s="1">
        <v>2000</v>
      </c>
      <c r="E152" s="1">
        <v>1</v>
      </c>
      <c r="F152" s="1">
        <v>1</v>
      </c>
    </row>
    <row r="153" spans="1:6" x14ac:dyDescent="0.3">
      <c r="A153" s="1" t="s">
        <v>302</v>
      </c>
      <c r="B153" s="1">
        <v>1</v>
      </c>
      <c r="C153" s="1">
        <v>27.43</v>
      </c>
      <c r="D153" s="1">
        <v>2000</v>
      </c>
      <c r="E153" s="1">
        <v>1</v>
      </c>
      <c r="F153" s="1">
        <v>1</v>
      </c>
    </row>
    <row r="154" spans="1:6" x14ac:dyDescent="0.3">
      <c r="A154" s="1" t="s">
        <v>303</v>
      </c>
      <c r="B154" s="1">
        <v>250</v>
      </c>
      <c r="C154" s="1">
        <v>27.43</v>
      </c>
      <c r="D154" s="1">
        <v>2000</v>
      </c>
      <c r="E154" s="1">
        <v>0.1</v>
      </c>
      <c r="F154" s="1">
        <v>0.1</v>
      </c>
    </row>
    <row r="155" spans="1:6" x14ac:dyDescent="0.3">
      <c r="A155" s="1" t="s">
        <v>304</v>
      </c>
      <c r="B155" s="1">
        <v>50</v>
      </c>
      <c r="C155" s="1">
        <v>27.43</v>
      </c>
      <c r="D155" s="1">
        <v>2000</v>
      </c>
      <c r="E155" s="1">
        <v>0.1</v>
      </c>
      <c r="F155" s="1">
        <v>0.1</v>
      </c>
    </row>
    <row r="156" spans="1:6" x14ac:dyDescent="0.3">
      <c r="A156" s="1" t="s">
        <v>305</v>
      </c>
      <c r="B156" s="1">
        <v>5</v>
      </c>
      <c r="C156" s="1">
        <v>27.43</v>
      </c>
      <c r="D156" s="1">
        <v>2000</v>
      </c>
      <c r="E156" s="1">
        <v>0.1</v>
      </c>
      <c r="F156" s="1">
        <v>0.1</v>
      </c>
    </row>
    <row r="157" spans="1:6" x14ac:dyDescent="0.3">
      <c r="A157" s="1" t="s">
        <v>306</v>
      </c>
      <c r="B157" s="1">
        <v>0.1</v>
      </c>
      <c r="C157" s="1">
        <v>27.43</v>
      </c>
      <c r="D157" s="1">
        <v>2000</v>
      </c>
      <c r="E157" s="1">
        <v>0.1</v>
      </c>
      <c r="F157" s="1">
        <v>0.1</v>
      </c>
    </row>
    <row r="158" spans="1:6" x14ac:dyDescent="0.3">
      <c r="A158" s="1" t="s">
        <v>307</v>
      </c>
      <c r="B158" s="1">
        <v>500</v>
      </c>
      <c r="C158" s="1">
        <v>27.43</v>
      </c>
      <c r="D158" s="1">
        <v>2000</v>
      </c>
      <c r="E158" s="1">
        <v>0.2</v>
      </c>
      <c r="F158" s="1">
        <v>0.2</v>
      </c>
    </row>
    <row r="159" spans="1:6" x14ac:dyDescent="0.3">
      <c r="A159" s="1" t="s">
        <v>308</v>
      </c>
      <c r="B159" s="1">
        <v>100</v>
      </c>
      <c r="C159" s="1">
        <v>27.43</v>
      </c>
      <c r="D159" s="1">
        <v>2000</v>
      </c>
      <c r="E159" s="1">
        <v>0.2</v>
      </c>
      <c r="F159" s="1">
        <v>0.2</v>
      </c>
    </row>
    <row r="160" spans="1:6" x14ac:dyDescent="0.3">
      <c r="A160" s="1" t="s">
        <v>309</v>
      </c>
      <c r="B160" s="1">
        <v>10</v>
      </c>
      <c r="C160" s="1">
        <v>27.43</v>
      </c>
      <c r="D160" s="1">
        <v>2000</v>
      </c>
      <c r="E160" s="1">
        <v>0.2</v>
      </c>
      <c r="F160" s="1">
        <v>0.2</v>
      </c>
    </row>
    <row r="161" spans="1:8" x14ac:dyDescent="0.3">
      <c r="A161" s="1" t="s">
        <v>310</v>
      </c>
      <c r="B161" s="1">
        <v>0.1</v>
      </c>
      <c r="C161" s="1">
        <v>27.43</v>
      </c>
      <c r="D161" s="1">
        <v>2000</v>
      </c>
      <c r="E161" s="1">
        <v>0.2</v>
      </c>
      <c r="F161" s="1">
        <v>0.2</v>
      </c>
    </row>
    <row r="162" spans="1:8" x14ac:dyDescent="0.3">
      <c r="A162" s="1" t="s">
        <v>311</v>
      </c>
      <c r="B162" s="1">
        <v>250</v>
      </c>
      <c r="C162" s="1">
        <v>27.43</v>
      </c>
      <c r="D162" s="1">
        <v>2000</v>
      </c>
      <c r="E162" s="1">
        <v>1</v>
      </c>
      <c r="F162" s="1">
        <v>1</v>
      </c>
    </row>
    <row r="163" spans="1:8" x14ac:dyDescent="0.3">
      <c r="A163" s="1" t="s">
        <v>312</v>
      </c>
      <c r="B163" s="1">
        <v>50</v>
      </c>
      <c r="C163" s="1">
        <v>27.43</v>
      </c>
      <c r="D163" s="1">
        <v>2000</v>
      </c>
      <c r="E163" s="1">
        <v>1</v>
      </c>
      <c r="F163" s="1">
        <v>1</v>
      </c>
    </row>
    <row r="164" spans="1:8" x14ac:dyDescent="0.3">
      <c r="A164" s="1" t="s">
        <v>313</v>
      </c>
      <c r="B164" s="1">
        <v>5</v>
      </c>
      <c r="C164" s="1">
        <v>27.43</v>
      </c>
      <c r="D164" s="1">
        <v>2000</v>
      </c>
      <c r="E164" s="1">
        <v>1</v>
      </c>
      <c r="F164" s="1">
        <v>1</v>
      </c>
    </row>
    <row r="165" spans="1:8" x14ac:dyDescent="0.3">
      <c r="A165" s="1" t="s">
        <v>314</v>
      </c>
      <c r="B165" s="1">
        <v>0.1</v>
      </c>
      <c r="C165" s="1">
        <v>27.43</v>
      </c>
      <c r="D165" s="1">
        <v>2000</v>
      </c>
      <c r="E165" s="1">
        <v>1</v>
      </c>
      <c r="F165" s="1">
        <v>1</v>
      </c>
    </row>
    <row r="166" spans="1:8" x14ac:dyDescent="0.3">
      <c r="A166" s="1" t="s">
        <v>315</v>
      </c>
      <c r="B166" s="1">
        <v>500</v>
      </c>
      <c r="C166" s="1">
        <v>27.43</v>
      </c>
      <c r="D166" s="1">
        <v>2000</v>
      </c>
      <c r="E166" s="1">
        <v>1</v>
      </c>
      <c r="F166" s="1">
        <v>1</v>
      </c>
    </row>
    <row r="167" spans="1:8" x14ac:dyDescent="0.3">
      <c r="A167" s="1" t="s">
        <v>316</v>
      </c>
      <c r="B167" s="1">
        <v>100</v>
      </c>
      <c r="C167" s="1">
        <v>27.43</v>
      </c>
      <c r="D167" s="1">
        <v>2000</v>
      </c>
      <c r="E167" s="1">
        <v>1</v>
      </c>
      <c r="F167" s="1">
        <v>1</v>
      </c>
    </row>
    <row r="168" spans="1:8" x14ac:dyDescent="0.3">
      <c r="A168" s="1" t="s">
        <v>317</v>
      </c>
      <c r="B168" s="1">
        <v>10</v>
      </c>
      <c r="C168" s="1">
        <v>27.43</v>
      </c>
      <c r="D168" s="1">
        <v>2000</v>
      </c>
      <c r="E168" s="1">
        <v>1</v>
      </c>
      <c r="F168" s="1">
        <v>1</v>
      </c>
    </row>
    <row r="169" spans="1:8" x14ac:dyDescent="0.3">
      <c r="A169" s="9" t="s">
        <v>318</v>
      </c>
      <c r="B169" s="9">
        <v>0.1</v>
      </c>
      <c r="C169" s="9">
        <v>27.43</v>
      </c>
      <c r="D169" s="9">
        <v>2000</v>
      </c>
      <c r="E169" s="9">
        <v>1</v>
      </c>
      <c r="F169" s="9">
        <v>1</v>
      </c>
      <c r="G169" s="9"/>
      <c r="H169" s="10"/>
    </row>
    <row r="170" spans="1:8" x14ac:dyDescent="0.3">
      <c r="A170" s="1" t="s">
        <v>319</v>
      </c>
      <c r="B170" s="1">
        <v>100</v>
      </c>
      <c r="C170" s="1">
        <v>42.86</v>
      </c>
      <c r="D170" s="1">
        <v>2000</v>
      </c>
      <c r="E170" s="12">
        <v>0.1</v>
      </c>
      <c r="F170" s="12">
        <v>0.1</v>
      </c>
    </row>
    <row r="171" spans="1:8" x14ac:dyDescent="0.3">
      <c r="A171" s="1" t="s">
        <v>320</v>
      </c>
      <c r="B171" s="1">
        <v>20</v>
      </c>
      <c r="C171" s="1">
        <v>42.86</v>
      </c>
      <c r="D171" s="1">
        <v>2000</v>
      </c>
      <c r="E171" s="12">
        <v>0.1</v>
      </c>
      <c r="F171" s="12">
        <v>0.1</v>
      </c>
    </row>
    <row r="172" spans="1:8" x14ac:dyDescent="0.3">
      <c r="A172" s="1" t="s">
        <v>321</v>
      </c>
      <c r="B172" s="1">
        <v>1</v>
      </c>
      <c r="C172" s="1">
        <v>42.86</v>
      </c>
      <c r="D172" s="1">
        <v>2000</v>
      </c>
      <c r="E172" s="12">
        <v>0.1</v>
      </c>
      <c r="F172" s="12">
        <v>0.1</v>
      </c>
    </row>
    <row r="173" spans="1:8" x14ac:dyDescent="0.3">
      <c r="A173" s="1" t="s">
        <v>322</v>
      </c>
      <c r="B173" s="1" t="s">
        <v>323</v>
      </c>
      <c r="C173" s="1" t="s">
        <v>323</v>
      </c>
      <c r="D173" s="1" t="s">
        <v>323</v>
      </c>
      <c r="E173" s="1" t="s">
        <v>323</v>
      </c>
      <c r="F173" s="1" t="s">
        <v>323</v>
      </c>
      <c r="H173" s="7" t="s">
        <v>324</v>
      </c>
    </row>
    <row r="174" spans="1:8" x14ac:dyDescent="0.3">
      <c r="A174" s="1" t="s">
        <v>325</v>
      </c>
      <c r="B174" s="1" t="s">
        <v>323</v>
      </c>
      <c r="C174" s="1" t="s">
        <v>323</v>
      </c>
      <c r="D174" s="1" t="s">
        <v>323</v>
      </c>
      <c r="E174" s="1" t="s">
        <v>323</v>
      </c>
      <c r="F174" s="1" t="s">
        <v>323</v>
      </c>
      <c r="H174" s="7" t="s">
        <v>324</v>
      </c>
    </row>
    <row r="175" spans="1:8" x14ac:dyDescent="0.3">
      <c r="A175" s="1" t="s">
        <v>326</v>
      </c>
      <c r="B175" s="1" t="s">
        <v>323</v>
      </c>
      <c r="C175" s="1" t="s">
        <v>323</v>
      </c>
      <c r="D175" s="1" t="s">
        <v>323</v>
      </c>
      <c r="E175" s="1" t="s">
        <v>323</v>
      </c>
      <c r="F175" s="1" t="s">
        <v>323</v>
      </c>
      <c r="H175" s="7" t="s">
        <v>324</v>
      </c>
    </row>
    <row r="176" spans="1:8" x14ac:dyDescent="0.3">
      <c r="A176" s="1" t="s">
        <v>327</v>
      </c>
      <c r="B176" s="1">
        <v>100</v>
      </c>
      <c r="C176" s="1">
        <v>42.86</v>
      </c>
      <c r="D176" s="1">
        <v>2000</v>
      </c>
      <c r="E176" s="1">
        <v>1</v>
      </c>
      <c r="F176" s="1">
        <v>1</v>
      </c>
    </row>
    <row r="177" spans="1:8" x14ac:dyDescent="0.3">
      <c r="A177" s="1" t="s">
        <v>328</v>
      </c>
      <c r="B177" s="1">
        <v>20</v>
      </c>
      <c r="C177" s="1">
        <v>42.86</v>
      </c>
      <c r="D177" s="1">
        <v>2000</v>
      </c>
      <c r="E177" s="1">
        <v>1</v>
      </c>
      <c r="F177" s="1">
        <v>1</v>
      </c>
    </row>
    <row r="178" spans="1:8" x14ac:dyDescent="0.3">
      <c r="A178" s="1" t="s">
        <v>329</v>
      </c>
      <c r="B178" s="1">
        <v>1</v>
      </c>
      <c r="C178" s="1">
        <v>42.86</v>
      </c>
      <c r="D178" s="1">
        <v>2000</v>
      </c>
      <c r="E178" s="1">
        <v>1</v>
      </c>
      <c r="F178" s="1">
        <v>1</v>
      </c>
    </row>
    <row r="179" spans="1:8" x14ac:dyDescent="0.3">
      <c r="A179" s="1" t="s">
        <v>330</v>
      </c>
      <c r="B179" s="1" t="s">
        <v>323</v>
      </c>
      <c r="C179" s="1" t="s">
        <v>323</v>
      </c>
      <c r="D179" s="1" t="s">
        <v>323</v>
      </c>
      <c r="E179" s="1" t="s">
        <v>323</v>
      </c>
      <c r="F179" s="1" t="s">
        <v>323</v>
      </c>
      <c r="H179" s="7" t="s">
        <v>324</v>
      </c>
    </row>
    <row r="180" spans="1:8" x14ac:dyDescent="0.3">
      <c r="A180" s="1" t="s">
        <v>331</v>
      </c>
      <c r="B180" s="1" t="s">
        <v>323</v>
      </c>
      <c r="C180" s="1" t="s">
        <v>323</v>
      </c>
      <c r="D180" s="1" t="s">
        <v>323</v>
      </c>
      <c r="E180" s="1" t="s">
        <v>323</v>
      </c>
      <c r="F180" s="1" t="s">
        <v>323</v>
      </c>
      <c r="H180" s="7" t="s">
        <v>324</v>
      </c>
    </row>
    <row r="181" spans="1:8" x14ac:dyDescent="0.3">
      <c r="A181" s="1" t="s">
        <v>332</v>
      </c>
      <c r="B181" s="1" t="s">
        <v>323</v>
      </c>
      <c r="C181" s="1" t="s">
        <v>323</v>
      </c>
      <c r="D181" s="1" t="s">
        <v>323</v>
      </c>
      <c r="E181" s="1" t="s">
        <v>323</v>
      </c>
      <c r="F181" s="1" t="s">
        <v>323</v>
      </c>
      <c r="H181" s="7" t="s">
        <v>324</v>
      </c>
    </row>
    <row r="182" spans="1:8" x14ac:dyDescent="0.3">
      <c r="A182" s="1" t="s">
        <v>333</v>
      </c>
      <c r="B182" s="1">
        <v>500</v>
      </c>
      <c r="C182" s="1">
        <v>42.86</v>
      </c>
      <c r="D182" s="1">
        <v>2000</v>
      </c>
      <c r="E182" s="12">
        <v>0.1</v>
      </c>
      <c r="F182" s="12">
        <v>0.1</v>
      </c>
    </row>
    <row r="183" spans="1:8" x14ac:dyDescent="0.3">
      <c r="A183" s="1" t="s">
        <v>334</v>
      </c>
      <c r="B183" s="1">
        <v>250</v>
      </c>
      <c r="C183" s="1">
        <v>42.86</v>
      </c>
      <c r="D183" s="1">
        <v>2000</v>
      </c>
      <c r="E183" s="12">
        <v>0.1</v>
      </c>
      <c r="F183" s="12">
        <v>0.1</v>
      </c>
    </row>
    <row r="184" spans="1:8" x14ac:dyDescent="0.3">
      <c r="A184" s="1" t="s">
        <v>335</v>
      </c>
      <c r="B184" s="1">
        <v>100</v>
      </c>
      <c r="C184" s="1">
        <v>42.86</v>
      </c>
      <c r="D184" s="1">
        <v>2000</v>
      </c>
      <c r="E184" s="12">
        <v>0.1</v>
      </c>
      <c r="F184" s="12">
        <v>0.1</v>
      </c>
    </row>
    <row r="185" spans="1:8" x14ac:dyDescent="0.3">
      <c r="A185" s="1" t="s">
        <v>336</v>
      </c>
      <c r="B185" s="1">
        <v>100</v>
      </c>
      <c r="C185" s="1">
        <v>42.86</v>
      </c>
      <c r="D185" s="1">
        <v>2000</v>
      </c>
      <c r="E185" s="12">
        <v>0.1</v>
      </c>
      <c r="F185" s="12">
        <v>0.1</v>
      </c>
    </row>
    <row r="186" spans="1:8" x14ac:dyDescent="0.3">
      <c r="A186" s="1" t="s">
        <v>337</v>
      </c>
      <c r="B186" s="1" t="s">
        <v>323</v>
      </c>
      <c r="C186" s="1" t="s">
        <v>323</v>
      </c>
      <c r="D186" s="1" t="s">
        <v>323</v>
      </c>
      <c r="E186" s="1" t="s">
        <v>323</v>
      </c>
      <c r="F186" s="1" t="s">
        <v>323</v>
      </c>
      <c r="H186" s="7" t="s">
        <v>324</v>
      </c>
    </row>
    <row r="187" spans="1:8" x14ac:dyDescent="0.3">
      <c r="A187" s="1" t="s">
        <v>338</v>
      </c>
      <c r="B187" s="1" t="s">
        <v>323</v>
      </c>
      <c r="C187" s="1" t="s">
        <v>323</v>
      </c>
      <c r="D187" s="1" t="s">
        <v>323</v>
      </c>
      <c r="E187" s="1" t="s">
        <v>323</v>
      </c>
      <c r="F187" s="1" t="s">
        <v>323</v>
      </c>
      <c r="H187" s="7" t="s">
        <v>324</v>
      </c>
    </row>
    <row r="188" spans="1:8" x14ac:dyDescent="0.3">
      <c r="A188" s="1" t="s">
        <v>339</v>
      </c>
      <c r="B188" s="1" t="s">
        <v>323</v>
      </c>
      <c r="C188" s="1" t="s">
        <v>323</v>
      </c>
      <c r="D188" s="1" t="s">
        <v>323</v>
      </c>
      <c r="E188" s="1" t="s">
        <v>323</v>
      </c>
      <c r="F188" s="1" t="s">
        <v>323</v>
      </c>
      <c r="H188" s="7" t="s">
        <v>324</v>
      </c>
    </row>
    <row r="189" spans="1:8" x14ac:dyDescent="0.3">
      <c r="A189" s="1" t="s">
        <v>340</v>
      </c>
      <c r="B189" s="1" t="s">
        <v>323</v>
      </c>
      <c r="C189" s="1" t="s">
        <v>323</v>
      </c>
      <c r="D189" s="1" t="s">
        <v>323</v>
      </c>
      <c r="E189" s="1" t="s">
        <v>323</v>
      </c>
      <c r="F189" s="1" t="s">
        <v>323</v>
      </c>
      <c r="H189" s="7" t="s">
        <v>324</v>
      </c>
    </row>
    <row r="190" spans="1:8" x14ac:dyDescent="0.3">
      <c r="A190" s="1" t="s">
        <v>341</v>
      </c>
      <c r="B190" s="1">
        <v>500</v>
      </c>
      <c r="C190" s="1">
        <v>42.86</v>
      </c>
      <c r="D190" s="1">
        <v>2000</v>
      </c>
      <c r="E190" s="1">
        <v>1</v>
      </c>
      <c r="F190" s="1">
        <v>1</v>
      </c>
    </row>
    <row r="191" spans="1:8" x14ac:dyDescent="0.3">
      <c r="A191" s="1" t="s">
        <v>342</v>
      </c>
      <c r="B191" s="1">
        <v>250</v>
      </c>
      <c r="C191" s="1">
        <v>42.86</v>
      </c>
      <c r="D191" s="1">
        <v>2000</v>
      </c>
      <c r="E191" s="1">
        <v>1</v>
      </c>
      <c r="F191" s="1">
        <v>1</v>
      </c>
    </row>
    <row r="192" spans="1:8" x14ac:dyDescent="0.3">
      <c r="A192" s="1" t="s">
        <v>343</v>
      </c>
      <c r="B192" s="1">
        <v>100</v>
      </c>
      <c r="C192" s="1">
        <v>42.86</v>
      </c>
      <c r="D192" s="1">
        <v>2000</v>
      </c>
      <c r="E192" s="1">
        <v>1</v>
      </c>
      <c r="F192" s="1">
        <v>1</v>
      </c>
    </row>
    <row r="193" spans="1:8" x14ac:dyDescent="0.3">
      <c r="A193" s="1" t="s">
        <v>344</v>
      </c>
      <c r="B193" s="1">
        <v>100</v>
      </c>
      <c r="C193" s="1">
        <v>42.86</v>
      </c>
      <c r="D193" s="1">
        <v>2000</v>
      </c>
      <c r="E193" s="1">
        <v>1</v>
      </c>
      <c r="F193" s="1">
        <v>1</v>
      </c>
    </row>
    <row r="194" spans="1:8" x14ac:dyDescent="0.3">
      <c r="A194" s="1" t="s">
        <v>345</v>
      </c>
      <c r="B194" s="1" t="s">
        <v>323</v>
      </c>
      <c r="C194" s="1" t="s">
        <v>323</v>
      </c>
      <c r="D194" s="1" t="s">
        <v>323</v>
      </c>
      <c r="E194" s="1" t="s">
        <v>323</v>
      </c>
      <c r="F194" s="1" t="s">
        <v>323</v>
      </c>
      <c r="H194" s="7" t="s">
        <v>324</v>
      </c>
    </row>
    <row r="195" spans="1:8" x14ac:dyDescent="0.3">
      <c r="A195" s="1" t="s">
        <v>346</v>
      </c>
      <c r="B195" s="1" t="s">
        <v>323</v>
      </c>
      <c r="C195" s="1" t="s">
        <v>323</v>
      </c>
      <c r="D195" s="1" t="s">
        <v>323</v>
      </c>
      <c r="E195" s="1" t="s">
        <v>323</v>
      </c>
      <c r="F195" s="1" t="s">
        <v>323</v>
      </c>
      <c r="H195" s="7" t="s">
        <v>324</v>
      </c>
    </row>
    <row r="196" spans="1:8" x14ac:dyDescent="0.3">
      <c r="A196" s="1" t="s">
        <v>347</v>
      </c>
      <c r="B196" s="1" t="s">
        <v>323</v>
      </c>
      <c r="C196" s="1" t="s">
        <v>323</v>
      </c>
      <c r="D196" s="1" t="s">
        <v>323</v>
      </c>
      <c r="E196" s="1" t="s">
        <v>323</v>
      </c>
      <c r="F196" s="1" t="s">
        <v>323</v>
      </c>
      <c r="H196" s="7" t="s">
        <v>324</v>
      </c>
    </row>
    <row r="197" spans="1:8" x14ac:dyDescent="0.3">
      <c r="A197" s="9" t="s">
        <v>348</v>
      </c>
      <c r="B197" s="9" t="s">
        <v>323</v>
      </c>
      <c r="C197" s="9" t="s">
        <v>323</v>
      </c>
      <c r="D197" s="9" t="s">
        <v>323</v>
      </c>
      <c r="E197" s="9" t="s">
        <v>323</v>
      </c>
      <c r="F197" s="9" t="s">
        <v>323</v>
      </c>
      <c r="G197" s="9"/>
      <c r="H197" s="10" t="s">
        <v>324</v>
      </c>
    </row>
    <row r="198" spans="1:8" x14ac:dyDescent="0.3">
      <c r="A198" s="1" t="s">
        <v>349</v>
      </c>
      <c r="B198" s="1">
        <v>50</v>
      </c>
      <c r="C198" s="12">
        <v>27.43</v>
      </c>
      <c r="D198" s="12">
        <v>2000</v>
      </c>
      <c r="E198" s="1">
        <v>0.1</v>
      </c>
      <c r="F198" s="1">
        <v>0.1</v>
      </c>
    </row>
    <row r="199" spans="1:8" x14ac:dyDescent="0.3">
      <c r="A199" s="1" t="s">
        <v>350</v>
      </c>
      <c r="B199" s="1">
        <v>5</v>
      </c>
      <c r="C199" s="12">
        <v>27.43</v>
      </c>
      <c r="D199" s="12">
        <v>2000</v>
      </c>
      <c r="E199" s="1">
        <v>0.1</v>
      </c>
      <c r="F199" s="1">
        <v>0.1</v>
      </c>
    </row>
    <row r="200" spans="1:8" x14ac:dyDescent="0.3">
      <c r="A200" s="1" t="s">
        <v>351</v>
      </c>
      <c r="B200" s="1">
        <v>0.5</v>
      </c>
      <c r="C200" s="12">
        <v>27.43</v>
      </c>
      <c r="D200" s="12">
        <v>2000</v>
      </c>
      <c r="E200" s="1">
        <v>0.1</v>
      </c>
      <c r="F200" s="1">
        <v>0.1</v>
      </c>
    </row>
    <row r="201" spans="1:8" x14ac:dyDescent="0.3">
      <c r="A201" s="1" t="s">
        <v>352</v>
      </c>
      <c r="B201" s="1">
        <v>50</v>
      </c>
      <c r="C201" s="12">
        <v>27.43</v>
      </c>
      <c r="D201" s="12">
        <v>2000</v>
      </c>
      <c r="E201" s="1">
        <v>0.2</v>
      </c>
      <c r="F201" s="1">
        <v>0.2</v>
      </c>
    </row>
    <row r="202" spans="1:8" x14ac:dyDescent="0.3">
      <c r="A202" s="1" t="s">
        <v>353</v>
      </c>
      <c r="B202" s="1">
        <v>10</v>
      </c>
      <c r="C202" s="12">
        <v>27.43</v>
      </c>
      <c r="D202" s="12">
        <v>2000</v>
      </c>
      <c r="E202" s="1">
        <v>0.2</v>
      </c>
      <c r="F202" s="1">
        <v>0.2</v>
      </c>
    </row>
    <row r="203" spans="1:8" x14ac:dyDescent="0.3">
      <c r="A203" s="1" t="s">
        <v>354</v>
      </c>
      <c r="B203" s="1">
        <v>0.5</v>
      </c>
      <c r="C203" s="12">
        <v>27.43</v>
      </c>
      <c r="D203" s="12">
        <v>2000</v>
      </c>
      <c r="E203" s="1">
        <v>0.2</v>
      </c>
      <c r="F203" s="1">
        <v>0.2</v>
      </c>
    </row>
    <row r="204" spans="1:8" x14ac:dyDescent="0.3">
      <c r="A204" s="1" t="s">
        <v>355</v>
      </c>
      <c r="B204" s="1">
        <v>50</v>
      </c>
      <c r="C204" s="12">
        <v>27.43</v>
      </c>
      <c r="D204" s="12">
        <v>2000</v>
      </c>
      <c r="E204" s="1">
        <v>1</v>
      </c>
      <c r="F204" s="1">
        <v>1</v>
      </c>
    </row>
    <row r="205" spans="1:8" x14ac:dyDescent="0.3">
      <c r="A205" s="1" t="s">
        <v>356</v>
      </c>
      <c r="B205" s="1">
        <v>5</v>
      </c>
      <c r="C205" s="12">
        <v>27.43</v>
      </c>
      <c r="D205" s="12">
        <v>2000</v>
      </c>
      <c r="E205" s="1">
        <v>1</v>
      </c>
      <c r="F205" s="1">
        <v>1</v>
      </c>
    </row>
    <row r="206" spans="1:8" x14ac:dyDescent="0.3">
      <c r="A206" s="1" t="s">
        <v>357</v>
      </c>
      <c r="B206" s="1">
        <v>0.5</v>
      </c>
      <c r="C206" s="12">
        <v>27.43</v>
      </c>
      <c r="D206" s="12">
        <v>2000</v>
      </c>
      <c r="E206" s="1">
        <v>1</v>
      </c>
      <c r="F206" s="1">
        <v>1</v>
      </c>
    </row>
    <row r="207" spans="1:8" x14ac:dyDescent="0.3">
      <c r="A207" s="1" t="s">
        <v>358</v>
      </c>
      <c r="B207" s="1">
        <v>50</v>
      </c>
      <c r="C207" s="12">
        <v>27.43</v>
      </c>
      <c r="D207" s="12">
        <v>2000</v>
      </c>
      <c r="E207" s="1">
        <v>1</v>
      </c>
      <c r="F207" s="1">
        <v>1</v>
      </c>
    </row>
    <row r="208" spans="1:8" x14ac:dyDescent="0.3">
      <c r="A208" s="1" t="s">
        <v>359</v>
      </c>
      <c r="B208" s="1">
        <v>10</v>
      </c>
      <c r="C208" s="12">
        <v>27.43</v>
      </c>
      <c r="D208" s="12">
        <v>2000</v>
      </c>
      <c r="E208" s="1">
        <v>1</v>
      </c>
      <c r="F208" s="1">
        <v>1</v>
      </c>
    </row>
    <row r="209" spans="1:6" x14ac:dyDescent="0.3">
      <c r="A209" s="1" t="s">
        <v>360</v>
      </c>
      <c r="B209" s="1">
        <v>0.5</v>
      </c>
      <c r="C209" s="12">
        <v>27.43</v>
      </c>
      <c r="D209" s="12">
        <v>2000</v>
      </c>
      <c r="E209" s="1">
        <v>1</v>
      </c>
      <c r="F209" s="1">
        <v>1</v>
      </c>
    </row>
    <row r="210" spans="1:6" x14ac:dyDescent="0.3">
      <c r="A210" s="1" t="s">
        <v>361</v>
      </c>
      <c r="B210" s="1">
        <v>250</v>
      </c>
      <c r="C210" s="12">
        <v>27.43</v>
      </c>
      <c r="D210" s="12">
        <v>2000</v>
      </c>
      <c r="E210" s="1">
        <v>0.1</v>
      </c>
      <c r="F210" s="1">
        <v>0.1</v>
      </c>
    </row>
    <row r="211" spans="1:6" x14ac:dyDescent="0.3">
      <c r="A211" s="1" t="s">
        <v>362</v>
      </c>
      <c r="B211" s="1">
        <v>50</v>
      </c>
      <c r="C211" s="12">
        <v>27.43</v>
      </c>
      <c r="D211" s="12">
        <v>2000</v>
      </c>
      <c r="E211" s="1">
        <v>0.1</v>
      </c>
      <c r="F211" s="1">
        <v>0.1</v>
      </c>
    </row>
    <row r="212" spans="1:6" x14ac:dyDescent="0.3">
      <c r="A212" s="1" t="s">
        <v>363</v>
      </c>
      <c r="B212" s="1">
        <v>10</v>
      </c>
      <c r="C212" s="12">
        <v>27.43</v>
      </c>
      <c r="D212" s="12">
        <v>2000</v>
      </c>
      <c r="E212" s="1">
        <v>0.1</v>
      </c>
      <c r="F212" s="1">
        <v>0.1</v>
      </c>
    </row>
    <row r="213" spans="1:6" x14ac:dyDescent="0.3">
      <c r="A213" s="1" t="s">
        <v>364</v>
      </c>
      <c r="B213" s="1">
        <v>0.1</v>
      </c>
      <c r="C213" s="12">
        <v>27.43</v>
      </c>
      <c r="D213" s="12">
        <v>2000</v>
      </c>
      <c r="E213" s="1">
        <v>0.1</v>
      </c>
      <c r="F213" s="1">
        <v>0.1</v>
      </c>
    </row>
    <row r="214" spans="1:6" x14ac:dyDescent="0.3">
      <c r="A214" s="1" t="s">
        <v>365</v>
      </c>
      <c r="B214" s="1">
        <v>500</v>
      </c>
      <c r="C214" s="12">
        <v>27.43</v>
      </c>
      <c r="D214" s="12">
        <v>2000</v>
      </c>
      <c r="E214" s="1">
        <v>0.2</v>
      </c>
      <c r="F214" s="1">
        <v>0.2</v>
      </c>
    </row>
    <row r="215" spans="1:6" x14ac:dyDescent="0.3">
      <c r="A215" s="1" t="s">
        <v>366</v>
      </c>
      <c r="B215" s="1">
        <v>100</v>
      </c>
      <c r="C215" s="12">
        <v>27.43</v>
      </c>
      <c r="D215" s="12">
        <v>2000</v>
      </c>
      <c r="E215" s="1">
        <v>0.2</v>
      </c>
      <c r="F215" s="1">
        <v>0.2</v>
      </c>
    </row>
    <row r="216" spans="1:6" x14ac:dyDescent="0.3">
      <c r="A216" s="1" t="s">
        <v>367</v>
      </c>
      <c r="B216" s="1">
        <v>25</v>
      </c>
      <c r="C216" s="12">
        <v>27.43</v>
      </c>
      <c r="D216" s="12">
        <v>2000</v>
      </c>
      <c r="E216" s="1">
        <v>0.2</v>
      </c>
      <c r="F216" s="1">
        <v>0.2</v>
      </c>
    </row>
    <row r="217" spans="1:6" x14ac:dyDescent="0.3">
      <c r="A217" s="1" t="s">
        <v>368</v>
      </c>
      <c r="B217" s="1">
        <v>0.1</v>
      </c>
      <c r="C217" s="12">
        <v>27.43</v>
      </c>
      <c r="D217" s="12">
        <v>2000</v>
      </c>
      <c r="E217" s="1">
        <v>0.2</v>
      </c>
      <c r="F217" s="1">
        <v>0.2</v>
      </c>
    </row>
    <row r="218" spans="1:6" x14ac:dyDescent="0.3">
      <c r="A218" s="1" t="s">
        <v>369</v>
      </c>
      <c r="B218" s="1">
        <v>250</v>
      </c>
      <c r="C218" s="12">
        <v>27.43</v>
      </c>
      <c r="D218" s="12">
        <v>2000</v>
      </c>
      <c r="E218" s="1">
        <v>1</v>
      </c>
      <c r="F218" s="1">
        <v>1</v>
      </c>
    </row>
    <row r="219" spans="1:6" x14ac:dyDescent="0.3">
      <c r="A219" s="1" t="s">
        <v>370</v>
      </c>
      <c r="B219" s="1">
        <v>50</v>
      </c>
      <c r="C219" s="12">
        <v>27.43</v>
      </c>
      <c r="D219" s="12">
        <v>2000</v>
      </c>
      <c r="E219" s="1">
        <v>1</v>
      </c>
      <c r="F219" s="1">
        <v>1</v>
      </c>
    </row>
    <row r="220" spans="1:6" x14ac:dyDescent="0.3">
      <c r="A220" s="1" t="s">
        <v>371</v>
      </c>
      <c r="B220" s="1">
        <v>10</v>
      </c>
      <c r="C220" s="12">
        <v>27.43</v>
      </c>
      <c r="D220" s="12">
        <v>2000</v>
      </c>
      <c r="E220" s="1">
        <v>1</v>
      </c>
      <c r="F220" s="1">
        <v>1</v>
      </c>
    </row>
    <row r="221" spans="1:6" x14ac:dyDescent="0.3">
      <c r="A221" s="1" t="s">
        <v>372</v>
      </c>
      <c r="B221" s="1">
        <v>0.1</v>
      </c>
      <c r="C221" s="12">
        <v>27.43</v>
      </c>
      <c r="D221" s="12">
        <v>2000</v>
      </c>
      <c r="E221" s="1">
        <v>1</v>
      </c>
      <c r="F221" s="1">
        <v>1</v>
      </c>
    </row>
    <row r="222" spans="1:6" x14ac:dyDescent="0.3">
      <c r="A222" s="1" t="s">
        <v>373</v>
      </c>
      <c r="B222" s="1">
        <v>500</v>
      </c>
      <c r="C222" s="12">
        <v>27.43</v>
      </c>
      <c r="D222" s="12">
        <v>2000</v>
      </c>
      <c r="E222" s="1">
        <v>1</v>
      </c>
      <c r="F222" s="1">
        <v>1</v>
      </c>
    </row>
    <row r="223" spans="1:6" x14ac:dyDescent="0.3">
      <c r="A223" s="1" t="s">
        <v>374</v>
      </c>
      <c r="B223" s="1">
        <v>100</v>
      </c>
      <c r="C223" s="12">
        <v>27.43</v>
      </c>
      <c r="D223" s="12">
        <v>2000</v>
      </c>
      <c r="E223" s="1">
        <v>1</v>
      </c>
      <c r="F223" s="1">
        <v>1</v>
      </c>
    </row>
    <row r="224" spans="1:6" x14ac:dyDescent="0.3">
      <c r="A224" s="1" t="s">
        <v>375</v>
      </c>
      <c r="B224" s="1">
        <v>25</v>
      </c>
      <c r="C224" s="12">
        <v>27.43</v>
      </c>
      <c r="D224" s="12">
        <v>2000</v>
      </c>
      <c r="E224" s="1">
        <v>1</v>
      </c>
      <c r="F224" s="1">
        <v>1</v>
      </c>
    </row>
    <row r="225" spans="1:8" x14ac:dyDescent="0.3">
      <c r="A225" s="9" t="s">
        <v>376</v>
      </c>
      <c r="B225" s="9">
        <v>0.1</v>
      </c>
      <c r="C225" s="12">
        <v>27.43</v>
      </c>
      <c r="D225" s="13">
        <v>2000</v>
      </c>
      <c r="E225" s="9">
        <v>1</v>
      </c>
      <c r="F225" s="9">
        <v>1</v>
      </c>
      <c r="G225" s="9"/>
      <c r="H225" s="10"/>
    </row>
    <row r="226" spans="1:8" x14ac:dyDescent="0.3">
      <c r="A226" s="1" t="s">
        <v>377</v>
      </c>
      <c r="B226" s="1">
        <v>25</v>
      </c>
      <c r="C226" s="1">
        <v>13.71</v>
      </c>
      <c r="D226" s="1">
        <v>1000</v>
      </c>
      <c r="E226" s="12">
        <v>0.1</v>
      </c>
      <c r="F226" s="12">
        <v>0.1</v>
      </c>
    </row>
    <row r="227" spans="1:8" x14ac:dyDescent="0.3">
      <c r="A227" s="1" t="s">
        <v>378</v>
      </c>
      <c r="B227" s="1">
        <v>1</v>
      </c>
      <c r="C227" s="1">
        <v>13.71</v>
      </c>
      <c r="D227" s="1">
        <v>1000</v>
      </c>
      <c r="E227" s="12">
        <v>0.1</v>
      </c>
      <c r="F227" s="12">
        <v>0.1</v>
      </c>
    </row>
    <row r="228" spans="1:8" x14ac:dyDescent="0.3">
      <c r="A228" s="1" t="s">
        <v>379</v>
      </c>
      <c r="B228" s="1">
        <v>0.1</v>
      </c>
      <c r="C228" s="1">
        <v>13.71</v>
      </c>
      <c r="D228" s="1">
        <v>1000</v>
      </c>
      <c r="E228" s="12">
        <v>0.1</v>
      </c>
      <c r="F228" s="12">
        <v>0.1</v>
      </c>
    </row>
    <row r="229" spans="1:8" x14ac:dyDescent="0.3">
      <c r="A229" s="1" t="s">
        <v>380</v>
      </c>
      <c r="B229" s="1">
        <v>50</v>
      </c>
      <c r="C229" s="1">
        <v>13.71</v>
      </c>
      <c r="D229" s="1">
        <v>1000</v>
      </c>
      <c r="E229" s="1">
        <v>0.2</v>
      </c>
      <c r="F229" s="1">
        <v>0.2</v>
      </c>
    </row>
    <row r="230" spans="1:8" x14ac:dyDescent="0.3">
      <c r="A230" s="1" t="s">
        <v>381</v>
      </c>
      <c r="B230" s="1">
        <v>5</v>
      </c>
      <c r="C230" s="1">
        <v>13.71</v>
      </c>
      <c r="D230" s="1">
        <v>1000</v>
      </c>
      <c r="E230" s="1">
        <v>0.2</v>
      </c>
      <c r="F230" s="1">
        <v>0.2</v>
      </c>
    </row>
    <row r="231" spans="1:8" x14ac:dyDescent="0.3">
      <c r="A231" s="1" t="s">
        <v>382</v>
      </c>
      <c r="B231" s="1">
        <v>0.5</v>
      </c>
      <c r="C231" s="1">
        <v>13.71</v>
      </c>
      <c r="D231" s="1">
        <v>1000</v>
      </c>
      <c r="E231" s="1">
        <v>0.2</v>
      </c>
      <c r="F231" s="1">
        <v>0.2</v>
      </c>
    </row>
    <row r="232" spans="1:8" x14ac:dyDescent="0.3">
      <c r="A232" s="1" t="s">
        <v>383</v>
      </c>
      <c r="B232" s="1">
        <v>25</v>
      </c>
      <c r="C232" s="1">
        <v>13.71</v>
      </c>
      <c r="D232" s="1">
        <v>1000</v>
      </c>
      <c r="E232" s="1">
        <v>1</v>
      </c>
      <c r="F232" s="1">
        <v>1</v>
      </c>
    </row>
    <row r="233" spans="1:8" x14ac:dyDescent="0.3">
      <c r="A233" s="1" t="s">
        <v>384</v>
      </c>
      <c r="B233" s="1">
        <v>1</v>
      </c>
      <c r="C233" s="1">
        <v>13.71</v>
      </c>
      <c r="D233" s="1">
        <v>1000</v>
      </c>
      <c r="E233" s="1">
        <v>1</v>
      </c>
      <c r="F233" s="1">
        <v>1</v>
      </c>
    </row>
    <row r="234" spans="1:8" x14ac:dyDescent="0.3">
      <c r="A234" s="1" t="s">
        <v>385</v>
      </c>
      <c r="B234" s="1">
        <v>0.1</v>
      </c>
      <c r="C234" s="1">
        <v>13.71</v>
      </c>
      <c r="D234" s="1">
        <v>1000</v>
      </c>
      <c r="E234" s="1">
        <v>1</v>
      </c>
      <c r="F234" s="1">
        <v>1</v>
      </c>
    </row>
    <row r="235" spans="1:8" x14ac:dyDescent="0.3">
      <c r="A235" s="1" t="s">
        <v>386</v>
      </c>
      <c r="B235" s="1">
        <v>50</v>
      </c>
      <c r="C235" s="1">
        <v>13.71</v>
      </c>
      <c r="D235" s="1">
        <v>1000</v>
      </c>
      <c r="E235" s="1">
        <v>1</v>
      </c>
      <c r="F235" s="1">
        <v>1</v>
      </c>
    </row>
    <row r="236" spans="1:8" x14ac:dyDescent="0.3">
      <c r="A236" s="1" t="s">
        <v>387</v>
      </c>
      <c r="B236" s="1">
        <v>5</v>
      </c>
      <c r="C236" s="1">
        <v>13.71</v>
      </c>
      <c r="D236" s="1">
        <v>1000</v>
      </c>
      <c r="E236" s="1">
        <v>1</v>
      </c>
      <c r="F236" s="1">
        <v>1</v>
      </c>
    </row>
    <row r="237" spans="1:8" x14ac:dyDescent="0.3">
      <c r="A237" s="1" t="s">
        <v>388</v>
      </c>
      <c r="B237" s="1">
        <v>0.5</v>
      </c>
      <c r="C237" s="1">
        <v>13.71</v>
      </c>
      <c r="D237" s="1">
        <v>1000</v>
      </c>
      <c r="E237" s="1">
        <v>1</v>
      </c>
      <c r="F237" s="1">
        <v>1</v>
      </c>
    </row>
    <row r="238" spans="1:8" x14ac:dyDescent="0.3">
      <c r="A238" s="1" t="s">
        <v>389</v>
      </c>
      <c r="B238" s="1">
        <v>150</v>
      </c>
      <c r="C238" s="1">
        <v>13.71</v>
      </c>
      <c r="D238" s="1">
        <v>1000</v>
      </c>
      <c r="E238" s="12">
        <v>0.1</v>
      </c>
      <c r="F238" s="12">
        <v>0.1</v>
      </c>
    </row>
    <row r="239" spans="1:8" x14ac:dyDescent="0.3">
      <c r="A239" s="1" t="s">
        <v>390</v>
      </c>
      <c r="B239" s="1">
        <v>25</v>
      </c>
      <c r="C239" s="1">
        <v>13.71</v>
      </c>
      <c r="D239" s="1">
        <v>1000</v>
      </c>
      <c r="E239" s="12">
        <v>0.1</v>
      </c>
      <c r="F239" s="12">
        <v>0.1</v>
      </c>
    </row>
    <row r="240" spans="1:8" x14ac:dyDescent="0.3">
      <c r="A240" s="1" t="s">
        <v>391</v>
      </c>
      <c r="B240" s="1">
        <v>5</v>
      </c>
      <c r="C240" s="1">
        <v>13.71</v>
      </c>
      <c r="D240" s="1">
        <v>1000</v>
      </c>
      <c r="E240" s="12">
        <v>0.1</v>
      </c>
      <c r="F240" s="12">
        <v>0.1</v>
      </c>
    </row>
    <row r="241" spans="1:8" x14ac:dyDescent="0.3">
      <c r="A241" s="1" t="s">
        <v>392</v>
      </c>
      <c r="B241" s="1">
        <v>0.1</v>
      </c>
      <c r="C241" s="1">
        <v>13.71</v>
      </c>
      <c r="D241" s="1">
        <v>1000</v>
      </c>
      <c r="E241" s="12">
        <v>0.1</v>
      </c>
      <c r="F241" s="12">
        <v>0.1</v>
      </c>
    </row>
    <row r="242" spans="1:8" x14ac:dyDescent="0.3">
      <c r="A242" s="1" t="s">
        <v>393</v>
      </c>
      <c r="B242" s="1">
        <v>250</v>
      </c>
      <c r="C242" s="1">
        <v>13.71</v>
      </c>
      <c r="D242" s="1">
        <v>1000</v>
      </c>
      <c r="E242" s="12">
        <v>0.2</v>
      </c>
      <c r="F242" s="1">
        <v>0.2</v>
      </c>
    </row>
    <row r="243" spans="1:8" x14ac:dyDescent="0.3">
      <c r="A243" s="1" t="s">
        <v>394</v>
      </c>
      <c r="B243" s="1">
        <v>50</v>
      </c>
      <c r="C243" s="1">
        <v>13.71</v>
      </c>
      <c r="D243" s="1">
        <v>1000</v>
      </c>
      <c r="E243" s="12">
        <v>0.2</v>
      </c>
      <c r="F243" s="1">
        <v>0.2</v>
      </c>
    </row>
    <row r="244" spans="1:8" x14ac:dyDescent="0.3">
      <c r="A244" s="1" t="s">
        <v>395</v>
      </c>
      <c r="B244" s="1">
        <v>10</v>
      </c>
      <c r="C244" s="1">
        <v>13.71</v>
      </c>
      <c r="D244" s="1">
        <v>1000</v>
      </c>
      <c r="E244" s="12">
        <v>0.2</v>
      </c>
      <c r="F244" s="1">
        <v>0.2</v>
      </c>
    </row>
    <row r="245" spans="1:8" x14ac:dyDescent="0.3">
      <c r="A245" s="1" t="s">
        <v>396</v>
      </c>
      <c r="B245" s="1">
        <v>0.1</v>
      </c>
      <c r="C245" s="1">
        <v>13.71</v>
      </c>
      <c r="D245" s="1">
        <v>1000</v>
      </c>
      <c r="E245" s="12">
        <v>0.2</v>
      </c>
      <c r="F245" s="1">
        <v>0.2</v>
      </c>
    </row>
    <row r="246" spans="1:8" x14ac:dyDescent="0.3">
      <c r="A246" s="1" t="s">
        <v>397</v>
      </c>
      <c r="B246" s="1">
        <v>150</v>
      </c>
      <c r="C246" s="1">
        <v>13.71</v>
      </c>
      <c r="D246" s="1">
        <v>1000</v>
      </c>
      <c r="E246" s="1">
        <v>1</v>
      </c>
      <c r="F246" s="1">
        <v>1</v>
      </c>
    </row>
    <row r="247" spans="1:8" x14ac:dyDescent="0.3">
      <c r="A247" s="1" t="s">
        <v>398</v>
      </c>
      <c r="B247" s="1">
        <v>25</v>
      </c>
      <c r="C247" s="1">
        <v>13.71</v>
      </c>
      <c r="D247" s="1">
        <v>1000</v>
      </c>
      <c r="E247" s="1">
        <v>1</v>
      </c>
      <c r="F247" s="1">
        <v>1</v>
      </c>
    </row>
    <row r="248" spans="1:8" x14ac:dyDescent="0.3">
      <c r="A248" s="1" t="s">
        <v>399</v>
      </c>
      <c r="B248" s="1">
        <v>5</v>
      </c>
      <c r="C248" s="1">
        <v>13.71</v>
      </c>
      <c r="D248" s="1">
        <v>1000</v>
      </c>
      <c r="E248" s="1">
        <v>1</v>
      </c>
      <c r="F248" s="1">
        <v>1</v>
      </c>
    </row>
    <row r="249" spans="1:8" x14ac:dyDescent="0.3">
      <c r="A249" s="1" t="s">
        <v>400</v>
      </c>
      <c r="B249" s="1">
        <v>0.1</v>
      </c>
      <c r="C249" s="1">
        <v>13.71</v>
      </c>
      <c r="D249" s="1">
        <v>1000</v>
      </c>
      <c r="E249" s="1">
        <v>1</v>
      </c>
      <c r="F249" s="1">
        <v>1</v>
      </c>
    </row>
    <row r="250" spans="1:8" x14ac:dyDescent="0.3">
      <c r="A250" s="1" t="s">
        <v>401</v>
      </c>
      <c r="B250" s="1">
        <v>250</v>
      </c>
      <c r="C250" s="1">
        <v>13.71</v>
      </c>
      <c r="D250" s="1">
        <v>1000</v>
      </c>
      <c r="E250" s="1">
        <v>1</v>
      </c>
      <c r="F250" s="1">
        <v>1</v>
      </c>
    </row>
    <row r="251" spans="1:8" x14ac:dyDescent="0.3">
      <c r="A251" s="1" t="s">
        <v>402</v>
      </c>
      <c r="B251" s="1">
        <v>50</v>
      </c>
      <c r="C251" s="1">
        <v>13.71</v>
      </c>
      <c r="D251" s="1">
        <v>1000</v>
      </c>
      <c r="E251" s="1">
        <v>1</v>
      </c>
      <c r="F251" s="1">
        <v>1</v>
      </c>
    </row>
    <row r="252" spans="1:8" x14ac:dyDescent="0.3">
      <c r="A252" s="1" t="s">
        <v>403</v>
      </c>
      <c r="B252" s="1">
        <v>10</v>
      </c>
      <c r="C252" s="1">
        <v>13.71</v>
      </c>
      <c r="D252" s="1">
        <v>1000</v>
      </c>
      <c r="E252" s="1">
        <v>1</v>
      </c>
      <c r="F252" s="1">
        <v>1</v>
      </c>
    </row>
    <row r="253" spans="1:8" x14ac:dyDescent="0.3">
      <c r="A253" s="9" t="s">
        <v>404</v>
      </c>
      <c r="B253" s="9">
        <v>0.1</v>
      </c>
      <c r="C253" s="9">
        <v>13.71</v>
      </c>
      <c r="D253" s="9">
        <v>1000</v>
      </c>
      <c r="E253" s="9">
        <v>1</v>
      </c>
      <c r="F253" s="9">
        <v>1</v>
      </c>
      <c r="G253" s="9"/>
      <c r="H253" s="10"/>
    </row>
    <row r="254" spans="1:8" x14ac:dyDescent="0.3">
      <c r="A254" s="1" t="s">
        <v>405</v>
      </c>
      <c r="B254" s="1">
        <v>20</v>
      </c>
      <c r="C254" s="1">
        <v>6.86</v>
      </c>
      <c r="D254" s="1">
        <v>1000</v>
      </c>
      <c r="E254" s="1">
        <v>0.1</v>
      </c>
      <c r="F254" s="1">
        <v>0.1</v>
      </c>
    </row>
    <row r="255" spans="1:8" x14ac:dyDescent="0.3">
      <c r="A255" s="1" t="s">
        <v>406</v>
      </c>
      <c r="B255" s="1">
        <v>5</v>
      </c>
      <c r="C255" s="1">
        <v>6.86</v>
      </c>
      <c r="D255" s="1">
        <v>1000</v>
      </c>
      <c r="E255" s="1">
        <v>0.1</v>
      </c>
      <c r="F255" s="1">
        <v>0.1</v>
      </c>
    </row>
    <row r="256" spans="1:8" x14ac:dyDescent="0.3">
      <c r="A256" s="1" t="s">
        <v>407</v>
      </c>
      <c r="B256" s="1">
        <v>0.1</v>
      </c>
      <c r="C256" s="1">
        <v>6.86</v>
      </c>
      <c r="D256" s="1">
        <v>1000</v>
      </c>
      <c r="E256" s="1">
        <v>0.1</v>
      </c>
      <c r="F256" s="1">
        <v>0.1</v>
      </c>
    </row>
    <row r="257" spans="1:6" x14ac:dyDescent="0.3">
      <c r="A257" s="1" t="s">
        <v>408</v>
      </c>
      <c r="B257" s="1">
        <v>20</v>
      </c>
      <c r="C257" s="1">
        <v>6.86</v>
      </c>
      <c r="D257" s="1">
        <v>1000</v>
      </c>
      <c r="E257" s="1">
        <v>0.2</v>
      </c>
      <c r="F257" s="1">
        <v>0.2</v>
      </c>
    </row>
    <row r="258" spans="1:6" x14ac:dyDescent="0.3">
      <c r="A258" s="1" t="s">
        <v>409</v>
      </c>
      <c r="B258" s="1">
        <v>5</v>
      </c>
      <c r="C258" s="1">
        <v>6.86</v>
      </c>
      <c r="D258" s="1">
        <v>1000</v>
      </c>
      <c r="E258" s="1">
        <v>0.2</v>
      </c>
      <c r="F258" s="1">
        <v>0.2</v>
      </c>
    </row>
    <row r="259" spans="1:6" x14ac:dyDescent="0.3">
      <c r="A259" s="1" t="s">
        <v>410</v>
      </c>
      <c r="B259" s="1">
        <v>0.5</v>
      </c>
      <c r="C259" s="1">
        <v>6.86</v>
      </c>
      <c r="D259" s="1">
        <v>1000</v>
      </c>
      <c r="E259" s="1">
        <v>0.2</v>
      </c>
      <c r="F259" s="1">
        <v>0.2</v>
      </c>
    </row>
    <row r="260" spans="1:6" x14ac:dyDescent="0.3">
      <c r="A260" s="1" t="s">
        <v>411</v>
      </c>
      <c r="B260" s="1">
        <v>20</v>
      </c>
      <c r="C260" s="1">
        <v>6.86</v>
      </c>
      <c r="D260" s="1">
        <v>1000</v>
      </c>
      <c r="E260" s="1">
        <v>1</v>
      </c>
      <c r="F260" s="1">
        <v>1</v>
      </c>
    </row>
    <row r="261" spans="1:6" x14ac:dyDescent="0.3">
      <c r="A261" s="1" t="s">
        <v>412</v>
      </c>
      <c r="B261" s="1">
        <v>5</v>
      </c>
      <c r="C261" s="1">
        <v>6.86</v>
      </c>
      <c r="D261" s="1">
        <v>1000</v>
      </c>
      <c r="E261" s="1">
        <v>1</v>
      </c>
      <c r="F261" s="1">
        <v>1</v>
      </c>
    </row>
    <row r="262" spans="1:6" x14ac:dyDescent="0.3">
      <c r="A262" s="1" t="s">
        <v>413</v>
      </c>
      <c r="B262" s="1">
        <v>0.1</v>
      </c>
      <c r="C262" s="1">
        <v>6.86</v>
      </c>
      <c r="D262" s="1">
        <v>1000</v>
      </c>
      <c r="E262" s="1">
        <v>1</v>
      </c>
      <c r="F262" s="1">
        <v>1</v>
      </c>
    </row>
    <row r="263" spans="1:6" x14ac:dyDescent="0.3">
      <c r="A263" s="1" t="s">
        <v>414</v>
      </c>
      <c r="B263" s="1">
        <v>20</v>
      </c>
      <c r="C263" s="1">
        <v>6.86</v>
      </c>
      <c r="D263" s="1">
        <v>1000</v>
      </c>
      <c r="E263" s="1">
        <v>1</v>
      </c>
      <c r="F263" s="1">
        <v>1</v>
      </c>
    </row>
    <row r="264" spans="1:6" x14ac:dyDescent="0.3">
      <c r="A264" s="1" t="s">
        <v>415</v>
      </c>
      <c r="B264" s="1">
        <v>5</v>
      </c>
      <c r="C264" s="1">
        <v>6.86</v>
      </c>
      <c r="D264" s="1">
        <v>1000</v>
      </c>
      <c r="E264" s="1">
        <v>1</v>
      </c>
      <c r="F264" s="1">
        <v>1</v>
      </c>
    </row>
    <row r="265" spans="1:6" x14ac:dyDescent="0.3">
      <c r="A265" s="1" t="s">
        <v>416</v>
      </c>
      <c r="B265" s="1">
        <v>0.5</v>
      </c>
      <c r="C265" s="1">
        <v>6.86</v>
      </c>
      <c r="D265" s="1">
        <v>1000</v>
      </c>
      <c r="E265" s="1">
        <v>1</v>
      </c>
      <c r="F265" s="1">
        <v>1</v>
      </c>
    </row>
    <row r="266" spans="1:6" x14ac:dyDescent="0.3">
      <c r="A266" s="1" t="s">
        <v>417</v>
      </c>
      <c r="B266" s="1">
        <v>200</v>
      </c>
      <c r="C266" s="1">
        <v>6.86</v>
      </c>
      <c r="D266" s="1">
        <v>1000</v>
      </c>
      <c r="E266" s="1">
        <v>0.1</v>
      </c>
      <c r="F266" s="1">
        <v>0.1</v>
      </c>
    </row>
    <row r="267" spans="1:6" x14ac:dyDescent="0.3">
      <c r="A267" s="1" t="s">
        <v>418</v>
      </c>
      <c r="B267" s="1">
        <v>50</v>
      </c>
      <c r="C267" s="1">
        <v>6.86</v>
      </c>
      <c r="D267" s="1">
        <v>1000</v>
      </c>
      <c r="E267" s="1">
        <v>0.1</v>
      </c>
      <c r="F267" s="1">
        <v>0.1</v>
      </c>
    </row>
    <row r="268" spans="1:6" x14ac:dyDescent="0.3">
      <c r="A268" s="1" t="s">
        <v>419</v>
      </c>
      <c r="B268" s="1">
        <v>5</v>
      </c>
      <c r="C268" s="1">
        <v>6.86</v>
      </c>
      <c r="D268" s="1">
        <v>1000</v>
      </c>
      <c r="E268" s="1">
        <v>0.1</v>
      </c>
      <c r="F268" s="1">
        <v>0.1</v>
      </c>
    </row>
    <row r="269" spans="1:6" x14ac:dyDescent="0.3">
      <c r="A269" s="1" t="s">
        <v>420</v>
      </c>
      <c r="B269" s="1">
        <v>0.1</v>
      </c>
      <c r="C269" s="1">
        <v>6.86</v>
      </c>
      <c r="D269" s="1">
        <v>1000</v>
      </c>
      <c r="E269" s="1">
        <v>0.1</v>
      </c>
      <c r="F269" s="1">
        <v>0.1</v>
      </c>
    </row>
    <row r="270" spans="1:6" x14ac:dyDescent="0.3">
      <c r="A270" s="1" t="s">
        <v>421</v>
      </c>
      <c r="B270" s="1">
        <v>250</v>
      </c>
      <c r="C270" s="1">
        <v>6.86</v>
      </c>
      <c r="D270" s="1">
        <v>1000</v>
      </c>
      <c r="E270" s="1">
        <v>0.2</v>
      </c>
      <c r="F270" s="1">
        <v>0.2</v>
      </c>
    </row>
    <row r="271" spans="1:6" x14ac:dyDescent="0.3">
      <c r="A271" s="1" t="s">
        <v>422</v>
      </c>
      <c r="B271" s="1">
        <v>100</v>
      </c>
      <c r="C271" s="1">
        <v>6.86</v>
      </c>
      <c r="D271" s="1">
        <v>1000</v>
      </c>
      <c r="E271" s="1">
        <v>0.2</v>
      </c>
      <c r="F271" s="1">
        <v>0.2</v>
      </c>
    </row>
    <row r="272" spans="1:6" x14ac:dyDescent="0.3">
      <c r="A272" s="1" t="s">
        <v>423</v>
      </c>
      <c r="B272" s="1">
        <v>10</v>
      </c>
      <c r="C272" s="1">
        <v>6.86</v>
      </c>
      <c r="D272" s="1">
        <v>1000</v>
      </c>
      <c r="E272" s="1">
        <v>0.2</v>
      </c>
      <c r="F272" s="1">
        <v>0.2</v>
      </c>
    </row>
    <row r="273" spans="1:8" x14ac:dyDescent="0.3">
      <c r="A273" s="1" t="s">
        <v>424</v>
      </c>
      <c r="B273" s="1">
        <v>0.1</v>
      </c>
      <c r="C273" s="1">
        <v>6.86</v>
      </c>
      <c r="D273" s="1">
        <v>1000</v>
      </c>
      <c r="E273" s="1">
        <v>0.2</v>
      </c>
      <c r="F273" s="1">
        <v>0.2</v>
      </c>
    </row>
    <row r="274" spans="1:8" x14ac:dyDescent="0.3">
      <c r="A274" s="1" t="s">
        <v>425</v>
      </c>
      <c r="B274" s="1">
        <v>200</v>
      </c>
      <c r="C274" s="1">
        <v>6.86</v>
      </c>
      <c r="D274" s="1">
        <v>1000</v>
      </c>
      <c r="E274" s="1">
        <v>1</v>
      </c>
      <c r="F274" s="1">
        <v>1</v>
      </c>
    </row>
    <row r="275" spans="1:8" x14ac:dyDescent="0.3">
      <c r="A275" s="1" t="s">
        <v>426</v>
      </c>
      <c r="B275" s="1">
        <v>50</v>
      </c>
      <c r="C275" s="1">
        <v>6.86</v>
      </c>
      <c r="D275" s="1">
        <v>1000</v>
      </c>
      <c r="E275" s="1">
        <v>1</v>
      </c>
      <c r="F275" s="1">
        <v>1</v>
      </c>
    </row>
    <row r="276" spans="1:8" x14ac:dyDescent="0.3">
      <c r="A276" s="1" t="s">
        <v>427</v>
      </c>
      <c r="B276" s="1">
        <v>5</v>
      </c>
      <c r="C276" s="1">
        <v>6.86</v>
      </c>
      <c r="D276" s="1">
        <v>1000</v>
      </c>
      <c r="E276" s="1">
        <v>1</v>
      </c>
      <c r="F276" s="1">
        <v>1</v>
      </c>
    </row>
    <row r="277" spans="1:8" x14ac:dyDescent="0.3">
      <c r="A277" s="1" t="s">
        <v>428</v>
      </c>
      <c r="B277" s="1">
        <v>0.1</v>
      </c>
      <c r="C277" s="1">
        <v>6.86</v>
      </c>
      <c r="D277" s="1">
        <v>1000</v>
      </c>
      <c r="E277" s="1">
        <v>1</v>
      </c>
      <c r="F277" s="1">
        <v>1</v>
      </c>
    </row>
    <row r="278" spans="1:8" x14ac:dyDescent="0.3">
      <c r="A278" s="1" t="s">
        <v>429</v>
      </c>
      <c r="B278" s="1">
        <v>250</v>
      </c>
      <c r="C278" s="1">
        <v>6.86</v>
      </c>
      <c r="D278" s="1">
        <v>1000</v>
      </c>
      <c r="E278" s="1">
        <v>1</v>
      </c>
      <c r="F278" s="1">
        <v>1</v>
      </c>
    </row>
    <row r="279" spans="1:8" x14ac:dyDescent="0.3">
      <c r="A279" s="1" t="s">
        <v>430</v>
      </c>
      <c r="B279" s="1">
        <v>100</v>
      </c>
      <c r="C279" s="1">
        <v>6.86</v>
      </c>
      <c r="D279" s="1">
        <v>1000</v>
      </c>
      <c r="E279" s="1">
        <v>1</v>
      </c>
      <c r="F279" s="1">
        <v>1</v>
      </c>
    </row>
    <row r="280" spans="1:8" x14ac:dyDescent="0.3">
      <c r="A280" s="1" t="s">
        <v>431</v>
      </c>
      <c r="B280" s="1">
        <v>10</v>
      </c>
      <c r="C280" s="1">
        <v>6.86</v>
      </c>
      <c r="D280" s="1">
        <v>1000</v>
      </c>
      <c r="E280" s="1">
        <v>1</v>
      </c>
      <c r="F280" s="1">
        <v>1</v>
      </c>
    </row>
    <row r="281" spans="1:8" x14ac:dyDescent="0.3">
      <c r="A281" s="9" t="s">
        <v>432</v>
      </c>
      <c r="B281" s="9">
        <v>0.1</v>
      </c>
      <c r="C281" s="9">
        <v>6.86</v>
      </c>
      <c r="D281" s="9">
        <v>1000</v>
      </c>
      <c r="E281" s="9">
        <v>1</v>
      </c>
      <c r="F281" s="9">
        <v>1</v>
      </c>
      <c r="G281" s="9"/>
      <c r="H281" s="10"/>
    </row>
    <row r="282" spans="1:8" x14ac:dyDescent="0.3">
      <c r="A282" s="1" t="s">
        <v>433</v>
      </c>
      <c r="B282" s="1">
        <v>10</v>
      </c>
      <c r="C282" s="1">
        <v>27.43</v>
      </c>
      <c r="D282" s="1">
        <v>2000</v>
      </c>
      <c r="E282" s="1">
        <v>0.1</v>
      </c>
      <c r="F282" s="1">
        <v>1</v>
      </c>
    </row>
    <row r="283" spans="1:8" x14ac:dyDescent="0.3">
      <c r="A283" s="1" t="s">
        <v>434</v>
      </c>
      <c r="B283" s="1">
        <v>5</v>
      </c>
      <c r="C283" s="1">
        <v>27.43</v>
      </c>
      <c r="D283" s="1">
        <v>2000</v>
      </c>
      <c r="E283" s="1">
        <v>0.1</v>
      </c>
      <c r="F283" s="1">
        <v>1</v>
      </c>
    </row>
    <row r="284" spans="1:8" x14ac:dyDescent="0.3">
      <c r="A284" s="1" t="s">
        <v>435</v>
      </c>
      <c r="B284" s="1">
        <v>0.5</v>
      </c>
      <c r="C284" s="1">
        <v>27.43</v>
      </c>
      <c r="D284" s="1">
        <v>2000</v>
      </c>
      <c r="E284" s="1">
        <v>0.1</v>
      </c>
      <c r="F284" s="1">
        <v>1</v>
      </c>
    </row>
    <row r="285" spans="1:8" x14ac:dyDescent="0.3">
      <c r="A285" s="1" t="s">
        <v>436</v>
      </c>
      <c r="B285" s="1">
        <v>10</v>
      </c>
      <c r="C285" s="1">
        <v>27.43</v>
      </c>
      <c r="D285" s="1">
        <v>2000</v>
      </c>
      <c r="E285" s="1">
        <v>0.2</v>
      </c>
      <c r="F285" s="1">
        <v>1</v>
      </c>
    </row>
    <row r="286" spans="1:8" x14ac:dyDescent="0.3">
      <c r="A286" s="1" t="s">
        <v>437</v>
      </c>
      <c r="B286" s="1">
        <v>5</v>
      </c>
      <c r="C286" s="1">
        <v>27.43</v>
      </c>
      <c r="D286" s="1">
        <v>2000</v>
      </c>
      <c r="E286" s="1">
        <v>0.2</v>
      </c>
      <c r="F286" s="1">
        <v>1</v>
      </c>
    </row>
    <row r="287" spans="1:8" x14ac:dyDescent="0.3">
      <c r="A287" s="1" t="s">
        <v>438</v>
      </c>
      <c r="B287" s="1">
        <v>0.5</v>
      </c>
      <c r="C287" s="1">
        <v>27.43</v>
      </c>
      <c r="D287" s="1">
        <v>2000</v>
      </c>
      <c r="E287" s="1">
        <v>0.2</v>
      </c>
      <c r="F287" s="1">
        <v>1</v>
      </c>
    </row>
    <row r="288" spans="1:8" x14ac:dyDescent="0.3">
      <c r="A288" s="1" t="s">
        <v>439</v>
      </c>
      <c r="B288" s="1">
        <v>10</v>
      </c>
      <c r="C288" s="1">
        <v>27.43</v>
      </c>
      <c r="D288" s="1">
        <v>2000</v>
      </c>
      <c r="E288" s="1">
        <v>1</v>
      </c>
      <c r="F288" s="1">
        <v>1</v>
      </c>
    </row>
    <row r="289" spans="1:6" x14ac:dyDescent="0.3">
      <c r="A289" s="1" t="s">
        <v>440</v>
      </c>
      <c r="B289" s="1">
        <v>5</v>
      </c>
      <c r="C289" s="1">
        <v>27.43</v>
      </c>
      <c r="D289" s="1">
        <v>2000</v>
      </c>
      <c r="E289" s="1">
        <v>1</v>
      </c>
      <c r="F289" s="1">
        <v>1</v>
      </c>
    </row>
    <row r="290" spans="1:6" x14ac:dyDescent="0.3">
      <c r="A290" s="1" t="s">
        <v>441</v>
      </c>
      <c r="B290" s="1">
        <v>0.5</v>
      </c>
      <c r="C290" s="1">
        <v>27.43</v>
      </c>
      <c r="D290" s="1">
        <v>2000</v>
      </c>
      <c r="E290" s="1">
        <v>1</v>
      </c>
      <c r="F290" s="1">
        <v>1</v>
      </c>
    </row>
    <row r="291" spans="1:6" x14ac:dyDescent="0.3">
      <c r="A291" s="1" t="s">
        <v>442</v>
      </c>
      <c r="B291" s="1">
        <v>10</v>
      </c>
      <c r="C291" s="1">
        <v>27.43</v>
      </c>
      <c r="D291" s="1">
        <v>2000</v>
      </c>
      <c r="E291" s="1">
        <v>1</v>
      </c>
      <c r="F291" s="1">
        <v>1</v>
      </c>
    </row>
    <row r="292" spans="1:6" x14ac:dyDescent="0.3">
      <c r="A292" s="1" t="s">
        <v>443</v>
      </c>
      <c r="B292" s="1">
        <v>5</v>
      </c>
      <c r="C292" s="1">
        <v>27.43</v>
      </c>
      <c r="D292" s="1">
        <v>2000</v>
      </c>
      <c r="E292" s="1">
        <v>1</v>
      </c>
      <c r="F292" s="1">
        <v>1</v>
      </c>
    </row>
    <row r="293" spans="1:6" x14ac:dyDescent="0.3">
      <c r="A293" s="1" t="s">
        <v>444</v>
      </c>
      <c r="B293" s="1">
        <v>0.5</v>
      </c>
      <c r="C293" s="1">
        <v>27.43</v>
      </c>
      <c r="D293" s="1">
        <v>2000</v>
      </c>
      <c r="E293" s="1">
        <v>1</v>
      </c>
      <c r="F293" s="1">
        <v>1</v>
      </c>
    </row>
    <row r="294" spans="1:6" x14ac:dyDescent="0.3">
      <c r="A294" s="1" t="s">
        <v>445</v>
      </c>
      <c r="B294" s="1">
        <v>250</v>
      </c>
      <c r="C294" s="1">
        <v>27.43</v>
      </c>
      <c r="D294" s="1">
        <v>2000</v>
      </c>
      <c r="E294" s="1">
        <v>0.1</v>
      </c>
      <c r="F294" s="1">
        <v>1</v>
      </c>
    </row>
    <row r="295" spans="1:6" x14ac:dyDescent="0.3">
      <c r="A295" s="1" t="s">
        <v>446</v>
      </c>
      <c r="B295" s="12">
        <v>100</v>
      </c>
      <c r="C295" s="1">
        <v>27.43</v>
      </c>
      <c r="D295" s="1">
        <v>2000</v>
      </c>
      <c r="E295" s="1">
        <v>0.1</v>
      </c>
      <c r="F295" s="1">
        <v>1</v>
      </c>
    </row>
    <row r="296" spans="1:6" x14ac:dyDescent="0.3">
      <c r="A296" s="1" t="s">
        <v>447</v>
      </c>
      <c r="B296" s="1">
        <v>10</v>
      </c>
      <c r="C296" s="1">
        <v>27.43</v>
      </c>
      <c r="D296" s="1">
        <v>2000</v>
      </c>
      <c r="E296" s="1">
        <v>0.1</v>
      </c>
      <c r="F296" s="1">
        <v>1</v>
      </c>
    </row>
    <row r="297" spans="1:6" x14ac:dyDescent="0.3">
      <c r="A297" s="1" t="s">
        <v>448</v>
      </c>
      <c r="B297" s="14">
        <v>0.1</v>
      </c>
      <c r="C297" s="1">
        <v>27.43</v>
      </c>
      <c r="D297" s="1">
        <v>2000</v>
      </c>
      <c r="E297" s="1">
        <v>0.1</v>
      </c>
      <c r="F297" s="1">
        <v>1</v>
      </c>
    </row>
    <row r="298" spans="1:6" x14ac:dyDescent="0.3">
      <c r="A298" s="1" t="s">
        <v>449</v>
      </c>
      <c r="B298" s="1">
        <v>500</v>
      </c>
      <c r="C298" s="1">
        <v>27.43</v>
      </c>
      <c r="D298" s="1">
        <v>2000</v>
      </c>
      <c r="E298" s="1">
        <v>0.2</v>
      </c>
      <c r="F298" s="1">
        <v>1</v>
      </c>
    </row>
    <row r="299" spans="1:6" x14ac:dyDescent="0.3">
      <c r="A299" s="1" t="s">
        <v>450</v>
      </c>
      <c r="B299" s="12">
        <v>200</v>
      </c>
      <c r="C299" s="1">
        <v>27.43</v>
      </c>
      <c r="D299" s="1">
        <v>2000</v>
      </c>
      <c r="E299" s="1">
        <v>0.2</v>
      </c>
      <c r="F299" s="1">
        <v>1</v>
      </c>
    </row>
    <row r="300" spans="1:6" x14ac:dyDescent="0.3">
      <c r="A300" s="1" t="s">
        <v>451</v>
      </c>
      <c r="B300" s="1">
        <v>25</v>
      </c>
      <c r="C300" s="1">
        <v>27.43</v>
      </c>
      <c r="D300" s="1">
        <v>2000</v>
      </c>
      <c r="E300" s="1">
        <v>0.2</v>
      </c>
      <c r="F300" s="1">
        <v>1</v>
      </c>
    </row>
    <row r="301" spans="1:6" x14ac:dyDescent="0.3">
      <c r="A301" s="1" t="s">
        <v>452</v>
      </c>
      <c r="B301" s="14">
        <v>0.1</v>
      </c>
      <c r="C301" s="1">
        <v>27.43</v>
      </c>
      <c r="D301" s="1">
        <v>2000</v>
      </c>
      <c r="E301" s="1">
        <v>0.2</v>
      </c>
      <c r="F301" s="1">
        <v>1</v>
      </c>
    </row>
    <row r="302" spans="1:6" x14ac:dyDescent="0.3">
      <c r="A302" s="1" t="s">
        <v>453</v>
      </c>
      <c r="B302" s="1">
        <v>250</v>
      </c>
      <c r="C302" s="1">
        <v>27.43</v>
      </c>
      <c r="D302" s="1">
        <v>2000</v>
      </c>
      <c r="E302" s="1">
        <v>1</v>
      </c>
      <c r="F302" s="1">
        <v>1</v>
      </c>
    </row>
    <row r="303" spans="1:6" x14ac:dyDescent="0.3">
      <c r="A303" s="1" t="s">
        <v>454</v>
      </c>
      <c r="B303" s="12">
        <v>100</v>
      </c>
      <c r="C303" s="1">
        <v>27.43</v>
      </c>
      <c r="D303" s="1">
        <v>2000</v>
      </c>
      <c r="E303" s="1">
        <v>1</v>
      </c>
      <c r="F303" s="1">
        <v>1</v>
      </c>
    </row>
    <row r="304" spans="1:6" x14ac:dyDescent="0.3">
      <c r="A304" s="1" t="s">
        <v>455</v>
      </c>
      <c r="B304" s="1">
        <v>10</v>
      </c>
      <c r="C304" s="1">
        <v>27.43</v>
      </c>
      <c r="D304" s="1">
        <v>2000</v>
      </c>
      <c r="E304" s="1">
        <v>1</v>
      </c>
      <c r="F304" s="1">
        <v>1</v>
      </c>
    </row>
    <row r="305" spans="1:8" x14ac:dyDescent="0.3">
      <c r="A305" s="1" t="s">
        <v>456</v>
      </c>
      <c r="B305" s="1">
        <v>10</v>
      </c>
      <c r="C305" s="1">
        <v>27.43</v>
      </c>
      <c r="D305" s="1">
        <v>2000</v>
      </c>
      <c r="E305" s="1">
        <v>1</v>
      </c>
      <c r="F305" s="1">
        <v>1</v>
      </c>
    </row>
    <row r="306" spans="1:8" x14ac:dyDescent="0.3">
      <c r="A306" s="1" t="s">
        <v>457</v>
      </c>
      <c r="B306" s="1">
        <v>500</v>
      </c>
      <c r="C306" s="1">
        <v>27.43</v>
      </c>
      <c r="D306" s="1">
        <v>2000</v>
      </c>
      <c r="E306" s="1">
        <v>1</v>
      </c>
      <c r="F306" s="1">
        <v>1</v>
      </c>
    </row>
    <row r="307" spans="1:8" x14ac:dyDescent="0.3">
      <c r="A307" s="1" t="s">
        <v>458</v>
      </c>
      <c r="B307" s="12">
        <v>200</v>
      </c>
      <c r="C307" s="1">
        <v>27.43</v>
      </c>
      <c r="D307" s="1">
        <v>2000</v>
      </c>
      <c r="E307" s="1">
        <v>1</v>
      </c>
      <c r="F307" s="1">
        <v>1</v>
      </c>
    </row>
    <row r="308" spans="1:8" x14ac:dyDescent="0.3">
      <c r="A308" s="1" t="s">
        <v>459</v>
      </c>
      <c r="B308" s="1">
        <v>25</v>
      </c>
      <c r="C308" s="1">
        <v>27.43</v>
      </c>
      <c r="D308" s="1">
        <v>2000</v>
      </c>
      <c r="E308" s="1">
        <v>1</v>
      </c>
      <c r="F308" s="1">
        <v>1</v>
      </c>
    </row>
    <row r="309" spans="1:8" x14ac:dyDescent="0.3">
      <c r="A309" s="9" t="s">
        <v>460</v>
      </c>
      <c r="B309" s="9">
        <v>25</v>
      </c>
      <c r="C309" s="9">
        <v>27.43</v>
      </c>
      <c r="D309" s="9">
        <v>2000</v>
      </c>
      <c r="E309" s="9">
        <v>1</v>
      </c>
      <c r="F309" s="9">
        <v>1</v>
      </c>
      <c r="G309" s="9"/>
      <c r="H309" s="10"/>
    </row>
    <row r="310" spans="1:8" x14ac:dyDescent="0.3">
      <c r="A310" s="1" t="s">
        <v>461</v>
      </c>
      <c r="B310" s="1" t="s">
        <v>323</v>
      </c>
      <c r="C310" s="1" t="s">
        <v>323</v>
      </c>
      <c r="D310" s="1" t="s">
        <v>323</v>
      </c>
      <c r="E310" s="1" t="s">
        <v>323</v>
      </c>
      <c r="F310" s="1" t="s">
        <v>323</v>
      </c>
      <c r="H310" s="7" t="s">
        <v>462</v>
      </c>
    </row>
    <row r="311" spans="1:8" x14ac:dyDescent="0.3">
      <c r="A311" s="1" t="s">
        <v>463</v>
      </c>
      <c r="B311" s="1" t="s">
        <v>323</v>
      </c>
      <c r="C311" s="1" t="s">
        <v>323</v>
      </c>
      <c r="D311" s="1" t="s">
        <v>323</v>
      </c>
      <c r="E311" s="1" t="s">
        <v>323</v>
      </c>
      <c r="F311" s="1" t="s">
        <v>323</v>
      </c>
      <c r="H311" s="7" t="s">
        <v>462</v>
      </c>
    </row>
    <row r="312" spans="1:8" x14ac:dyDescent="0.3">
      <c r="A312" s="1" t="s">
        <v>464</v>
      </c>
      <c r="B312" s="1" t="s">
        <v>323</v>
      </c>
      <c r="C312" s="1" t="s">
        <v>323</v>
      </c>
      <c r="D312" s="1" t="s">
        <v>323</v>
      </c>
      <c r="E312" s="1" t="s">
        <v>323</v>
      </c>
      <c r="F312" s="1" t="s">
        <v>323</v>
      </c>
      <c r="H312" s="7" t="s">
        <v>462</v>
      </c>
    </row>
    <row r="313" spans="1:8" x14ac:dyDescent="0.3">
      <c r="A313" s="1" t="s">
        <v>465</v>
      </c>
      <c r="B313" s="1">
        <v>200</v>
      </c>
      <c r="C313" s="1">
        <v>107.14</v>
      </c>
      <c r="D313" s="1">
        <v>5000</v>
      </c>
      <c r="E313" s="1">
        <v>0.2</v>
      </c>
      <c r="F313" s="1">
        <v>0.2</v>
      </c>
    </row>
    <row r="314" spans="1:8" x14ac:dyDescent="0.3">
      <c r="A314" s="1" t="s">
        <v>466</v>
      </c>
      <c r="B314" s="1">
        <v>20</v>
      </c>
      <c r="C314" s="1">
        <v>107.14</v>
      </c>
      <c r="D314" s="1">
        <v>5000</v>
      </c>
      <c r="E314" s="1">
        <v>0.2</v>
      </c>
      <c r="F314" s="1">
        <v>0.2</v>
      </c>
    </row>
    <row r="315" spans="1:8" x14ac:dyDescent="0.3">
      <c r="A315" s="1" t="s">
        <v>467</v>
      </c>
      <c r="B315" s="1">
        <v>1</v>
      </c>
      <c r="C315" s="1">
        <v>107.14</v>
      </c>
      <c r="D315" s="1">
        <v>5000</v>
      </c>
      <c r="E315" s="1">
        <v>0.2</v>
      </c>
      <c r="F315" s="1">
        <v>0.2</v>
      </c>
    </row>
    <row r="316" spans="1:8" x14ac:dyDescent="0.3">
      <c r="A316" s="1" t="s">
        <v>468</v>
      </c>
      <c r="B316" s="1" t="s">
        <v>323</v>
      </c>
      <c r="C316" s="1" t="s">
        <v>323</v>
      </c>
      <c r="D316" s="1" t="s">
        <v>323</v>
      </c>
      <c r="E316" s="1" t="s">
        <v>323</v>
      </c>
      <c r="F316" s="1" t="s">
        <v>323</v>
      </c>
      <c r="H316" s="7" t="s">
        <v>462</v>
      </c>
    </row>
    <row r="317" spans="1:8" x14ac:dyDescent="0.3">
      <c r="A317" s="1" t="s">
        <v>469</v>
      </c>
      <c r="B317" s="1" t="s">
        <v>323</v>
      </c>
      <c r="C317" s="1" t="s">
        <v>323</v>
      </c>
      <c r="D317" s="1" t="s">
        <v>323</v>
      </c>
      <c r="E317" s="1" t="s">
        <v>323</v>
      </c>
      <c r="F317" s="1" t="s">
        <v>323</v>
      </c>
      <c r="H317" s="7" t="s">
        <v>462</v>
      </c>
    </row>
    <row r="318" spans="1:8" x14ac:dyDescent="0.3">
      <c r="A318" s="1" t="s">
        <v>470</v>
      </c>
      <c r="B318" s="1" t="s">
        <v>323</v>
      </c>
      <c r="C318" s="1" t="s">
        <v>323</v>
      </c>
      <c r="D318" s="1" t="s">
        <v>323</v>
      </c>
      <c r="E318" s="1" t="s">
        <v>323</v>
      </c>
      <c r="F318" s="1" t="s">
        <v>323</v>
      </c>
      <c r="H318" s="7" t="s">
        <v>462</v>
      </c>
    </row>
    <row r="319" spans="1:8" x14ac:dyDescent="0.3">
      <c r="A319" s="1" t="s">
        <v>471</v>
      </c>
      <c r="B319" s="1">
        <v>200</v>
      </c>
      <c r="C319" s="1">
        <v>107.14</v>
      </c>
      <c r="D319" s="1">
        <v>5000</v>
      </c>
      <c r="E319" s="1">
        <v>1</v>
      </c>
      <c r="F319" s="1">
        <v>1</v>
      </c>
    </row>
    <row r="320" spans="1:8" x14ac:dyDescent="0.3">
      <c r="A320" s="1" t="s">
        <v>472</v>
      </c>
      <c r="B320" s="1">
        <v>20</v>
      </c>
      <c r="C320" s="1">
        <v>107.14</v>
      </c>
      <c r="D320" s="1">
        <v>5000</v>
      </c>
      <c r="E320" s="1">
        <v>1</v>
      </c>
      <c r="F320" s="1">
        <v>1</v>
      </c>
    </row>
    <row r="321" spans="1:8" x14ac:dyDescent="0.3">
      <c r="A321" s="1" t="s">
        <v>473</v>
      </c>
      <c r="B321" s="1">
        <v>1</v>
      </c>
      <c r="C321" s="1">
        <v>107.14</v>
      </c>
      <c r="D321" s="1">
        <v>5000</v>
      </c>
      <c r="E321" s="1">
        <v>1</v>
      </c>
      <c r="F321" s="1">
        <v>1</v>
      </c>
    </row>
    <row r="322" spans="1:8" x14ac:dyDescent="0.3">
      <c r="A322" s="1" t="s">
        <v>474</v>
      </c>
      <c r="B322" s="1" t="s">
        <v>323</v>
      </c>
      <c r="C322" s="1" t="s">
        <v>323</v>
      </c>
      <c r="D322" s="1" t="s">
        <v>323</v>
      </c>
      <c r="E322" s="1" t="s">
        <v>323</v>
      </c>
      <c r="F322" s="1" t="s">
        <v>323</v>
      </c>
      <c r="H322" s="7" t="s">
        <v>462</v>
      </c>
    </row>
    <row r="323" spans="1:8" x14ac:dyDescent="0.3">
      <c r="A323" s="1" t="s">
        <v>475</v>
      </c>
      <c r="B323" s="1" t="s">
        <v>323</v>
      </c>
      <c r="C323" s="1" t="s">
        <v>323</v>
      </c>
      <c r="D323" s="1" t="s">
        <v>323</v>
      </c>
      <c r="E323" s="1" t="s">
        <v>323</v>
      </c>
      <c r="F323" s="1" t="s">
        <v>323</v>
      </c>
      <c r="H323" s="7" t="s">
        <v>462</v>
      </c>
    </row>
    <row r="324" spans="1:8" x14ac:dyDescent="0.3">
      <c r="A324" s="1" t="s">
        <v>476</v>
      </c>
      <c r="B324" s="1" t="s">
        <v>323</v>
      </c>
      <c r="C324" s="1" t="s">
        <v>323</v>
      </c>
      <c r="D324" s="1" t="s">
        <v>323</v>
      </c>
      <c r="E324" s="1" t="s">
        <v>323</v>
      </c>
      <c r="F324" s="1" t="s">
        <v>323</v>
      </c>
      <c r="H324" s="7" t="s">
        <v>462</v>
      </c>
    </row>
    <row r="325" spans="1:8" x14ac:dyDescent="0.3">
      <c r="A325" s="1" t="s">
        <v>477</v>
      </c>
      <c r="B325" s="1" t="s">
        <v>323</v>
      </c>
      <c r="C325" s="1" t="s">
        <v>323</v>
      </c>
      <c r="D325" s="1" t="s">
        <v>323</v>
      </c>
      <c r="E325" s="1" t="s">
        <v>323</v>
      </c>
      <c r="F325" s="1" t="s">
        <v>323</v>
      </c>
      <c r="H325" s="7" t="s">
        <v>462</v>
      </c>
    </row>
    <row r="326" spans="1:8" x14ac:dyDescent="0.3">
      <c r="A326" s="1" t="s">
        <v>478</v>
      </c>
      <c r="B326" s="1">
        <v>1000</v>
      </c>
      <c r="C326" s="1">
        <v>107.14</v>
      </c>
      <c r="D326" s="1">
        <v>5000</v>
      </c>
      <c r="E326" s="1">
        <v>0.2</v>
      </c>
      <c r="F326" s="1">
        <v>0.2</v>
      </c>
    </row>
    <row r="327" spans="1:8" x14ac:dyDescent="0.3">
      <c r="A327" s="1" t="s">
        <v>479</v>
      </c>
      <c r="B327" s="1">
        <v>500</v>
      </c>
      <c r="C327" s="1">
        <v>107.14</v>
      </c>
      <c r="D327" s="1">
        <v>5000</v>
      </c>
      <c r="E327" s="1">
        <v>0.2</v>
      </c>
      <c r="F327" s="1">
        <v>0.2</v>
      </c>
    </row>
    <row r="328" spans="1:8" x14ac:dyDescent="0.3">
      <c r="A328" s="1" t="s">
        <v>480</v>
      </c>
      <c r="B328" s="1">
        <v>100</v>
      </c>
      <c r="C328" s="1">
        <v>107.14</v>
      </c>
      <c r="D328" s="1">
        <v>5000</v>
      </c>
      <c r="E328" s="1">
        <v>0.2</v>
      </c>
      <c r="F328" s="1">
        <v>0.2</v>
      </c>
    </row>
    <row r="329" spans="1:8" x14ac:dyDescent="0.3">
      <c r="A329" s="1" t="s">
        <v>481</v>
      </c>
      <c r="B329" s="1">
        <v>100</v>
      </c>
      <c r="C329" s="1">
        <v>107.14</v>
      </c>
      <c r="D329" s="1">
        <v>5000</v>
      </c>
      <c r="E329" s="1">
        <v>0.2</v>
      </c>
      <c r="F329" s="1">
        <v>0.2</v>
      </c>
    </row>
    <row r="330" spans="1:8" x14ac:dyDescent="0.3">
      <c r="A330" s="1" t="s">
        <v>482</v>
      </c>
      <c r="B330" s="1" t="s">
        <v>323</v>
      </c>
      <c r="C330" s="1" t="s">
        <v>323</v>
      </c>
      <c r="D330" s="1" t="s">
        <v>323</v>
      </c>
      <c r="E330" s="1" t="s">
        <v>323</v>
      </c>
      <c r="F330" s="1" t="s">
        <v>323</v>
      </c>
      <c r="H330" s="7" t="s">
        <v>462</v>
      </c>
    </row>
    <row r="331" spans="1:8" x14ac:dyDescent="0.3">
      <c r="A331" s="1" t="s">
        <v>483</v>
      </c>
      <c r="B331" s="1" t="s">
        <v>323</v>
      </c>
      <c r="C331" s="1" t="s">
        <v>323</v>
      </c>
      <c r="D331" s="1" t="s">
        <v>323</v>
      </c>
      <c r="E331" s="1" t="s">
        <v>323</v>
      </c>
      <c r="F331" s="1" t="s">
        <v>323</v>
      </c>
      <c r="H331" s="7" t="s">
        <v>462</v>
      </c>
    </row>
    <row r="332" spans="1:8" x14ac:dyDescent="0.3">
      <c r="A332" s="1" t="s">
        <v>484</v>
      </c>
      <c r="B332" s="1" t="s">
        <v>323</v>
      </c>
      <c r="C332" s="1" t="s">
        <v>323</v>
      </c>
      <c r="D332" s="1" t="s">
        <v>323</v>
      </c>
      <c r="E332" s="1" t="s">
        <v>323</v>
      </c>
      <c r="F332" s="1" t="s">
        <v>323</v>
      </c>
      <c r="H332" s="7" t="s">
        <v>462</v>
      </c>
    </row>
    <row r="333" spans="1:8" x14ac:dyDescent="0.3">
      <c r="A333" s="1" t="s">
        <v>485</v>
      </c>
      <c r="B333" s="1" t="s">
        <v>323</v>
      </c>
      <c r="C333" s="1" t="s">
        <v>323</v>
      </c>
      <c r="D333" s="1" t="s">
        <v>323</v>
      </c>
      <c r="E333" s="1" t="s">
        <v>323</v>
      </c>
      <c r="F333" s="1" t="s">
        <v>323</v>
      </c>
      <c r="H333" s="7" t="s">
        <v>462</v>
      </c>
    </row>
    <row r="334" spans="1:8" x14ac:dyDescent="0.3">
      <c r="A334" s="1" t="s">
        <v>486</v>
      </c>
      <c r="B334" s="1">
        <v>1000</v>
      </c>
      <c r="C334" s="1">
        <v>107.14</v>
      </c>
      <c r="D334" s="1">
        <v>5000</v>
      </c>
      <c r="E334" s="1">
        <v>1</v>
      </c>
      <c r="F334" s="1">
        <v>1</v>
      </c>
    </row>
    <row r="335" spans="1:8" x14ac:dyDescent="0.3">
      <c r="A335" s="1" t="s">
        <v>487</v>
      </c>
      <c r="B335" s="1">
        <v>500</v>
      </c>
      <c r="C335" s="1">
        <v>107.14</v>
      </c>
      <c r="D335" s="1">
        <v>5000</v>
      </c>
      <c r="E335" s="1">
        <v>1</v>
      </c>
      <c r="F335" s="1">
        <v>1</v>
      </c>
    </row>
    <row r="336" spans="1:8" x14ac:dyDescent="0.3">
      <c r="A336" s="1" t="s">
        <v>488</v>
      </c>
      <c r="B336" s="1">
        <v>100</v>
      </c>
      <c r="C336" s="1">
        <v>107.14</v>
      </c>
      <c r="D336" s="1">
        <v>5000</v>
      </c>
      <c r="E336" s="1">
        <v>1</v>
      </c>
      <c r="F336" s="1">
        <v>1</v>
      </c>
    </row>
    <row r="337" spans="1:8" x14ac:dyDescent="0.3">
      <c r="A337" s="9" t="s">
        <v>489</v>
      </c>
      <c r="B337" s="9">
        <v>100</v>
      </c>
      <c r="C337" s="9">
        <v>107.14</v>
      </c>
      <c r="D337" s="9">
        <v>5000</v>
      </c>
      <c r="E337" s="9">
        <v>1</v>
      </c>
      <c r="F337" s="9">
        <v>1</v>
      </c>
      <c r="G337" s="9"/>
      <c r="H337" s="10"/>
    </row>
    <row r="338" spans="1:8" x14ac:dyDescent="0.3">
      <c r="A338" s="1" t="s">
        <v>490</v>
      </c>
      <c r="B338" s="1" t="s">
        <v>323</v>
      </c>
      <c r="C338" s="1" t="s">
        <v>323</v>
      </c>
      <c r="D338" s="1">
        <v>100</v>
      </c>
      <c r="E338" s="1" t="s">
        <v>323</v>
      </c>
      <c r="F338" s="1" t="s">
        <v>323</v>
      </c>
      <c r="H338" s="7" t="s">
        <v>491</v>
      </c>
    </row>
    <row r="339" spans="1:8" x14ac:dyDescent="0.3">
      <c r="A339" s="1" t="s">
        <v>492</v>
      </c>
      <c r="B339" s="1" t="s">
        <v>323</v>
      </c>
      <c r="C339" s="1" t="s">
        <v>323</v>
      </c>
      <c r="D339" s="1">
        <v>100</v>
      </c>
      <c r="E339" s="1" t="s">
        <v>323</v>
      </c>
      <c r="F339" s="1" t="s">
        <v>323</v>
      </c>
      <c r="H339" s="7" t="s">
        <v>491</v>
      </c>
    </row>
    <row r="340" spans="1:8" x14ac:dyDescent="0.3">
      <c r="A340" s="1" t="s">
        <v>493</v>
      </c>
      <c r="B340" s="1" t="s">
        <v>323</v>
      </c>
      <c r="C340" s="1" t="s">
        <v>323</v>
      </c>
      <c r="D340" s="1">
        <v>100</v>
      </c>
      <c r="E340" s="1" t="s">
        <v>323</v>
      </c>
      <c r="F340" s="1" t="s">
        <v>323</v>
      </c>
      <c r="H340" s="7" t="s">
        <v>491</v>
      </c>
    </row>
    <row r="341" spans="1:8" x14ac:dyDescent="0.3">
      <c r="A341" s="1" t="s">
        <v>494</v>
      </c>
      <c r="B341" s="1" t="s">
        <v>323</v>
      </c>
      <c r="C341" s="1" t="s">
        <v>323</v>
      </c>
      <c r="D341" s="1">
        <v>100</v>
      </c>
      <c r="E341" s="1" t="s">
        <v>323</v>
      </c>
      <c r="F341" s="1" t="s">
        <v>323</v>
      </c>
      <c r="H341" s="7" t="s">
        <v>491</v>
      </c>
    </row>
    <row r="342" spans="1:8" x14ac:dyDescent="0.3">
      <c r="A342" s="1" t="s">
        <v>495</v>
      </c>
      <c r="B342" s="1" t="s">
        <v>323</v>
      </c>
      <c r="C342" s="1" t="s">
        <v>323</v>
      </c>
      <c r="D342" s="1">
        <v>100</v>
      </c>
      <c r="E342" s="1" t="s">
        <v>323</v>
      </c>
      <c r="F342" s="1" t="s">
        <v>323</v>
      </c>
      <c r="H342" s="7" t="s">
        <v>491</v>
      </c>
    </row>
    <row r="343" spans="1:8" x14ac:dyDescent="0.3">
      <c r="A343" s="1" t="s">
        <v>496</v>
      </c>
      <c r="B343" s="1" t="s">
        <v>323</v>
      </c>
      <c r="C343" s="1" t="s">
        <v>323</v>
      </c>
      <c r="D343" s="1">
        <v>100</v>
      </c>
      <c r="E343" s="1" t="s">
        <v>323</v>
      </c>
      <c r="F343" s="1" t="s">
        <v>323</v>
      </c>
      <c r="H343" s="7" t="s">
        <v>491</v>
      </c>
    </row>
    <row r="344" spans="1:8" x14ac:dyDescent="0.3">
      <c r="A344" s="1" t="s">
        <v>497</v>
      </c>
      <c r="B344" s="1" t="s">
        <v>323</v>
      </c>
      <c r="C344" s="1" t="s">
        <v>323</v>
      </c>
      <c r="D344" s="1">
        <v>100</v>
      </c>
      <c r="E344" s="1" t="s">
        <v>323</v>
      </c>
      <c r="F344" s="1" t="s">
        <v>323</v>
      </c>
      <c r="H344" s="7" t="s">
        <v>491</v>
      </c>
    </row>
    <row r="345" spans="1:8" x14ac:dyDescent="0.3">
      <c r="A345" s="1" t="s">
        <v>498</v>
      </c>
      <c r="B345" s="1" t="s">
        <v>323</v>
      </c>
      <c r="C345" s="1" t="s">
        <v>323</v>
      </c>
      <c r="D345" s="1">
        <v>100</v>
      </c>
      <c r="E345" s="1" t="s">
        <v>323</v>
      </c>
      <c r="F345" s="1" t="s">
        <v>323</v>
      </c>
      <c r="H345" s="7" t="s">
        <v>491</v>
      </c>
    </row>
    <row r="346" spans="1:8" x14ac:dyDescent="0.3">
      <c r="A346" s="1" t="s">
        <v>499</v>
      </c>
      <c r="B346" s="1" t="s">
        <v>323</v>
      </c>
      <c r="C346" s="1" t="s">
        <v>323</v>
      </c>
      <c r="D346" s="1">
        <v>100</v>
      </c>
      <c r="E346" s="1" t="s">
        <v>323</v>
      </c>
      <c r="F346" s="1" t="s">
        <v>323</v>
      </c>
      <c r="H346" s="7" t="s">
        <v>491</v>
      </c>
    </row>
    <row r="347" spans="1:8" x14ac:dyDescent="0.3">
      <c r="A347" s="1" t="s">
        <v>500</v>
      </c>
      <c r="B347" s="1" t="s">
        <v>323</v>
      </c>
      <c r="C347" s="1" t="s">
        <v>323</v>
      </c>
      <c r="D347" s="1">
        <v>100</v>
      </c>
      <c r="E347" s="1" t="s">
        <v>323</v>
      </c>
      <c r="F347" s="1" t="s">
        <v>323</v>
      </c>
      <c r="H347" s="7" t="s">
        <v>491</v>
      </c>
    </row>
    <row r="348" spans="1:8" x14ac:dyDescent="0.3">
      <c r="A348" s="1" t="s">
        <v>501</v>
      </c>
      <c r="B348" s="1" t="s">
        <v>323</v>
      </c>
      <c r="C348" s="1" t="s">
        <v>323</v>
      </c>
      <c r="D348" s="1">
        <v>100</v>
      </c>
      <c r="E348" s="1" t="s">
        <v>323</v>
      </c>
      <c r="F348" s="1" t="s">
        <v>323</v>
      </c>
      <c r="H348" s="7" t="s">
        <v>491</v>
      </c>
    </row>
    <row r="349" spans="1:8" x14ac:dyDescent="0.3">
      <c r="A349" s="1" t="s">
        <v>502</v>
      </c>
      <c r="B349" s="1" t="s">
        <v>323</v>
      </c>
      <c r="C349" s="1" t="s">
        <v>323</v>
      </c>
      <c r="D349" s="1">
        <v>100</v>
      </c>
      <c r="E349" s="1" t="s">
        <v>323</v>
      </c>
      <c r="F349" s="1" t="s">
        <v>323</v>
      </c>
      <c r="H349" s="7" t="s">
        <v>491</v>
      </c>
    </row>
    <row r="350" spans="1:8" x14ac:dyDescent="0.3">
      <c r="A350" s="1" t="s">
        <v>503</v>
      </c>
      <c r="B350" s="1">
        <v>100</v>
      </c>
      <c r="C350" s="1">
        <v>0.34</v>
      </c>
      <c r="D350" s="1">
        <v>100</v>
      </c>
      <c r="E350" s="1">
        <v>0.1</v>
      </c>
      <c r="F350" s="1">
        <v>0.1</v>
      </c>
    </row>
    <row r="351" spans="1:8" x14ac:dyDescent="0.3">
      <c r="A351" s="1" t="s">
        <v>504</v>
      </c>
      <c r="B351" s="1">
        <v>20</v>
      </c>
      <c r="C351" s="1">
        <v>0.34</v>
      </c>
      <c r="D351" s="1">
        <v>100</v>
      </c>
      <c r="E351" s="1">
        <v>0.1</v>
      </c>
      <c r="F351" s="1">
        <v>0.1</v>
      </c>
    </row>
    <row r="352" spans="1:8" x14ac:dyDescent="0.3">
      <c r="A352" s="1" t="s">
        <v>505</v>
      </c>
      <c r="B352" s="1">
        <v>2</v>
      </c>
      <c r="C352" s="1">
        <v>0.34</v>
      </c>
      <c r="D352" s="1">
        <v>100</v>
      </c>
      <c r="E352" s="1">
        <v>0.1</v>
      </c>
      <c r="F352" s="1">
        <v>0.1</v>
      </c>
    </row>
    <row r="353" spans="1:8" x14ac:dyDescent="0.3">
      <c r="A353" s="1" t="s">
        <v>506</v>
      </c>
      <c r="B353" s="1">
        <v>2</v>
      </c>
      <c r="C353" s="1">
        <v>0.34</v>
      </c>
      <c r="D353" s="1">
        <v>100</v>
      </c>
      <c r="E353" s="1">
        <v>0.1</v>
      </c>
      <c r="F353" s="1">
        <v>0.1</v>
      </c>
    </row>
    <row r="354" spans="1:8" x14ac:dyDescent="0.3">
      <c r="A354" s="1" t="s">
        <v>507</v>
      </c>
      <c r="B354" s="1">
        <v>500</v>
      </c>
      <c r="C354" s="1">
        <v>0.34</v>
      </c>
      <c r="D354" s="1">
        <v>100</v>
      </c>
      <c r="E354" s="1">
        <v>0.2</v>
      </c>
      <c r="F354" s="1">
        <v>0.2</v>
      </c>
    </row>
    <row r="355" spans="1:8" x14ac:dyDescent="0.3">
      <c r="A355" s="1" t="s">
        <v>508</v>
      </c>
      <c r="B355" s="1">
        <v>100</v>
      </c>
      <c r="C355" s="1">
        <v>0.34</v>
      </c>
      <c r="D355" s="1">
        <v>100</v>
      </c>
      <c r="E355" s="1">
        <v>0.2</v>
      </c>
      <c r="F355" s="1">
        <v>0.2</v>
      </c>
    </row>
    <row r="356" spans="1:8" x14ac:dyDescent="0.3">
      <c r="A356" s="1" t="s">
        <v>509</v>
      </c>
      <c r="B356" s="1">
        <v>10</v>
      </c>
      <c r="C356" s="1">
        <v>0.34</v>
      </c>
      <c r="D356" s="1">
        <v>100</v>
      </c>
      <c r="E356" s="1">
        <v>0.2</v>
      </c>
      <c r="F356" s="1">
        <v>0.2</v>
      </c>
    </row>
    <row r="357" spans="1:8" x14ac:dyDescent="0.3">
      <c r="A357" s="1" t="s">
        <v>510</v>
      </c>
      <c r="B357" s="1">
        <v>10</v>
      </c>
      <c r="C357" s="1">
        <v>0.34</v>
      </c>
      <c r="D357" s="1">
        <v>100</v>
      </c>
      <c r="E357" s="1">
        <v>0.2</v>
      </c>
      <c r="F357" s="1">
        <v>0.2</v>
      </c>
    </row>
    <row r="358" spans="1:8" x14ac:dyDescent="0.3">
      <c r="A358" s="1" t="s">
        <v>511</v>
      </c>
      <c r="B358" s="1">
        <v>100</v>
      </c>
      <c r="C358" s="1">
        <v>0.34</v>
      </c>
      <c r="D358" s="1">
        <v>100</v>
      </c>
      <c r="E358" s="1">
        <v>1</v>
      </c>
      <c r="F358" s="1">
        <v>1</v>
      </c>
    </row>
    <row r="359" spans="1:8" x14ac:dyDescent="0.3">
      <c r="A359" s="1" t="s">
        <v>512</v>
      </c>
      <c r="B359" s="1">
        <v>20</v>
      </c>
      <c r="C359" s="1">
        <v>0.34</v>
      </c>
      <c r="D359" s="1">
        <v>100</v>
      </c>
      <c r="E359" s="1">
        <v>1</v>
      </c>
      <c r="F359" s="1">
        <v>1</v>
      </c>
    </row>
    <row r="360" spans="1:8" x14ac:dyDescent="0.3">
      <c r="A360" s="1" t="s">
        <v>513</v>
      </c>
      <c r="B360" s="1">
        <v>2</v>
      </c>
      <c r="C360" s="1">
        <v>0.34</v>
      </c>
      <c r="D360" s="1">
        <v>100</v>
      </c>
      <c r="E360" s="1">
        <v>1</v>
      </c>
      <c r="F360" s="1">
        <v>1</v>
      </c>
    </row>
    <row r="361" spans="1:8" x14ac:dyDescent="0.3">
      <c r="A361" s="1" t="s">
        <v>514</v>
      </c>
      <c r="B361" s="1">
        <v>2</v>
      </c>
      <c r="C361" s="1">
        <v>0.34</v>
      </c>
      <c r="D361" s="1">
        <v>100</v>
      </c>
      <c r="E361" s="1">
        <v>1</v>
      </c>
      <c r="F361" s="1">
        <v>1</v>
      </c>
    </row>
    <row r="362" spans="1:8" x14ac:dyDescent="0.3">
      <c r="A362" s="1" t="s">
        <v>515</v>
      </c>
      <c r="B362" s="1">
        <v>500</v>
      </c>
      <c r="C362" s="1">
        <v>0.34</v>
      </c>
      <c r="D362" s="1">
        <v>100</v>
      </c>
      <c r="E362" s="1">
        <v>1</v>
      </c>
      <c r="F362" s="1">
        <v>1</v>
      </c>
    </row>
    <row r="363" spans="1:8" x14ac:dyDescent="0.3">
      <c r="A363" s="1" t="s">
        <v>516</v>
      </c>
      <c r="B363" s="1">
        <v>100</v>
      </c>
      <c r="C363" s="1">
        <v>0.34</v>
      </c>
      <c r="D363" s="1">
        <v>100</v>
      </c>
      <c r="E363" s="1">
        <v>1</v>
      </c>
      <c r="F363" s="1">
        <v>1</v>
      </c>
    </row>
    <row r="364" spans="1:8" x14ac:dyDescent="0.3">
      <c r="A364" s="1" t="s">
        <v>517</v>
      </c>
      <c r="B364" s="1">
        <v>10</v>
      </c>
      <c r="C364" s="1">
        <v>0.34</v>
      </c>
      <c r="D364" s="1">
        <v>100</v>
      </c>
      <c r="E364" s="1">
        <v>1</v>
      </c>
      <c r="F364" s="1">
        <v>1</v>
      </c>
    </row>
    <row r="365" spans="1:8" x14ac:dyDescent="0.3">
      <c r="A365" s="9" t="s">
        <v>518</v>
      </c>
      <c r="B365" s="9">
        <v>10</v>
      </c>
      <c r="C365" s="9">
        <v>0.34</v>
      </c>
      <c r="D365" s="9">
        <v>100</v>
      </c>
      <c r="E365" s="9">
        <v>1</v>
      </c>
      <c r="F365" s="9">
        <v>1</v>
      </c>
      <c r="G365" s="9"/>
      <c r="H365" s="10"/>
    </row>
    <row r="366" spans="1:8" x14ac:dyDescent="0.3">
      <c r="A366" s="1" t="s">
        <v>519</v>
      </c>
      <c r="B366" s="1">
        <v>5</v>
      </c>
      <c r="C366" s="1">
        <v>13.71</v>
      </c>
      <c r="D366" s="1">
        <v>2000</v>
      </c>
      <c r="E366" s="1">
        <v>0.1</v>
      </c>
      <c r="F366" s="1">
        <v>0.1</v>
      </c>
    </row>
    <row r="367" spans="1:8" x14ac:dyDescent="0.3">
      <c r="A367" s="1" t="s">
        <v>520</v>
      </c>
      <c r="B367" s="1">
        <v>1</v>
      </c>
      <c r="C367" s="1">
        <v>13.71</v>
      </c>
      <c r="D367" s="1">
        <v>2000</v>
      </c>
      <c r="E367" s="1">
        <v>0.1</v>
      </c>
      <c r="F367" s="1">
        <v>0.1</v>
      </c>
    </row>
    <row r="368" spans="1:8" x14ac:dyDescent="0.3">
      <c r="A368" s="1" t="s">
        <v>521</v>
      </c>
      <c r="B368" s="1">
        <v>0.1</v>
      </c>
      <c r="C368" s="1">
        <v>13.71</v>
      </c>
      <c r="D368" s="1">
        <v>2000</v>
      </c>
      <c r="E368" s="1">
        <v>0.1</v>
      </c>
      <c r="F368" s="1">
        <v>0.1</v>
      </c>
    </row>
    <row r="369" spans="1:6" x14ac:dyDescent="0.3">
      <c r="A369" s="1" t="s">
        <v>522</v>
      </c>
      <c r="B369" s="1">
        <v>5</v>
      </c>
      <c r="C369" s="1">
        <v>13.71</v>
      </c>
      <c r="D369" s="1">
        <v>2000</v>
      </c>
      <c r="E369" s="1">
        <v>0.2</v>
      </c>
      <c r="F369" s="1">
        <v>0.2</v>
      </c>
    </row>
    <row r="370" spans="1:6" x14ac:dyDescent="0.3">
      <c r="A370" s="1" t="s">
        <v>523</v>
      </c>
      <c r="B370" s="1">
        <v>5</v>
      </c>
      <c r="C370" s="1">
        <v>13.71</v>
      </c>
      <c r="D370" s="1">
        <v>2000</v>
      </c>
      <c r="E370" s="1">
        <v>0.2</v>
      </c>
      <c r="F370" s="1">
        <v>0.2</v>
      </c>
    </row>
    <row r="371" spans="1:6" x14ac:dyDescent="0.3">
      <c r="A371" s="1" t="s">
        <v>524</v>
      </c>
      <c r="B371" s="1">
        <v>0.5</v>
      </c>
      <c r="C371" s="1">
        <v>13.71</v>
      </c>
      <c r="D371" s="1">
        <v>2000</v>
      </c>
      <c r="E371" s="1">
        <v>0.2</v>
      </c>
      <c r="F371" s="1">
        <v>0.2</v>
      </c>
    </row>
    <row r="372" spans="1:6" x14ac:dyDescent="0.3">
      <c r="A372" s="1" t="s">
        <v>525</v>
      </c>
      <c r="B372" s="1">
        <v>5</v>
      </c>
      <c r="C372" s="1">
        <v>13.71</v>
      </c>
      <c r="D372" s="1">
        <v>2000</v>
      </c>
      <c r="E372" s="1">
        <v>1</v>
      </c>
      <c r="F372" s="1">
        <v>1</v>
      </c>
    </row>
    <row r="373" spans="1:6" x14ac:dyDescent="0.3">
      <c r="A373" s="1" t="s">
        <v>526</v>
      </c>
      <c r="B373" s="1">
        <v>1</v>
      </c>
      <c r="C373" s="1">
        <v>13.71</v>
      </c>
      <c r="D373" s="1">
        <v>2000</v>
      </c>
      <c r="E373" s="1">
        <v>1</v>
      </c>
      <c r="F373" s="1">
        <v>1</v>
      </c>
    </row>
    <row r="374" spans="1:6" x14ac:dyDescent="0.3">
      <c r="A374" s="1" t="s">
        <v>527</v>
      </c>
      <c r="B374" s="1">
        <v>0.1</v>
      </c>
      <c r="C374" s="1">
        <v>13.71</v>
      </c>
      <c r="D374" s="1">
        <v>2000</v>
      </c>
      <c r="E374" s="1">
        <v>1</v>
      </c>
      <c r="F374" s="1">
        <v>1</v>
      </c>
    </row>
    <row r="375" spans="1:6" x14ac:dyDescent="0.3">
      <c r="A375" s="1" t="s">
        <v>528</v>
      </c>
      <c r="B375" s="1">
        <v>5</v>
      </c>
      <c r="C375" s="1">
        <v>13.71</v>
      </c>
      <c r="D375" s="1">
        <v>2000</v>
      </c>
      <c r="E375" s="1">
        <v>1</v>
      </c>
      <c r="F375" s="1">
        <v>1</v>
      </c>
    </row>
    <row r="376" spans="1:6" x14ac:dyDescent="0.3">
      <c r="A376" s="1" t="s">
        <v>529</v>
      </c>
      <c r="B376" s="1">
        <v>5</v>
      </c>
      <c r="C376" s="1">
        <v>13.71</v>
      </c>
      <c r="D376" s="1">
        <v>2000</v>
      </c>
      <c r="E376" s="1">
        <v>1</v>
      </c>
      <c r="F376" s="1">
        <v>1</v>
      </c>
    </row>
    <row r="377" spans="1:6" x14ac:dyDescent="0.3">
      <c r="A377" s="1" t="s">
        <v>530</v>
      </c>
      <c r="B377" s="1">
        <v>0.5</v>
      </c>
      <c r="C377" s="1">
        <v>13.71</v>
      </c>
      <c r="D377" s="1">
        <v>2000</v>
      </c>
      <c r="E377" s="1">
        <v>1</v>
      </c>
      <c r="F377" s="1">
        <v>1</v>
      </c>
    </row>
    <row r="378" spans="1:6" x14ac:dyDescent="0.3">
      <c r="A378" s="1" t="s">
        <v>531</v>
      </c>
      <c r="B378" s="1">
        <v>250</v>
      </c>
      <c r="C378" s="1">
        <v>13.71</v>
      </c>
      <c r="D378" s="1">
        <v>2000</v>
      </c>
      <c r="E378" s="1">
        <v>0.1</v>
      </c>
      <c r="F378" s="1">
        <v>0.1</v>
      </c>
    </row>
    <row r="379" spans="1:6" x14ac:dyDescent="0.3">
      <c r="A379" s="1" t="s">
        <v>532</v>
      </c>
      <c r="B379" s="1">
        <v>50</v>
      </c>
      <c r="C379" s="1">
        <v>13.71</v>
      </c>
      <c r="D379" s="1">
        <v>2000</v>
      </c>
      <c r="E379" s="1">
        <v>0.1</v>
      </c>
      <c r="F379" s="1">
        <v>0.1</v>
      </c>
    </row>
    <row r="380" spans="1:6" x14ac:dyDescent="0.3">
      <c r="A380" s="1" t="s">
        <v>533</v>
      </c>
      <c r="B380" s="1">
        <v>10</v>
      </c>
      <c r="C380" s="1">
        <v>13.71</v>
      </c>
      <c r="D380" s="1">
        <v>2000</v>
      </c>
      <c r="E380" s="1">
        <v>0.1</v>
      </c>
      <c r="F380" s="1">
        <v>0.1</v>
      </c>
    </row>
    <row r="381" spans="1:6" x14ac:dyDescent="0.3">
      <c r="A381" s="1" t="s">
        <v>534</v>
      </c>
      <c r="B381" s="1">
        <v>0.1</v>
      </c>
      <c r="C381" s="1">
        <v>13.71</v>
      </c>
      <c r="D381" s="1">
        <v>2000</v>
      </c>
      <c r="E381" s="1">
        <v>0.1</v>
      </c>
      <c r="F381" s="1">
        <v>0.1</v>
      </c>
    </row>
    <row r="382" spans="1:6" x14ac:dyDescent="0.3">
      <c r="A382" s="1" t="s">
        <v>535</v>
      </c>
      <c r="B382" s="1">
        <v>250</v>
      </c>
      <c r="C382" s="1">
        <v>13.71</v>
      </c>
      <c r="D382" s="1">
        <v>2000</v>
      </c>
      <c r="E382" s="1">
        <v>0.2</v>
      </c>
      <c r="F382" s="1">
        <v>0.2</v>
      </c>
    </row>
    <row r="383" spans="1:6" x14ac:dyDescent="0.3">
      <c r="A383" s="1" t="s">
        <v>536</v>
      </c>
      <c r="B383" s="1">
        <v>100</v>
      </c>
      <c r="C383" s="1">
        <v>13.71</v>
      </c>
      <c r="D383" s="1">
        <v>2000</v>
      </c>
      <c r="E383" s="1">
        <v>0.2</v>
      </c>
      <c r="F383" s="1">
        <v>0.2</v>
      </c>
    </row>
    <row r="384" spans="1:6" x14ac:dyDescent="0.3">
      <c r="A384" s="1" t="s">
        <v>537</v>
      </c>
      <c r="B384" s="1">
        <v>10</v>
      </c>
      <c r="C384" s="1">
        <v>13.71</v>
      </c>
      <c r="D384" s="1">
        <v>2000</v>
      </c>
      <c r="E384" s="1">
        <v>0.2</v>
      </c>
      <c r="F384" s="1">
        <v>0.2</v>
      </c>
    </row>
    <row r="385" spans="1:8" x14ac:dyDescent="0.3">
      <c r="A385" s="1" t="s">
        <v>538</v>
      </c>
      <c r="B385" s="1">
        <v>0.1</v>
      </c>
      <c r="C385" s="1">
        <v>13.71</v>
      </c>
      <c r="D385" s="1">
        <v>2000</v>
      </c>
      <c r="E385" s="1">
        <v>0.2</v>
      </c>
      <c r="F385" s="1">
        <v>0.2</v>
      </c>
    </row>
    <row r="386" spans="1:8" x14ac:dyDescent="0.3">
      <c r="A386" s="1" t="s">
        <v>539</v>
      </c>
      <c r="B386" s="1">
        <v>250</v>
      </c>
      <c r="C386" s="1">
        <v>13.71</v>
      </c>
      <c r="D386" s="1">
        <v>2000</v>
      </c>
      <c r="E386" s="1">
        <v>1</v>
      </c>
      <c r="F386" s="1">
        <v>1</v>
      </c>
    </row>
    <row r="387" spans="1:8" x14ac:dyDescent="0.3">
      <c r="A387" s="1" t="s">
        <v>540</v>
      </c>
      <c r="B387" s="1">
        <v>50</v>
      </c>
      <c r="C387" s="1">
        <v>13.71</v>
      </c>
      <c r="D387" s="1">
        <v>2000</v>
      </c>
      <c r="E387" s="1">
        <v>1</v>
      </c>
      <c r="F387" s="1">
        <v>1</v>
      </c>
    </row>
    <row r="388" spans="1:8" x14ac:dyDescent="0.3">
      <c r="A388" s="1" t="s">
        <v>541</v>
      </c>
      <c r="B388" s="1">
        <v>10</v>
      </c>
      <c r="C388" s="1">
        <v>13.71</v>
      </c>
      <c r="D388" s="1">
        <v>2000</v>
      </c>
      <c r="E388" s="1">
        <v>1</v>
      </c>
      <c r="F388" s="1">
        <v>1</v>
      </c>
    </row>
    <row r="389" spans="1:8" x14ac:dyDescent="0.3">
      <c r="A389" s="1" t="s">
        <v>542</v>
      </c>
      <c r="B389" s="1">
        <v>0.1</v>
      </c>
      <c r="C389" s="1">
        <v>13.71</v>
      </c>
      <c r="D389" s="1">
        <v>2000</v>
      </c>
      <c r="E389" s="1">
        <v>1</v>
      </c>
      <c r="F389" s="1">
        <v>1</v>
      </c>
    </row>
    <row r="390" spans="1:8" x14ac:dyDescent="0.3">
      <c r="A390" s="1" t="s">
        <v>543</v>
      </c>
      <c r="B390" s="1">
        <v>250</v>
      </c>
      <c r="C390" s="1">
        <v>13.71</v>
      </c>
      <c r="D390" s="1">
        <v>2000</v>
      </c>
      <c r="E390" s="1">
        <v>1</v>
      </c>
      <c r="F390" s="1">
        <v>1</v>
      </c>
    </row>
    <row r="391" spans="1:8" x14ac:dyDescent="0.3">
      <c r="A391" s="1" t="s">
        <v>544</v>
      </c>
      <c r="B391" s="1">
        <v>100</v>
      </c>
      <c r="C391" s="1">
        <v>13.71</v>
      </c>
      <c r="D391" s="1">
        <v>2000</v>
      </c>
      <c r="E391" s="1">
        <v>1</v>
      </c>
      <c r="F391" s="1">
        <v>1</v>
      </c>
    </row>
    <row r="392" spans="1:8" x14ac:dyDescent="0.3">
      <c r="A392" s="1" t="s">
        <v>545</v>
      </c>
      <c r="B392" s="1">
        <v>10</v>
      </c>
      <c r="C392" s="1">
        <v>13.71</v>
      </c>
      <c r="D392" s="1">
        <v>2000</v>
      </c>
      <c r="E392" s="1">
        <v>1</v>
      </c>
      <c r="F392" s="1">
        <v>1</v>
      </c>
    </row>
    <row r="393" spans="1:8" x14ac:dyDescent="0.3">
      <c r="A393" s="9" t="s">
        <v>546</v>
      </c>
      <c r="B393" s="9">
        <v>0.1</v>
      </c>
      <c r="C393" s="9">
        <v>13.71</v>
      </c>
      <c r="D393" s="9">
        <v>2000</v>
      </c>
      <c r="E393" s="9">
        <v>1</v>
      </c>
      <c r="F393" s="9">
        <v>1</v>
      </c>
      <c r="G393" s="9"/>
      <c r="H393" s="10"/>
    </row>
    <row r="394" spans="1:8" x14ac:dyDescent="0.3">
      <c r="A394" s="1" t="s">
        <v>547</v>
      </c>
      <c r="B394" s="1">
        <v>10</v>
      </c>
      <c r="C394" s="1">
        <v>3.43</v>
      </c>
      <c r="D394" s="1">
        <v>500</v>
      </c>
      <c r="E394" s="1">
        <v>0.1</v>
      </c>
      <c r="F394" s="1">
        <v>0.1</v>
      </c>
    </row>
    <row r="395" spans="1:8" x14ac:dyDescent="0.3">
      <c r="A395" s="1" t="s">
        <v>548</v>
      </c>
      <c r="B395" s="1">
        <v>1</v>
      </c>
      <c r="C395" s="1">
        <v>3.43</v>
      </c>
      <c r="D395" s="1">
        <v>500</v>
      </c>
      <c r="E395" s="1">
        <v>0.1</v>
      </c>
      <c r="F395" s="1">
        <v>0.1</v>
      </c>
    </row>
    <row r="396" spans="1:8" x14ac:dyDescent="0.3">
      <c r="A396" s="1" t="s">
        <v>549</v>
      </c>
      <c r="B396" s="1">
        <v>0.1</v>
      </c>
      <c r="C396" s="1">
        <v>3.43</v>
      </c>
      <c r="D396" s="1">
        <v>500</v>
      </c>
      <c r="E396" s="1">
        <v>0.1</v>
      </c>
      <c r="F396" s="1">
        <v>0.1</v>
      </c>
    </row>
    <row r="397" spans="1:8" x14ac:dyDescent="0.3">
      <c r="A397" s="1" t="s">
        <v>550</v>
      </c>
      <c r="B397" s="1">
        <v>50</v>
      </c>
      <c r="C397" s="1">
        <v>3.43</v>
      </c>
      <c r="D397" s="1">
        <v>500</v>
      </c>
      <c r="E397" s="1">
        <v>0.2</v>
      </c>
      <c r="F397" s="1">
        <v>0.2</v>
      </c>
    </row>
    <row r="398" spans="1:8" x14ac:dyDescent="0.3">
      <c r="A398" s="1" t="s">
        <v>551</v>
      </c>
      <c r="B398" s="1">
        <v>5</v>
      </c>
      <c r="C398" s="1">
        <v>3.43</v>
      </c>
      <c r="D398" s="1">
        <v>500</v>
      </c>
      <c r="E398" s="1">
        <v>0.2</v>
      </c>
      <c r="F398" s="1">
        <v>0.2</v>
      </c>
    </row>
    <row r="399" spans="1:8" x14ac:dyDescent="0.3">
      <c r="A399" s="1" t="s">
        <v>552</v>
      </c>
      <c r="B399" s="1">
        <v>1</v>
      </c>
      <c r="C399" s="1">
        <v>3.43</v>
      </c>
      <c r="D399" s="1">
        <v>500</v>
      </c>
      <c r="E399" s="1">
        <v>0.2</v>
      </c>
      <c r="F399" s="1">
        <v>0.2</v>
      </c>
    </row>
    <row r="400" spans="1:8" x14ac:dyDescent="0.3">
      <c r="A400" s="1" t="s">
        <v>553</v>
      </c>
      <c r="B400" s="1">
        <v>10</v>
      </c>
      <c r="C400" s="1">
        <v>3.43</v>
      </c>
      <c r="D400" s="1">
        <v>500</v>
      </c>
      <c r="E400" s="1">
        <v>1</v>
      </c>
      <c r="F400" s="1">
        <v>1</v>
      </c>
    </row>
    <row r="401" spans="1:6" x14ac:dyDescent="0.3">
      <c r="A401" s="1" t="s">
        <v>554</v>
      </c>
      <c r="B401" s="1">
        <v>1</v>
      </c>
      <c r="C401" s="1">
        <v>3.43</v>
      </c>
      <c r="D401" s="1">
        <v>500</v>
      </c>
      <c r="E401" s="1">
        <v>1</v>
      </c>
      <c r="F401" s="1">
        <v>1</v>
      </c>
    </row>
    <row r="402" spans="1:6" x14ac:dyDescent="0.3">
      <c r="A402" s="1" t="s">
        <v>555</v>
      </c>
      <c r="B402" s="1">
        <v>0.1</v>
      </c>
      <c r="C402" s="1">
        <v>3.43</v>
      </c>
      <c r="D402" s="1">
        <v>500</v>
      </c>
      <c r="E402" s="1">
        <v>1</v>
      </c>
      <c r="F402" s="1">
        <v>1</v>
      </c>
    </row>
    <row r="403" spans="1:6" x14ac:dyDescent="0.3">
      <c r="A403" s="1" t="s">
        <v>556</v>
      </c>
      <c r="B403" s="1">
        <v>50</v>
      </c>
      <c r="C403" s="1">
        <v>3.43</v>
      </c>
      <c r="D403" s="1">
        <v>500</v>
      </c>
      <c r="E403" s="1">
        <v>1</v>
      </c>
      <c r="F403" s="1">
        <v>1</v>
      </c>
    </row>
    <row r="404" spans="1:6" x14ac:dyDescent="0.3">
      <c r="A404" s="1" t="s">
        <v>557</v>
      </c>
      <c r="B404" s="1">
        <v>5</v>
      </c>
      <c r="C404" s="1">
        <v>3.43</v>
      </c>
      <c r="D404" s="1">
        <v>500</v>
      </c>
      <c r="E404" s="1">
        <v>1</v>
      </c>
      <c r="F404" s="1">
        <v>1</v>
      </c>
    </row>
    <row r="405" spans="1:6" x14ac:dyDescent="0.3">
      <c r="A405" s="1" t="s">
        <v>558</v>
      </c>
      <c r="B405" s="1">
        <v>1</v>
      </c>
      <c r="C405" s="1">
        <v>3.43</v>
      </c>
      <c r="D405" s="1">
        <v>500</v>
      </c>
      <c r="E405" s="1">
        <v>1</v>
      </c>
      <c r="F405" s="1">
        <v>1</v>
      </c>
    </row>
    <row r="406" spans="1:6" x14ac:dyDescent="0.3">
      <c r="A406" s="1" t="s">
        <v>559</v>
      </c>
      <c r="B406" s="1">
        <v>250</v>
      </c>
      <c r="C406" s="1">
        <v>3.43</v>
      </c>
      <c r="D406" s="1">
        <v>500</v>
      </c>
      <c r="E406" s="1">
        <v>0.1</v>
      </c>
      <c r="F406" s="1">
        <v>0.1</v>
      </c>
    </row>
    <row r="407" spans="1:6" x14ac:dyDescent="0.3">
      <c r="A407" s="1" t="s">
        <v>560</v>
      </c>
      <c r="B407" s="1">
        <v>50</v>
      </c>
      <c r="C407" s="1">
        <v>3.43</v>
      </c>
      <c r="D407" s="1">
        <v>500</v>
      </c>
      <c r="E407" s="1">
        <v>0.1</v>
      </c>
      <c r="F407" s="1">
        <v>0.1</v>
      </c>
    </row>
    <row r="408" spans="1:6" x14ac:dyDescent="0.3">
      <c r="A408" s="1" t="s">
        <v>561</v>
      </c>
      <c r="B408" s="1">
        <v>5</v>
      </c>
      <c r="C408" s="1">
        <v>3.43</v>
      </c>
      <c r="D408" s="1">
        <v>500</v>
      </c>
      <c r="E408" s="1">
        <v>0.1</v>
      </c>
      <c r="F408" s="1">
        <v>0.1</v>
      </c>
    </row>
    <row r="409" spans="1:6" x14ac:dyDescent="0.3">
      <c r="A409" s="1" t="s">
        <v>562</v>
      </c>
      <c r="B409" s="1">
        <v>0.1</v>
      </c>
      <c r="C409" s="1">
        <v>3.43</v>
      </c>
      <c r="D409" s="1">
        <v>500</v>
      </c>
      <c r="E409" s="1">
        <v>0.1</v>
      </c>
      <c r="F409" s="1">
        <v>0.1</v>
      </c>
    </row>
    <row r="410" spans="1:6" x14ac:dyDescent="0.3">
      <c r="A410" s="1" t="s">
        <v>563</v>
      </c>
      <c r="B410" s="1">
        <v>500</v>
      </c>
      <c r="C410" s="1">
        <v>3.43</v>
      </c>
      <c r="D410" s="1">
        <v>500</v>
      </c>
      <c r="E410" s="1">
        <v>0.2</v>
      </c>
      <c r="F410" s="1">
        <v>0.2</v>
      </c>
    </row>
    <row r="411" spans="1:6" x14ac:dyDescent="0.3">
      <c r="A411" s="1" t="s">
        <v>564</v>
      </c>
      <c r="B411" s="1">
        <v>100</v>
      </c>
      <c r="C411" s="1">
        <v>3.43</v>
      </c>
      <c r="D411" s="1">
        <v>500</v>
      </c>
      <c r="E411" s="1">
        <v>0.2</v>
      </c>
      <c r="F411" s="1">
        <v>0.2</v>
      </c>
    </row>
    <row r="412" spans="1:6" x14ac:dyDescent="0.3">
      <c r="A412" s="1" t="s">
        <v>565</v>
      </c>
      <c r="B412" s="1">
        <v>10</v>
      </c>
      <c r="C412" s="1">
        <v>3.43</v>
      </c>
      <c r="D412" s="1">
        <v>500</v>
      </c>
      <c r="E412" s="1">
        <v>0.2</v>
      </c>
      <c r="F412" s="1">
        <v>0.2</v>
      </c>
    </row>
    <row r="413" spans="1:6" x14ac:dyDescent="0.3">
      <c r="A413" s="1" t="s">
        <v>566</v>
      </c>
      <c r="B413" s="1">
        <v>0.1</v>
      </c>
      <c r="C413" s="1">
        <v>3.43</v>
      </c>
      <c r="D413" s="1">
        <v>500</v>
      </c>
      <c r="E413" s="1">
        <v>0.2</v>
      </c>
      <c r="F413" s="1">
        <v>0.2</v>
      </c>
    </row>
    <row r="414" spans="1:6" x14ac:dyDescent="0.3">
      <c r="A414" s="1" t="s">
        <v>567</v>
      </c>
      <c r="B414" s="1">
        <v>250</v>
      </c>
      <c r="C414" s="1">
        <v>3.43</v>
      </c>
      <c r="D414" s="1">
        <v>500</v>
      </c>
      <c r="E414" s="1">
        <v>1</v>
      </c>
      <c r="F414" s="1">
        <v>1</v>
      </c>
    </row>
    <row r="415" spans="1:6" x14ac:dyDescent="0.3">
      <c r="A415" s="1" t="s">
        <v>568</v>
      </c>
      <c r="B415" s="1">
        <v>50</v>
      </c>
      <c r="C415" s="1">
        <v>3.43</v>
      </c>
      <c r="D415" s="1">
        <v>500</v>
      </c>
      <c r="E415" s="1">
        <v>1</v>
      </c>
      <c r="F415" s="1">
        <v>1</v>
      </c>
    </row>
    <row r="416" spans="1:6" x14ac:dyDescent="0.3">
      <c r="A416" s="1" t="s">
        <v>569</v>
      </c>
      <c r="B416" s="1">
        <v>5</v>
      </c>
      <c r="C416" s="1">
        <v>3.43</v>
      </c>
      <c r="D416" s="1">
        <v>500</v>
      </c>
      <c r="E416" s="1">
        <v>1</v>
      </c>
      <c r="F416" s="1">
        <v>1</v>
      </c>
    </row>
    <row r="417" spans="1:8" x14ac:dyDescent="0.3">
      <c r="A417" s="1" t="s">
        <v>570</v>
      </c>
      <c r="B417" s="1">
        <v>0.1</v>
      </c>
      <c r="C417" s="1">
        <v>3.43</v>
      </c>
      <c r="D417" s="1">
        <v>500</v>
      </c>
      <c r="E417" s="1">
        <v>1</v>
      </c>
      <c r="F417" s="1">
        <v>1</v>
      </c>
    </row>
    <row r="418" spans="1:8" x14ac:dyDescent="0.3">
      <c r="A418" s="1" t="s">
        <v>571</v>
      </c>
      <c r="B418" s="1">
        <v>500</v>
      </c>
      <c r="C418" s="1">
        <v>3.43</v>
      </c>
      <c r="D418" s="1">
        <v>500</v>
      </c>
      <c r="E418" s="1">
        <v>1</v>
      </c>
      <c r="F418" s="1">
        <v>1</v>
      </c>
    </row>
    <row r="419" spans="1:8" x14ac:dyDescent="0.3">
      <c r="A419" s="1" t="s">
        <v>572</v>
      </c>
      <c r="B419" s="1">
        <v>100</v>
      </c>
      <c r="C419" s="1">
        <v>3.43</v>
      </c>
      <c r="D419" s="1">
        <v>500</v>
      </c>
      <c r="E419" s="1">
        <v>1</v>
      </c>
      <c r="F419" s="1">
        <v>1</v>
      </c>
    </row>
    <row r="420" spans="1:8" x14ac:dyDescent="0.3">
      <c r="A420" s="1" t="s">
        <v>573</v>
      </c>
      <c r="B420" s="1">
        <v>10</v>
      </c>
      <c r="C420" s="1">
        <v>3.43</v>
      </c>
      <c r="D420" s="1">
        <v>500</v>
      </c>
      <c r="E420" s="1">
        <v>1</v>
      </c>
      <c r="F420" s="1">
        <v>1</v>
      </c>
    </row>
    <row r="421" spans="1:8" x14ac:dyDescent="0.3">
      <c r="A421" s="9" t="s">
        <v>574</v>
      </c>
      <c r="B421" s="9">
        <v>0.1</v>
      </c>
      <c r="C421" s="9">
        <v>3.43</v>
      </c>
      <c r="D421" s="9">
        <v>500</v>
      </c>
      <c r="E421" s="9">
        <v>1</v>
      </c>
      <c r="F421" s="9">
        <v>1</v>
      </c>
      <c r="G421" s="9"/>
      <c r="H421" s="10"/>
    </row>
    <row r="422" spans="1:8" x14ac:dyDescent="0.3">
      <c r="A422" s="1" t="s">
        <v>575</v>
      </c>
      <c r="B422" s="1">
        <v>5</v>
      </c>
      <c r="C422" s="1">
        <v>0.34</v>
      </c>
      <c r="D422" s="1">
        <v>100</v>
      </c>
      <c r="E422" s="1">
        <v>0.1</v>
      </c>
      <c r="F422" s="1">
        <v>0.1</v>
      </c>
    </row>
    <row r="423" spans="1:8" x14ac:dyDescent="0.3">
      <c r="A423" s="1" t="s">
        <v>576</v>
      </c>
      <c r="B423" s="1">
        <v>0.5</v>
      </c>
      <c r="C423" s="1">
        <v>0.34</v>
      </c>
      <c r="D423" s="1">
        <v>100</v>
      </c>
      <c r="E423" s="1">
        <v>0.1</v>
      </c>
      <c r="F423" s="1">
        <v>0.1</v>
      </c>
    </row>
    <row r="424" spans="1:8" x14ac:dyDescent="0.3">
      <c r="A424" s="1" t="s">
        <v>577</v>
      </c>
      <c r="B424" s="1">
        <v>0.1</v>
      </c>
      <c r="C424" s="1">
        <v>0.34</v>
      </c>
      <c r="D424" s="1">
        <v>100</v>
      </c>
      <c r="E424" s="1">
        <v>0.1</v>
      </c>
      <c r="F424" s="1">
        <v>0.1</v>
      </c>
    </row>
    <row r="425" spans="1:8" x14ac:dyDescent="0.3">
      <c r="A425" s="1" t="s">
        <v>578</v>
      </c>
      <c r="B425" s="1">
        <v>5</v>
      </c>
      <c r="C425" s="1">
        <v>0.34</v>
      </c>
      <c r="D425" s="1">
        <v>100</v>
      </c>
      <c r="E425" s="1">
        <v>0.2</v>
      </c>
      <c r="F425" s="1">
        <v>0.2</v>
      </c>
    </row>
    <row r="426" spans="1:8" x14ac:dyDescent="0.3">
      <c r="A426" s="1" t="s">
        <v>579</v>
      </c>
      <c r="B426" s="1">
        <v>0.5</v>
      </c>
      <c r="C426" s="1">
        <v>0.34</v>
      </c>
      <c r="D426" s="1">
        <v>100</v>
      </c>
      <c r="E426" s="1">
        <v>0.2</v>
      </c>
      <c r="F426" s="1">
        <v>0.2</v>
      </c>
    </row>
    <row r="427" spans="1:8" x14ac:dyDescent="0.3">
      <c r="A427" s="1" t="s">
        <v>580</v>
      </c>
      <c r="B427" s="1">
        <v>0.1</v>
      </c>
      <c r="C427" s="1">
        <v>0.34</v>
      </c>
      <c r="D427" s="1">
        <v>100</v>
      </c>
      <c r="E427" s="1">
        <v>0.2</v>
      </c>
      <c r="F427" s="1">
        <v>0.2</v>
      </c>
    </row>
    <row r="428" spans="1:8" x14ac:dyDescent="0.3">
      <c r="A428" s="1" t="s">
        <v>581</v>
      </c>
      <c r="B428" s="1">
        <v>5</v>
      </c>
      <c r="C428" s="1">
        <v>0.34</v>
      </c>
      <c r="D428" s="1">
        <v>100</v>
      </c>
      <c r="E428" s="1">
        <v>1</v>
      </c>
      <c r="F428" s="1">
        <v>1</v>
      </c>
    </row>
    <row r="429" spans="1:8" x14ac:dyDescent="0.3">
      <c r="A429" s="1" t="s">
        <v>582</v>
      </c>
      <c r="B429" s="1">
        <v>0.5</v>
      </c>
      <c r="C429" s="1">
        <v>0.34</v>
      </c>
      <c r="D429" s="1">
        <v>100</v>
      </c>
      <c r="E429" s="1">
        <v>1</v>
      </c>
      <c r="F429" s="1">
        <v>1</v>
      </c>
    </row>
    <row r="430" spans="1:8" x14ac:dyDescent="0.3">
      <c r="A430" s="1" t="s">
        <v>583</v>
      </c>
      <c r="B430" s="1">
        <v>0.1</v>
      </c>
      <c r="C430" s="1">
        <v>0.34</v>
      </c>
      <c r="D430" s="1">
        <v>100</v>
      </c>
      <c r="E430" s="1">
        <v>1</v>
      </c>
      <c r="F430" s="1">
        <v>1</v>
      </c>
    </row>
    <row r="431" spans="1:8" x14ac:dyDescent="0.3">
      <c r="A431" s="1" t="s">
        <v>584</v>
      </c>
      <c r="B431" s="1">
        <v>5</v>
      </c>
      <c r="C431" s="1">
        <v>0.34</v>
      </c>
      <c r="D431" s="1">
        <v>100</v>
      </c>
      <c r="E431" s="1">
        <v>1</v>
      </c>
      <c r="F431" s="1">
        <v>1</v>
      </c>
    </row>
    <row r="432" spans="1:8" x14ac:dyDescent="0.3">
      <c r="A432" s="1" t="s">
        <v>585</v>
      </c>
      <c r="B432" s="1">
        <v>0.5</v>
      </c>
      <c r="C432" s="1">
        <v>0.34</v>
      </c>
      <c r="D432" s="1">
        <v>100</v>
      </c>
      <c r="E432" s="1">
        <v>1</v>
      </c>
      <c r="F432" s="1">
        <v>1</v>
      </c>
    </row>
    <row r="433" spans="1:6" x14ac:dyDescent="0.3">
      <c r="A433" s="1" t="s">
        <v>586</v>
      </c>
      <c r="B433" s="1">
        <v>0.1</v>
      </c>
      <c r="C433" s="1">
        <v>0.34</v>
      </c>
      <c r="D433" s="1">
        <v>100</v>
      </c>
      <c r="E433" s="1">
        <v>1</v>
      </c>
      <c r="F433" s="1">
        <v>1</v>
      </c>
    </row>
    <row r="434" spans="1:6" x14ac:dyDescent="0.3">
      <c r="A434" s="1" t="s">
        <v>587</v>
      </c>
      <c r="B434" s="1">
        <v>50</v>
      </c>
      <c r="C434" s="1">
        <v>0.34</v>
      </c>
      <c r="D434" s="1">
        <v>100</v>
      </c>
      <c r="E434" s="1">
        <v>0.1</v>
      </c>
      <c r="F434" s="1">
        <v>0.1</v>
      </c>
    </row>
    <row r="435" spans="1:6" x14ac:dyDescent="0.3">
      <c r="A435" s="1" t="s">
        <v>588</v>
      </c>
      <c r="B435" s="1">
        <v>10</v>
      </c>
      <c r="C435" s="1">
        <v>0.34</v>
      </c>
      <c r="D435" s="1">
        <v>100</v>
      </c>
      <c r="E435" s="1">
        <v>0.1</v>
      </c>
      <c r="F435" s="1">
        <v>0.1</v>
      </c>
    </row>
    <row r="436" spans="1:6" x14ac:dyDescent="0.3">
      <c r="A436" s="1" t="s">
        <v>589</v>
      </c>
      <c r="B436" s="1">
        <v>5</v>
      </c>
      <c r="C436" s="1">
        <v>0.34</v>
      </c>
      <c r="D436" s="1">
        <v>100</v>
      </c>
      <c r="E436" s="1">
        <v>0.1</v>
      </c>
      <c r="F436" s="1">
        <v>0.1</v>
      </c>
    </row>
    <row r="437" spans="1:6" x14ac:dyDescent="0.3">
      <c r="A437" s="1" t="s">
        <v>590</v>
      </c>
      <c r="B437" s="1">
        <v>0.1</v>
      </c>
      <c r="C437" s="1">
        <v>0.34</v>
      </c>
      <c r="D437" s="1">
        <v>100</v>
      </c>
      <c r="E437" s="1">
        <v>0.1</v>
      </c>
      <c r="F437" s="1">
        <v>0.1</v>
      </c>
    </row>
    <row r="438" spans="1:6" x14ac:dyDescent="0.3">
      <c r="A438" s="1" t="s">
        <v>591</v>
      </c>
      <c r="B438" s="1">
        <v>50</v>
      </c>
      <c r="C438" s="1">
        <v>0.34</v>
      </c>
      <c r="D438" s="1">
        <v>100</v>
      </c>
      <c r="E438" s="1">
        <v>0.2</v>
      </c>
      <c r="F438" s="1">
        <v>0.2</v>
      </c>
    </row>
    <row r="439" spans="1:6" x14ac:dyDescent="0.3">
      <c r="A439" s="1" t="s">
        <v>592</v>
      </c>
      <c r="B439" s="1">
        <v>10</v>
      </c>
      <c r="C439" s="1">
        <v>0.34</v>
      </c>
      <c r="D439" s="1">
        <v>100</v>
      </c>
      <c r="E439" s="1">
        <v>0.2</v>
      </c>
      <c r="F439" s="1">
        <v>0.2</v>
      </c>
    </row>
    <row r="440" spans="1:6" x14ac:dyDescent="0.3">
      <c r="A440" s="1" t="s">
        <v>593</v>
      </c>
      <c r="B440" s="1">
        <v>5</v>
      </c>
      <c r="C440" s="1">
        <v>0.34</v>
      </c>
      <c r="D440" s="1">
        <v>100</v>
      </c>
      <c r="E440" s="1">
        <v>0.2</v>
      </c>
      <c r="F440" s="1">
        <v>0.2</v>
      </c>
    </row>
    <row r="441" spans="1:6" x14ac:dyDescent="0.3">
      <c r="A441" s="1" t="s">
        <v>594</v>
      </c>
      <c r="B441" s="1">
        <v>0.1</v>
      </c>
      <c r="C441" s="1">
        <v>0.34</v>
      </c>
      <c r="D441" s="1">
        <v>100</v>
      </c>
      <c r="E441" s="1">
        <v>0.2</v>
      </c>
      <c r="F441" s="1">
        <v>0.2</v>
      </c>
    </row>
    <row r="442" spans="1:6" x14ac:dyDescent="0.3">
      <c r="A442" s="1" t="s">
        <v>595</v>
      </c>
      <c r="B442" s="1">
        <v>50</v>
      </c>
      <c r="C442" s="1">
        <v>0.34</v>
      </c>
      <c r="D442" s="1">
        <v>100</v>
      </c>
      <c r="E442" s="1">
        <v>1</v>
      </c>
      <c r="F442" s="1">
        <v>1</v>
      </c>
    </row>
    <row r="443" spans="1:6" x14ac:dyDescent="0.3">
      <c r="A443" s="1" t="s">
        <v>596</v>
      </c>
      <c r="B443" s="1">
        <v>10</v>
      </c>
      <c r="C443" s="1">
        <v>0.34</v>
      </c>
      <c r="D443" s="1">
        <v>100</v>
      </c>
      <c r="E443" s="1">
        <v>1</v>
      </c>
      <c r="F443" s="1">
        <v>1</v>
      </c>
    </row>
    <row r="444" spans="1:6" x14ac:dyDescent="0.3">
      <c r="A444" s="1" t="s">
        <v>597</v>
      </c>
      <c r="B444" s="1">
        <v>5</v>
      </c>
      <c r="C444" s="1">
        <v>0.34</v>
      </c>
      <c r="D444" s="1">
        <v>100</v>
      </c>
      <c r="E444" s="1">
        <v>1</v>
      </c>
      <c r="F444" s="1">
        <v>1</v>
      </c>
    </row>
    <row r="445" spans="1:6" x14ac:dyDescent="0.3">
      <c r="A445" s="1" t="s">
        <v>598</v>
      </c>
      <c r="B445" s="1">
        <v>0.1</v>
      </c>
      <c r="C445" s="1">
        <v>0.34</v>
      </c>
      <c r="D445" s="1">
        <v>100</v>
      </c>
      <c r="E445" s="1">
        <v>1</v>
      </c>
      <c r="F445" s="1">
        <v>1</v>
      </c>
    </row>
    <row r="446" spans="1:6" x14ac:dyDescent="0.3">
      <c r="A446" s="1" t="s">
        <v>599</v>
      </c>
      <c r="B446" s="1">
        <v>50</v>
      </c>
      <c r="C446" s="1">
        <v>0.34</v>
      </c>
      <c r="D446" s="1">
        <v>100</v>
      </c>
      <c r="E446" s="1">
        <v>1</v>
      </c>
      <c r="F446" s="1">
        <v>1</v>
      </c>
    </row>
    <row r="447" spans="1:6" x14ac:dyDescent="0.3">
      <c r="A447" s="1" t="s">
        <v>600</v>
      </c>
      <c r="B447" s="1">
        <v>10</v>
      </c>
      <c r="C447" s="1">
        <v>0.34</v>
      </c>
      <c r="D447" s="1">
        <v>100</v>
      </c>
      <c r="E447" s="1">
        <v>1</v>
      </c>
      <c r="F447" s="1">
        <v>1</v>
      </c>
    </row>
    <row r="448" spans="1:6" x14ac:dyDescent="0.3">
      <c r="A448" s="1" t="s">
        <v>601</v>
      </c>
      <c r="B448" s="1">
        <v>5</v>
      </c>
      <c r="C448" s="1">
        <v>0.34</v>
      </c>
      <c r="D448" s="1">
        <v>100</v>
      </c>
      <c r="E448" s="1">
        <v>1</v>
      </c>
      <c r="F448" s="1">
        <v>1</v>
      </c>
    </row>
    <row r="449" spans="1:8" x14ac:dyDescent="0.3">
      <c r="A449" s="9" t="s">
        <v>602</v>
      </c>
      <c r="B449" s="9">
        <v>0.1</v>
      </c>
      <c r="C449" s="9">
        <v>0.34</v>
      </c>
      <c r="D449" s="9">
        <v>100</v>
      </c>
      <c r="E449" s="9">
        <v>1</v>
      </c>
      <c r="F449" s="9">
        <v>1</v>
      </c>
      <c r="G449" s="9"/>
      <c r="H449" s="10"/>
    </row>
    <row r="450" spans="1:8" x14ac:dyDescent="0.3">
      <c r="A450" s="1" t="s">
        <v>603</v>
      </c>
      <c r="B450" s="1">
        <v>10</v>
      </c>
      <c r="C450" s="1">
        <v>0.34</v>
      </c>
      <c r="D450" s="1">
        <v>100</v>
      </c>
      <c r="E450" s="1">
        <v>0.1</v>
      </c>
      <c r="F450" s="1">
        <v>0.1</v>
      </c>
    </row>
    <row r="451" spans="1:8" x14ac:dyDescent="0.3">
      <c r="A451" s="1" t="s">
        <v>604</v>
      </c>
      <c r="B451" s="1">
        <v>5</v>
      </c>
      <c r="C451" s="1">
        <v>0.34</v>
      </c>
      <c r="D451" s="1">
        <v>100</v>
      </c>
      <c r="E451" s="1">
        <v>0.1</v>
      </c>
      <c r="F451" s="1">
        <v>0.1</v>
      </c>
    </row>
    <row r="452" spans="1:8" x14ac:dyDescent="0.3">
      <c r="A452" s="1" t="s">
        <v>605</v>
      </c>
      <c r="B452" s="1">
        <v>0.1</v>
      </c>
      <c r="C452" s="1">
        <v>0.34</v>
      </c>
      <c r="D452" s="1">
        <v>100</v>
      </c>
      <c r="E452" s="1">
        <v>0.1</v>
      </c>
      <c r="F452" s="1">
        <v>0.1</v>
      </c>
    </row>
    <row r="453" spans="1:8" x14ac:dyDescent="0.3">
      <c r="A453" s="1" t="s">
        <v>606</v>
      </c>
      <c r="B453" s="1">
        <v>50</v>
      </c>
      <c r="C453" s="1">
        <v>0.34</v>
      </c>
      <c r="D453" s="1">
        <v>100</v>
      </c>
      <c r="E453" s="1">
        <v>0.2</v>
      </c>
      <c r="F453" s="1">
        <v>0.2</v>
      </c>
    </row>
    <row r="454" spans="1:8" x14ac:dyDescent="0.3">
      <c r="A454" s="1" t="s">
        <v>607</v>
      </c>
      <c r="B454" s="1">
        <v>20</v>
      </c>
      <c r="C454" s="1">
        <v>0.34</v>
      </c>
      <c r="D454" s="1">
        <v>100</v>
      </c>
      <c r="E454" s="1">
        <v>0.2</v>
      </c>
      <c r="F454" s="1">
        <v>0.2</v>
      </c>
    </row>
    <row r="455" spans="1:8" x14ac:dyDescent="0.3">
      <c r="A455" s="1" t="s">
        <v>608</v>
      </c>
      <c r="B455" s="1">
        <v>5</v>
      </c>
      <c r="C455" s="1">
        <v>0.34</v>
      </c>
      <c r="D455" s="1">
        <v>100</v>
      </c>
      <c r="E455" s="1">
        <v>0.2</v>
      </c>
      <c r="F455" s="1">
        <v>0.2</v>
      </c>
    </row>
    <row r="456" spans="1:8" x14ac:dyDescent="0.3">
      <c r="A456" s="1" t="s">
        <v>609</v>
      </c>
      <c r="B456" s="1">
        <v>10</v>
      </c>
      <c r="C456" s="1">
        <v>0.34</v>
      </c>
      <c r="D456" s="1">
        <v>100</v>
      </c>
      <c r="E456" s="1">
        <v>1</v>
      </c>
      <c r="F456" s="1">
        <v>1</v>
      </c>
    </row>
    <row r="457" spans="1:8" x14ac:dyDescent="0.3">
      <c r="A457" s="1" t="s">
        <v>610</v>
      </c>
      <c r="B457" s="1">
        <v>5</v>
      </c>
      <c r="C457" s="1">
        <v>0.34</v>
      </c>
      <c r="D457" s="1">
        <v>100</v>
      </c>
      <c r="E457" s="1">
        <v>1</v>
      </c>
      <c r="F457" s="1">
        <v>1</v>
      </c>
    </row>
    <row r="458" spans="1:8" x14ac:dyDescent="0.3">
      <c r="A458" s="1" t="s">
        <v>611</v>
      </c>
      <c r="B458" s="1">
        <v>0.1</v>
      </c>
      <c r="C458" s="1">
        <v>0.34</v>
      </c>
      <c r="D458" s="1">
        <v>100</v>
      </c>
      <c r="E458" s="1">
        <v>1</v>
      </c>
      <c r="F458" s="1">
        <v>1</v>
      </c>
    </row>
    <row r="459" spans="1:8" x14ac:dyDescent="0.3">
      <c r="A459" s="1" t="s">
        <v>612</v>
      </c>
      <c r="B459" s="1">
        <v>50</v>
      </c>
      <c r="C459" s="1">
        <v>0.34</v>
      </c>
      <c r="D459" s="1">
        <v>100</v>
      </c>
      <c r="E459" s="1">
        <v>1</v>
      </c>
      <c r="F459" s="1">
        <v>1</v>
      </c>
    </row>
    <row r="460" spans="1:8" x14ac:dyDescent="0.3">
      <c r="A460" s="1" t="s">
        <v>613</v>
      </c>
      <c r="B460" s="1">
        <v>20</v>
      </c>
      <c r="C460" s="1">
        <v>0.34</v>
      </c>
      <c r="D460" s="1">
        <v>100</v>
      </c>
      <c r="E460" s="1">
        <v>1</v>
      </c>
      <c r="F460" s="1">
        <v>1</v>
      </c>
    </row>
    <row r="461" spans="1:8" x14ac:dyDescent="0.3">
      <c r="A461" s="1" t="s">
        <v>614</v>
      </c>
      <c r="B461" s="1">
        <v>5</v>
      </c>
      <c r="C461" s="1">
        <v>0.34</v>
      </c>
      <c r="D461" s="1">
        <v>100</v>
      </c>
      <c r="E461" s="1">
        <v>1</v>
      </c>
      <c r="F461" s="1">
        <v>1</v>
      </c>
    </row>
    <row r="462" spans="1:8" x14ac:dyDescent="0.3">
      <c r="A462" s="1" t="s">
        <v>615</v>
      </c>
      <c r="B462" s="1">
        <v>25</v>
      </c>
      <c r="C462" s="1">
        <v>0.34</v>
      </c>
      <c r="D462" s="1">
        <v>100</v>
      </c>
      <c r="E462" s="1">
        <v>0.1</v>
      </c>
      <c r="F462" s="1">
        <v>0.1</v>
      </c>
    </row>
    <row r="463" spans="1:8" x14ac:dyDescent="0.3">
      <c r="A463" s="1" t="s">
        <v>616</v>
      </c>
      <c r="B463" s="1">
        <v>5</v>
      </c>
      <c r="C463" s="1">
        <v>0.34</v>
      </c>
      <c r="D463" s="1">
        <v>100</v>
      </c>
      <c r="E463" s="1">
        <v>0.1</v>
      </c>
      <c r="F463" s="1">
        <v>0.1</v>
      </c>
    </row>
    <row r="464" spans="1:8" x14ac:dyDescent="0.3">
      <c r="A464" s="1" t="s">
        <v>617</v>
      </c>
      <c r="B464" s="1">
        <v>1</v>
      </c>
      <c r="C464" s="1">
        <v>0.34</v>
      </c>
      <c r="D464" s="1">
        <v>100</v>
      </c>
      <c r="E464" s="1">
        <v>0.1</v>
      </c>
      <c r="F464" s="1">
        <v>0.1</v>
      </c>
    </row>
    <row r="465" spans="1:8" x14ac:dyDescent="0.3">
      <c r="A465" s="1" t="s">
        <v>618</v>
      </c>
      <c r="B465" s="1">
        <v>0.1</v>
      </c>
      <c r="C465" s="1">
        <v>0.34</v>
      </c>
      <c r="D465" s="1">
        <v>100</v>
      </c>
      <c r="E465" s="1">
        <v>0.1</v>
      </c>
      <c r="F465" s="1">
        <v>0.1</v>
      </c>
    </row>
    <row r="466" spans="1:8" x14ac:dyDescent="0.3">
      <c r="A466" s="1" t="s">
        <v>619</v>
      </c>
      <c r="B466" s="1">
        <v>50</v>
      </c>
      <c r="C466" s="1">
        <v>0.34</v>
      </c>
      <c r="D466" s="1">
        <v>100</v>
      </c>
      <c r="E466" s="1">
        <v>0.2</v>
      </c>
      <c r="F466" s="1">
        <v>0.2</v>
      </c>
    </row>
    <row r="467" spans="1:8" x14ac:dyDescent="0.3">
      <c r="A467" s="1" t="s">
        <v>620</v>
      </c>
      <c r="B467" s="1">
        <v>10</v>
      </c>
      <c r="C467" s="1">
        <v>0.34</v>
      </c>
      <c r="D467" s="1">
        <v>100</v>
      </c>
      <c r="E467" s="1">
        <v>0.2</v>
      </c>
      <c r="F467" s="1">
        <v>0.2</v>
      </c>
    </row>
    <row r="468" spans="1:8" x14ac:dyDescent="0.3">
      <c r="A468" s="1" t="s">
        <v>621</v>
      </c>
      <c r="B468" s="1">
        <v>1</v>
      </c>
      <c r="C468" s="1">
        <v>0.34</v>
      </c>
      <c r="D468" s="1">
        <v>100</v>
      </c>
      <c r="E468" s="1">
        <v>0.2</v>
      </c>
      <c r="F468" s="1">
        <v>0.2</v>
      </c>
    </row>
    <row r="469" spans="1:8" x14ac:dyDescent="0.3">
      <c r="A469" s="1" t="s">
        <v>622</v>
      </c>
      <c r="B469" s="1">
        <v>0.1</v>
      </c>
      <c r="C469" s="1">
        <v>0.34</v>
      </c>
      <c r="D469" s="1">
        <v>100</v>
      </c>
      <c r="E469" s="1">
        <v>0.2</v>
      </c>
      <c r="F469" s="1">
        <v>0.2</v>
      </c>
    </row>
    <row r="470" spans="1:8" x14ac:dyDescent="0.3">
      <c r="A470" s="1" t="s">
        <v>623</v>
      </c>
      <c r="B470" s="1">
        <v>25</v>
      </c>
      <c r="C470" s="1">
        <v>0.34</v>
      </c>
      <c r="D470" s="1">
        <v>100</v>
      </c>
      <c r="E470" s="1">
        <v>1</v>
      </c>
      <c r="F470" s="1">
        <v>1</v>
      </c>
    </row>
    <row r="471" spans="1:8" x14ac:dyDescent="0.3">
      <c r="A471" s="1" t="s">
        <v>624</v>
      </c>
      <c r="B471" s="1">
        <v>5</v>
      </c>
      <c r="C471" s="1">
        <v>0.34</v>
      </c>
      <c r="D471" s="1">
        <v>100</v>
      </c>
      <c r="E471" s="1">
        <v>1</v>
      </c>
      <c r="F471" s="1">
        <v>1</v>
      </c>
    </row>
    <row r="472" spans="1:8" x14ac:dyDescent="0.3">
      <c r="A472" s="1" t="s">
        <v>625</v>
      </c>
      <c r="B472" s="1">
        <v>1</v>
      </c>
      <c r="C472" s="1">
        <v>0.34</v>
      </c>
      <c r="D472" s="1">
        <v>100</v>
      </c>
      <c r="E472" s="1">
        <v>1</v>
      </c>
      <c r="F472" s="1">
        <v>1</v>
      </c>
    </row>
    <row r="473" spans="1:8" x14ac:dyDescent="0.3">
      <c r="A473" s="1" t="s">
        <v>626</v>
      </c>
      <c r="B473" s="1">
        <v>0.1</v>
      </c>
      <c r="C473" s="1">
        <v>0.34</v>
      </c>
      <c r="D473" s="1">
        <v>100</v>
      </c>
      <c r="E473" s="1">
        <v>1</v>
      </c>
      <c r="F473" s="1">
        <v>1</v>
      </c>
    </row>
    <row r="474" spans="1:8" x14ac:dyDescent="0.3">
      <c r="A474" s="1" t="s">
        <v>627</v>
      </c>
      <c r="B474" s="1">
        <v>50</v>
      </c>
      <c r="C474" s="1">
        <v>0.34</v>
      </c>
      <c r="D474" s="1">
        <v>100</v>
      </c>
      <c r="E474" s="1">
        <v>1</v>
      </c>
      <c r="F474" s="1">
        <v>1</v>
      </c>
    </row>
    <row r="475" spans="1:8" x14ac:dyDescent="0.3">
      <c r="A475" s="1" t="s">
        <v>628</v>
      </c>
      <c r="B475" s="1">
        <v>10</v>
      </c>
      <c r="C475" s="1">
        <v>0.34</v>
      </c>
      <c r="D475" s="1">
        <v>100</v>
      </c>
      <c r="E475" s="1">
        <v>1</v>
      </c>
      <c r="F475" s="1">
        <v>1</v>
      </c>
    </row>
    <row r="476" spans="1:8" x14ac:dyDescent="0.3">
      <c r="A476" s="1" t="s">
        <v>629</v>
      </c>
      <c r="B476" s="1">
        <v>1</v>
      </c>
      <c r="C476" s="1">
        <v>0.34</v>
      </c>
      <c r="D476" s="1">
        <v>100</v>
      </c>
      <c r="E476" s="1">
        <v>1</v>
      </c>
      <c r="F476" s="1">
        <v>1</v>
      </c>
    </row>
    <row r="477" spans="1:8" x14ac:dyDescent="0.3">
      <c r="A477" s="9" t="s">
        <v>630</v>
      </c>
      <c r="B477" s="9">
        <v>0.1</v>
      </c>
      <c r="C477" s="9">
        <v>0.34</v>
      </c>
      <c r="D477" s="9">
        <v>100</v>
      </c>
      <c r="E477" s="9">
        <v>1</v>
      </c>
      <c r="F477" s="9">
        <v>1</v>
      </c>
      <c r="G477" s="9"/>
      <c r="H477" s="10"/>
    </row>
    <row r="478" spans="1:8" x14ac:dyDescent="0.3">
      <c r="A478" s="1" t="s">
        <v>631</v>
      </c>
      <c r="B478" s="1">
        <v>50</v>
      </c>
      <c r="C478" s="1">
        <v>27.43</v>
      </c>
      <c r="D478" s="1">
        <v>2000</v>
      </c>
      <c r="E478" s="1">
        <v>0.1</v>
      </c>
      <c r="F478" s="1">
        <v>0.1</v>
      </c>
    </row>
    <row r="479" spans="1:8" x14ac:dyDescent="0.3">
      <c r="A479" s="1" t="s">
        <v>632</v>
      </c>
      <c r="B479" s="1">
        <v>20</v>
      </c>
      <c r="C479" s="1">
        <v>27.43</v>
      </c>
      <c r="D479" s="1">
        <v>2000</v>
      </c>
      <c r="E479" s="1">
        <v>0.1</v>
      </c>
      <c r="F479" s="1">
        <v>0.1</v>
      </c>
    </row>
    <row r="480" spans="1:8" x14ac:dyDescent="0.3">
      <c r="A480" s="1" t="s">
        <v>633</v>
      </c>
      <c r="B480" s="1">
        <v>1</v>
      </c>
      <c r="C480" s="1">
        <v>27.43</v>
      </c>
      <c r="D480" s="1">
        <v>2000</v>
      </c>
      <c r="E480" s="1">
        <v>0.1</v>
      </c>
      <c r="F480" s="1">
        <v>0.1</v>
      </c>
    </row>
    <row r="481" spans="1:6" x14ac:dyDescent="0.3">
      <c r="A481" s="1" t="s">
        <v>634</v>
      </c>
      <c r="B481" s="1">
        <v>200</v>
      </c>
      <c r="C481" s="1">
        <v>27.43</v>
      </c>
      <c r="D481" s="1">
        <v>2000</v>
      </c>
      <c r="E481" s="1">
        <v>0.2</v>
      </c>
      <c r="F481" s="12">
        <v>0.2</v>
      </c>
    </row>
    <row r="482" spans="1:6" x14ac:dyDescent="0.3">
      <c r="A482" s="1" t="s">
        <v>635</v>
      </c>
      <c r="B482" s="1">
        <v>50</v>
      </c>
      <c r="C482" s="1">
        <v>27.43</v>
      </c>
      <c r="D482" s="1">
        <v>2000</v>
      </c>
      <c r="E482" s="1">
        <v>0.2</v>
      </c>
      <c r="F482" s="12">
        <v>0.2</v>
      </c>
    </row>
    <row r="483" spans="1:6" x14ac:dyDescent="0.3">
      <c r="A483" s="1" t="s">
        <v>636</v>
      </c>
      <c r="B483" s="1">
        <v>10</v>
      </c>
      <c r="C483" s="1">
        <v>27.43</v>
      </c>
      <c r="D483" s="1">
        <v>2000</v>
      </c>
      <c r="E483" s="1">
        <v>0.2</v>
      </c>
      <c r="F483" s="12">
        <v>0.2</v>
      </c>
    </row>
    <row r="484" spans="1:6" x14ac:dyDescent="0.3">
      <c r="A484" s="1" t="s">
        <v>637</v>
      </c>
      <c r="B484" s="1">
        <v>50</v>
      </c>
      <c r="C484" s="1">
        <v>27.43</v>
      </c>
      <c r="D484" s="1">
        <v>2000</v>
      </c>
      <c r="E484" s="1">
        <v>1</v>
      </c>
      <c r="F484" s="1">
        <v>1</v>
      </c>
    </row>
    <row r="485" spans="1:6" x14ac:dyDescent="0.3">
      <c r="A485" s="1" t="s">
        <v>638</v>
      </c>
      <c r="B485" s="1">
        <v>20</v>
      </c>
      <c r="C485" s="1">
        <v>27.43</v>
      </c>
      <c r="D485" s="1">
        <v>2000</v>
      </c>
      <c r="E485" s="1">
        <v>1</v>
      </c>
      <c r="F485" s="1">
        <v>1</v>
      </c>
    </row>
    <row r="486" spans="1:6" x14ac:dyDescent="0.3">
      <c r="A486" s="1" t="s">
        <v>639</v>
      </c>
      <c r="B486" s="1">
        <v>1</v>
      </c>
      <c r="C486" s="1">
        <v>27.43</v>
      </c>
      <c r="D486" s="1">
        <v>2000</v>
      </c>
      <c r="E486" s="1">
        <v>1</v>
      </c>
      <c r="F486" s="1">
        <v>1</v>
      </c>
    </row>
    <row r="487" spans="1:6" x14ac:dyDescent="0.3">
      <c r="A487" s="1" t="s">
        <v>640</v>
      </c>
      <c r="B487" s="1">
        <v>200</v>
      </c>
      <c r="C487" s="1">
        <v>27.43</v>
      </c>
      <c r="D487" s="1">
        <v>2000</v>
      </c>
      <c r="E487" s="1">
        <v>1</v>
      </c>
      <c r="F487" s="1">
        <v>1</v>
      </c>
    </row>
    <row r="488" spans="1:6" x14ac:dyDescent="0.3">
      <c r="A488" s="1" t="s">
        <v>641</v>
      </c>
      <c r="B488" s="1">
        <v>50</v>
      </c>
      <c r="C488" s="1">
        <v>27.43</v>
      </c>
      <c r="D488" s="1">
        <v>2000</v>
      </c>
      <c r="E488" s="1">
        <v>1</v>
      </c>
      <c r="F488" s="1">
        <v>1</v>
      </c>
    </row>
    <row r="489" spans="1:6" x14ac:dyDescent="0.3">
      <c r="A489" s="1" t="s">
        <v>642</v>
      </c>
      <c r="B489" s="1">
        <v>10</v>
      </c>
      <c r="C489" s="1">
        <v>27.43</v>
      </c>
      <c r="D489" s="1">
        <v>2000</v>
      </c>
      <c r="E489" s="1">
        <v>1</v>
      </c>
      <c r="F489" s="1">
        <v>1</v>
      </c>
    </row>
    <row r="490" spans="1:6" x14ac:dyDescent="0.3">
      <c r="A490" s="1" t="s">
        <v>643</v>
      </c>
      <c r="B490" s="1">
        <v>100</v>
      </c>
      <c r="C490" s="1">
        <v>27.43</v>
      </c>
      <c r="D490" s="1">
        <v>2000</v>
      </c>
      <c r="E490" s="1">
        <v>0.1</v>
      </c>
      <c r="F490" s="1">
        <v>0.1</v>
      </c>
    </row>
    <row r="491" spans="1:6" x14ac:dyDescent="0.3">
      <c r="A491" s="1" t="s">
        <v>644</v>
      </c>
      <c r="B491" s="1">
        <v>50</v>
      </c>
      <c r="C491" s="1">
        <v>27.43</v>
      </c>
      <c r="D491" s="1">
        <v>2000</v>
      </c>
      <c r="E491" s="1">
        <v>0.1</v>
      </c>
      <c r="F491" s="1">
        <v>0.1</v>
      </c>
    </row>
    <row r="492" spans="1:6" x14ac:dyDescent="0.3">
      <c r="A492" s="1" t="s">
        <v>645</v>
      </c>
      <c r="B492" s="1">
        <v>20</v>
      </c>
      <c r="C492" s="1">
        <v>27.43</v>
      </c>
      <c r="D492" s="1">
        <v>2000</v>
      </c>
      <c r="E492" s="1">
        <v>0.1</v>
      </c>
      <c r="F492" s="1">
        <v>0.1</v>
      </c>
    </row>
    <row r="493" spans="1:6" x14ac:dyDescent="0.3">
      <c r="A493" s="1" t="s">
        <v>646</v>
      </c>
      <c r="B493" s="1">
        <v>20</v>
      </c>
      <c r="C493" s="1">
        <v>27.43</v>
      </c>
      <c r="D493" s="1">
        <v>2000</v>
      </c>
      <c r="E493" s="1">
        <v>0.1</v>
      </c>
      <c r="F493" s="1">
        <v>0.1</v>
      </c>
    </row>
    <row r="494" spans="1:6" x14ac:dyDescent="0.3">
      <c r="A494" s="1" t="s">
        <v>647</v>
      </c>
      <c r="B494" s="1">
        <v>500</v>
      </c>
      <c r="C494" s="1">
        <v>27.43</v>
      </c>
      <c r="D494" s="1">
        <v>2000</v>
      </c>
      <c r="E494" s="1">
        <v>0.2</v>
      </c>
      <c r="F494" s="12">
        <v>0.2</v>
      </c>
    </row>
    <row r="495" spans="1:6" x14ac:dyDescent="0.3">
      <c r="A495" s="1" t="s">
        <v>648</v>
      </c>
      <c r="B495" s="1">
        <v>200</v>
      </c>
      <c r="C495" s="1">
        <v>27.43</v>
      </c>
      <c r="D495" s="1">
        <v>2000</v>
      </c>
      <c r="E495" s="1">
        <v>0.2</v>
      </c>
      <c r="F495" s="12">
        <v>0.2</v>
      </c>
    </row>
    <row r="496" spans="1:6" x14ac:dyDescent="0.3">
      <c r="A496" s="1" t="s">
        <v>649</v>
      </c>
      <c r="B496" s="1">
        <v>50</v>
      </c>
      <c r="C496" s="1">
        <v>27.43</v>
      </c>
      <c r="D496" s="1">
        <v>2000</v>
      </c>
      <c r="E496" s="1">
        <v>0.2</v>
      </c>
      <c r="F496" s="12">
        <v>0.2</v>
      </c>
    </row>
    <row r="497" spans="1:8" x14ac:dyDescent="0.3">
      <c r="A497" s="1" t="s">
        <v>650</v>
      </c>
      <c r="B497" s="1">
        <v>50</v>
      </c>
      <c r="C497" s="1">
        <v>27.43</v>
      </c>
      <c r="D497" s="1">
        <v>2000</v>
      </c>
      <c r="E497" s="1">
        <v>0.2</v>
      </c>
      <c r="F497" s="12">
        <v>0.2</v>
      </c>
    </row>
    <row r="498" spans="1:8" x14ac:dyDescent="0.3">
      <c r="A498" s="1" t="s">
        <v>651</v>
      </c>
      <c r="B498" s="1">
        <v>100</v>
      </c>
      <c r="C498" s="1">
        <v>27.43</v>
      </c>
      <c r="D498" s="1">
        <v>2000</v>
      </c>
      <c r="E498" s="1">
        <v>1</v>
      </c>
      <c r="F498" s="1">
        <v>1</v>
      </c>
    </row>
    <row r="499" spans="1:8" x14ac:dyDescent="0.3">
      <c r="A499" s="1" t="s">
        <v>652</v>
      </c>
      <c r="B499" s="1">
        <v>50</v>
      </c>
      <c r="C499" s="1">
        <v>27.43</v>
      </c>
      <c r="D499" s="1">
        <v>2000</v>
      </c>
      <c r="E499" s="1">
        <v>1</v>
      </c>
      <c r="F499" s="1">
        <v>1</v>
      </c>
    </row>
    <row r="500" spans="1:8" x14ac:dyDescent="0.3">
      <c r="A500" s="1" t="s">
        <v>653</v>
      </c>
      <c r="B500" s="1">
        <v>20</v>
      </c>
      <c r="C500" s="1">
        <v>27.43</v>
      </c>
      <c r="D500" s="1">
        <v>2000</v>
      </c>
      <c r="E500" s="1">
        <v>1</v>
      </c>
      <c r="F500" s="1">
        <v>1</v>
      </c>
    </row>
    <row r="501" spans="1:8" x14ac:dyDescent="0.3">
      <c r="A501" s="1" t="s">
        <v>654</v>
      </c>
      <c r="B501" s="1">
        <v>20</v>
      </c>
      <c r="C501" s="1">
        <v>27.43</v>
      </c>
      <c r="D501" s="1">
        <v>2000</v>
      </c>
      <c r="E501" s="1">
        <v>1</v>
      </c>
      <c r="F501" s="1">
        <v>1</v>
      </c>
    </row>
    <row r="502" spans="1:8" x14ac:dyDescent="0.3">
      <c r="A502" s="1" t="s">
        <v>655</v>
      </c>
      <c r="B502" s="1">
        <v>500</v>
      </c>
      <c r="C502" s="1">
        <v>27.43</v>
      </c>
      <c r="D502" s="1">
        <v>2000</v>
      </c>
      <c r="E502" s="1">
        <v>1</v>
      </c>
      <c r="F502" s="1">
        <v>1</v>
      </c>
    </row>
    <row r="503" spans="1:8" x14ac:dyDescent="0.3">
      <c r="A503" s="1" t="s">
        <v>656</v>
      </c>
      <c r="B503" s="1">
        <v>200</v>
      </c>
      <c r="C503" s="1">
        <v>27.43</v>
      </c>
      <c r="D503" s="1">
        <v>2000</v>
      </c>
      <c r="E503" s="1">
        <v>1</v>
      </c>
      <c r="F503" s="1">
        <v>1</v>
      </c>
    </row>
    <row r="504" spans="1:8" x14ac:dyDescent="0.3">
      <c r="A504" s="1" t="s">
        <v>657</v>
      </c>
      <c r="B504" s="1">
        <v>50</v>
      </c>
      <c r="C504" s="1">
        <v>27.43</v>
      </c>
      <c r="D504" s="1">
        <v>2000</v>
      </c>
      <c r="E504" s="1">
        <v>1</v>
      </c>
      <c r="F504" s="1">
        <v>1</v>
      </c>
    </row>
    <row r="505" spans="1:8" x14ac:dyDescent="0.3">
      <c r="A505" s="9" t="s">
        <v>658</v>
      </c>
      <c r="B505" s="9">
        <v>50</v>
      </c>
      <c r="C505" s="9">
        <v>27.43</v>
      </c>
      <c r="D505" s="9">
        <v>2000</v>
      </c>
      <c r="E505" s="9">
        <v>1</v>
      </c>
      <c r="F505" s="9">
        <v>1</v>
      </c>
      <c r="G505" s="9"/>
      <c r="H505" s="10"/>
    </row>
    <row r="506" spans="1:8" x14ac:dyDescent="0.3">
      <c r="A506" s="1" t="s">
        <v>659</v>
      </c>
      <c r="B506" s="1">
        <v>50</v>
      </c>
      <c r="C506" s="1">
        <v>13.71</v>
      </c>
      <c r="D506" s="1">
        <v>1000</v>
      </c>
      <c r="E506" s="1">
        <v>0.1</v>
      </c>
      <c r="F506" s="1">
        <v>0.1</v>
      </c>
    </row>
    <row r="507" spans="1:8" x14ac:dyDescent="0.3">
      <c r="A507" s="1" t="s">
        <v>660</v>
      </c>
      <c r="B507" s="1">
        <v>20</v>
      </c>
      <c r="C507" s="1">
        <v>13.71</v>
      </c>
      <c r="D507" s="1">
        <v>1000</v>
      </c>
      <c r="E507" s="1">
        <v>0.1</v>
      </c>
      <c r="F507" s="1">
        <v>0.1</v>
      </c>
    </row>
    <row r="508" spans="1:8" x14ac:dyDescent="0.3">
      <c r="A508" s="1" t="s">
        <v>661</v>
      </c>
      <c r="B508" s="1">
        <v>1</v>
      </c>
      <c r="C508" s="1">
        <v>13.71</v>
      </c>
      <c r="D508" s="1">
        <v>1000</v>
      </c>
      <c r="E508" s="1">
        <v>0.1</v>
      </c>
      <c r="F508" s="1">
        <v>0.1</v>
      </c>
    </row>
    <row r="509" spans="1:8" x14ac:dyDescent="0.3">
      <c r="A509" s="1" t="s">
        <v>662</v>
      </c>
      <c r="B509" s="1">
        <v>200</v>
      </c>
      <c r="C509" s="1">
        <v>13.71</v>
      </c>
      <c r="D509" s="1">
        <v>1000</v>
      </c>
      <c r="E509" s="1">
        <v>0.2</v>
      </c>
      <c r="F509" s="12">
        <v>0.2</v>
      </c>
    </row>
    <row r="510" spans="1:8" x14ac:dyDescent="0.3">
      <c r="A510" s="1" t="s">
        <v>663</v>
      </c>
      <c r="B510" s="1">
        <v>50</v>
      </c>
      <c r="C510" s="1">
        <v>13.71</v>
      </c>
      <c r="D510" s="1">
        <v>1000</v>
      </c>
      <c r="E510" s="1">
        <v>0.2</v>
      </c>
      <c r="F510" s="12">
        <v>0.2</v>
      </c>
    </row>
    <row r="511" spans="1:8" x14ac:dyDescent="0.3">
      <c r="A511" s="1" t="s">
        <v>664</v>
      </c>
      <c r="B511" s="1">
        <v>5</v>
      </c>
      <c r="C511" s="1">
        <v>13.71</v>
      </c>
      <c r="D511" s="1">
        <v>1000</v>
      </c>
      <c r="E511" s="1">
        <v>0.2</v>
      </c>
      <c r="F511" s="12">
        <v>0.2</v>
      </c>
    </row>
    <row r="512" spans="1:8" x14ac:dyDescent="0.3">
      <c r="A512" s="1" t="s">
        <v>665</v>
      </c>
      <c r="B512" s="1">
        <v>50</v>
      </c>
      <c r="C512" s="1">
        <v>13.71</v>
      </c>
      <c r="D512" s="1">
        <v>1000</v>
      </c>
      <c r="E512" s="1">
        <v>1</v>
      </c>
      <c r="F512" s="1">
        <v>1</v>
      </c>
    </row>
    <row r="513" spans="1:6" x14ac:dyDescent="0.3">
      <c r="A513" s="1" t="s">
        <v>666</v>
      </c>
      <c r="B513" s="1">
        <v>20</v>
      </c>
      <c r="C513" s="1">
        <v>13.71</v>
      </c>
      <c r="D513" s="1">
        <v>1000</v>
      </c>
      <c r="E513" s="1">
        <v>1</v>
      </c>
      <c r="F513" s="1">
        <v>1</v>
      </c>
    </row>
    <row r="514" spans="1:6" x14ac:dyDescent="0.3">
      <c r="A514" s="1" t="s">
        <v>667</v>
      </c>
      <c r="B514" s="1">
        <v>1</v>
      </c>
      <c r="C514" s="1">
        <v>13.71</v>
      </c>
      <c r="D514" s="1">
        <v>1000</v>
      </c>
      <c r="E514" s="1">
        <v>1</v>
      </c>
      <c r="F514" s="1">
        <v>1</v>
      </c>
    </row>
    <row r="515" spans="1:6" x14ac:dyDescent="0.3">
      <c r="A515" s="1" t="s">
        <v>668</v>
      </c>
      <c r="B515" s="1">
        <v>200</v>
      </c>
      <c r="C515" s="1">
        <v>13.71</v>
      </c>
      <c r="D515" s="1">
        <v>1000</v>
      </c>
      <c r="E515" s="1">
        <v>1</v>
      </c>
      <c r="F515" s="1">
        <v>1</v>
      </c>
    </row>
    <row r="516" spans="1:6" x14ac:dyDescent="0.3">
      <c r="A516" s="1" t="s">
        <v>669</v>
      </c>
      <c r="B516" s="1">
        <v>50</v>
      </c>
      <c r="C516" s="1">
        <v>13.71</v>
      </c>
      <c r="D516" s="1">
        <v>1000</v>
      </c>
      <c r="E516" s="1">
        <v>1</v>
      </c>
      <c r="F516" s="1">
        <v>1</v>
      </c>
    </row>
    <row r="517" spans="1:6" x14ac:dyDescent="0.3">
      <c r="A517" s="1" t="s">
        <v>670</v>
      </c>
      <c r="B517" s="1">
        <v>5</v>
      </c>
      <c r="C517" s="1">
        <v>13.71</v>
      </c>
      <c r="D517" s="1">
        <v>1000</v>
      </c>
      <c r="E517" s="1">
        <v>1</v>
      </c>
      <c r="F517" s="1">
        <v>1</v>
      </c>
    </row>
    <row r="518" spans="1:6" x14ac:dyDescent="0.3">
      <c r="A518" s="1" t="s">
        <v>671</v>
      </c>
      <c r="B518" s="1">
        <v>100</v>
      </c>
      <c r="C518" s="1">
        <v>13.71</v>
      </c>
      <c r="D518" s="1">
        <v>1000</v>
      </c>
      <c r="E518" s="1">
        <v>0.1</v>
      </c>
      <c r="F518" s="1">
        <v>0.1</v>
      </c>
    </row>
    <row r="519" spans="1:6" x14ac:dyDescent="0.3">
      <c r="A519" s="1" t="s">
        <v>672</v>
      </c>
      <c r="B519" s="1">
        <v>50</v>
      </c>
      <c r="C519" s="1">
        <v>13.71</v>
      </c>
      <c r="D519" s="1">
        <v>1000</v>
      </c>
      <c r="E519" s="1">
        <v>0.1</v>
      </c>
      <c r="F519" s="1">
        <v>0.1</v>
      </c>
    </row>
    <row r="520" spans="1:6" x14ac:dyDescent="0.3">
      <c r="A520" s="1" t="s">
        <v>673</v>
      </c>
      <c r="B520" s="1">
        <v>20</v>
      </c>
      <c r="C520" s="1">
        <v>13.71</v>
      </c>
      <c r="D520" s="1">
        <v>1000</v>
      </c>
      <c r="E520" s="1">
        <v>0.1</v>
      </c>
      <c r="F520" s="1">
        <v>0.1</v>
      </c>
    </row>
    <row r="521" spans="1:6" x14ac:dyDescent="0.3">
      <c r="A521" s="1" t="s">
        <v>674</v>
      </c>
      <c r="B521" s="1">
        <v>20</v>
      </c>
      <c r="C521" s="1">
        <v>13.71</v>
      </c>
      <c r="D521" s="1">
        <v>1000</v>
      </c>
      <c r="E521" s="1">
        <v>0.1</v>
      </c>
      <c r="F521" s="1">
        <v>0.1</v>
      </c>
    </row>
    <row r="522" spans="1:6" x14ac:dyDescent="0.3">
      <c r="A522" s="1" t="s">
        <v>675</v>
      </c>
      <c r="B522" s="1">
        <v>500</v>
      </c>
      <c r="C522" s="1">
        <v>13.71</v>
      </c>
      <c r="D522" s="1">
        <v>1000</v>
      </c>
      <c r="E522" s="1">
        <v>0.2</v>
      </c>
      <c r="F522" s="12">
        <v>0.2</v>
      </c>
    </row>
    <row r="523" spans="1:6" x14ac:dyDescent="0.3">
      <c r="A523" s="1" t="s">
        <v>676</v>
      </c>
      <c r="B523" s="1">
        <v>200</v>
      </c>
      <c r="C523" s="1">
        <v>13.71</v>
      </c>
      <c r="D523" s="1">
        <v>1000</v>
      </c>
      <c r="E523" s="1">
        <v>0.2</v>
      </c>
      <c r="F523" s="12">
        <v>0.2</v>
      </c>
    </row>
    <row r="524" spans="1:6" x14ac:dyDescent="0.3">
      <c r="A524" s="1" t="s">
        <v>677</v>
      </c>
      <c r="B524" s="1">
        <v>50</v>
      </c>
      <c r="C524" s="1">
        <v>13.71</v>
      </c>
      <c r="D524" s="1">
        <v>1000</v>
      </c>
      <c r="E524" s="1">
        <v>0.2</v>
      </c>
      <c r="F524" s="12">
        <v>0.2</v>
      </c>
    </row>
    <row r="525" spans="1:6" x14ac:dyDescent="0.3">
      <c r="A525" s="1" t="s">
        <v>678</v>
      </c>
      <c r="B525" s="1">
        <v>50</v>
      </c>
      <c r="C525" s="1">
        <v>13.71</v>
      </c>
      <c r="D525" s="1">
        <v>1000</v>
      </c>
      <c r="E525" s="1">
        <v>0.2</v>
      </c>
      <c r="F525" s="12">
        <v>0.2</v>
      </c>
    </row>
    <row r="526" spans="1:6" x14ac:dyDescent="0.3">
      <c r="A526" s="1" t="s">
        <v>679</v>
      </c>
      <c r="B526" s="1">
        <v>100</v>
      </c>
      <c r="C526" s="1">
        <v>13.71</v>
      </c>
      <c r="D526" s="1">
        <v>1000</v>
      </c>
      <c r="E526" s="1">
        <v>1</v>
      </c>
      <c r="F526" s="1">
        <v>1</v>
      </c>
    </row>
    <row r="527" spans="1:6" x14ac:dyDescent="0.3">
      <c r="A527" s="1" t="s">
        <v>680</v>
      </c>
      <c r="B527" s="1">
        <v>50</v>
      </c>
      <c r="C527" s="1">
        <v>13.71</v>
      </c>
      <c r="D527" s="1">
        <v>1000</v>
      </c>
      <c r="E527" s="1">
        <v>1</v>
      </c>
      <c r="F527" s="1">
        <v>1</v>
      </c>
    </row>
    <row r="528" spans="1:6" x14ac:dyDescent="0.3">
      <c r="A528" s="1" t="s">
        <v>681</v>
      </c>
      <c r="B528" s="1">
        <v>20</v>
      </c>
      <c r="C528" s="1">
        <v>13.71</v>
      </c>
      <c r="D528" s="1">
        <v>1000</v>
      </c>
      <c r="E528" s="1">
        <v>1</v>
      </c>
      <c r="F528" s="1">
        <v>1</v>
      </c>
    </row>
    <row r="529" spans="1:8" x14ac:dyDescent="0.3">
      <c r="A529" s="1" t="s">
        <v>682</v>
      </c>
      <c r="B529" s="1">
        <v>20</v>
      </c>
      <c r="C529" s="1">
        <v>13.71</v>
      </c>
      <c r="D529" s="1">
        <v>1000</v>
      </c>
      <c r="E529" s="1">
        <v>1</v>
      </c>
      <c r="F529" s="1">
        <v>1</v>
      </c>
    </row>
    <row r="530" spans="1:8" x14ac:dyDescent="0.3">
      <c r="A530" s="1" t="s">
        <v>683</v>
      </c>
      <c r="B530" s="1">
        <v>500</v>
      </c>
      <c r="C530" s="1">
        <v>13.71</v>
      </c>
      <c r="D530" s="1">
        <v>1000</v>
      </c>
      <c r="E530" s="1">
        <v>1</v>
      </c>
      <c r="F530" s="1">
        <v>1</v>
      </c>
    </row>
    <row r="531" spans="1:8" x14ac:dyDescent="0.3">
      <c r="A531" s="1" t="s">
        <v>684</v>
      </c>
      <c r="B531" s="1">
        <v>200</v>
      </c>
      <c r="C531" s="1">
        <v>13.71</v>
      </c>
      <c r="D531" s="1">
        <v>1000</v>
      </c>
      <c r="E531" s="1">
        <v>1</v>
      </c>
      <c r="F531" s="1">
        <v>1</v>
      </c>
    </row>
    <row r="532" spans="1:8" x14ac:dyDescent="0.3">
      <c r="A532" s="1" t="s">
        <v>685</v>
      </c>
      <c r="B532" s="1">
        <v>50</v>
      </c>
      <c r="C532" s="1">
        <v>13.71</v>
      </c>
      <c r="D532" s="1">
        <v>1000</v>
      </c>
      <c r="E532" s="1">
        <v>1</v>
      </c>
      <c r="F532" s="1">
        <v>1</v>
      </c>
    </row>
    <row r="533" spans="1:8" x14ac:dyDescent="0.3">
      <c r="A533" s="9" t="s">
        <v>686</v>
      </c>
      <c r="B533" s="9">
        <v>50</v>
      </c>
      <c r="C533" s="9">
        <v>13.71</v>
      </c>
      <c r="D533" s="9">
        <v>1000</v>
      </c>
      <c r="E533" s="9">
        <v>1</v>
      </c>
      <c r="F533" s="9">
        <v>1</v>
      </c>
      <c r="G533" s="9"/>
      <c r="H533" s="10"/>
    </row>
    <row r="534" spans="1:8" x14ac:dyDescent="0.3">
      <c r="A534" s="1" t="s">
        <v>687</v>
      </c>
      <c r="B534" s="1">
        <v>25</v>
      </c>
      <c r="C534" s="1">
        <v>141.43</v>
      </c>
      <c r="D534" s="1">
        <v>5000</v>
      </c>
      <c r="E534" s="1">
        <v>0.1</v>
      </c>
      <c r="F534" s="1">
        <v>1</v>
      </c>
    </row>
    <row r="535" spans="1:8" x14ac:dyDescent="0.3">
      <c r="A535" s="1" t="s">
        <v>688</v>
      </c>
      <c r="B535" s="1">
        <v>5</v>
      </c>
      <c r="C535" s="1">
        <v>141.43</v>
      </c>
      <c r="D535" s="1">
        <v>5000</v>
      </c>
      <c r="E535" s="1">
        <v>0.1</v>
      </c>
      <c r="F535" s="1">
        <v>1</v>
      </c>
    </row>
    <row r="536" spans="1:8" x14ac:dyDescent="0.3">
      <c r="A536" s="1" t="s">
        <v>689</v>
      </c>
      <c r="B536" s="1">
        <v>0.5</v>
      </c>
      <c r="C536" s="1">
        <v>141.43</v>
      </c>
      <c r="D536" s="1">
        <v>5000</v>
      </c>
      <c r="E536" s="1">
        <v>0.1</v>
      </c>
      <c r="F536" s="1">
        <v>1</v>
      </c>
    </row>
    <row r="537" spans="1:8" x14ac:dyDescent="0.3">
      <c r="A537" s="1" t="s">
        <v>690</v>
      </c>
      <c r="B537" s="1">
        <v>50</v>
      </c>
      <c r="C537" s="1">
        <v>141.43</v>
      </c>
      <c r="D537" s="1">
        <v>5000</v>
      </c>
      <c r="E537" s="1">
        <v>0.2</v>
      </c>
      <c r="F537" s="1">
        <v>1</v>
      </c>
    </row>
    <row r="538" spans="1:8" x14ac:dyDescent="0.3">
      <c r="A538" s="1" t="s">
        <v>691</v>
      </c>
      <c r="B538" s="1">
        <v>5</v>
      </c>
      <c r="C538" s="1">
        <v>141.43</v>
      </c>
      <c r="D538" s="1">
        <v>5000</v>
      </c>
      <c r="E538" s="1">
        <v>0.2</v>
      </c>
      <c r="F538" s="1">
        <v>1</v>
      </c>
    </row>
    <row r="539" spans="1:8" x14ac:dyDescent="0.3">
      <c r="A539" s="1" t="s">
        <v>692</v>
      </c>
      <c r="B539" s="1">
        <v>0.5</v>
      </c>
      <c r="C539" s="1">
        <v>141.43</v>
      </c>
      <c r="D539" s="1">
        <v>5000</v>
      </c>
      <c r="E539" s="1">
        <v>0.2</v>
      </c>
      <c r="F539" s="1">
        <v>1</v>
      </c>
    </row>
    <row r="540" spans="1:8" x14ac:dyDescent="0.3">
      <c r="A540" s="1" t="s">
        <v>693</v>
      </c>
      <c r="B540" s="1">
        <v>25</v>
      </c>
      <c r="C540" s="1">
        <v>141.43</v>
      </c>
      <c r="D540" s="1">
        <v>5000</v>
      </c>
      <c r="E540" s="1">
        <v>1</v>
      </c>
      <c r="F540" s="1">
        <v>1</v>
      </c>
    </row>
    <row r="541" spans="1:8" x14ac:dyDescent="0.3">
      <c r="A541" s="1" t="s">
        <v>694</v>
      </c>
      <c r="B541" s="1">
        <v>5</v>
      </c>
      <c r="C541" s="1">
        <v>141.43</v>
      </c>
      <c r="D541" s="1">
        <v>5000</v>
      </c>
      <c r="E541" s="1">
        <v>1</v>
      </c>
      <c r="F541" s="1">
        <v>1</v>
      </c>
    </row>
    <row r="542" spans="1:8" x14ac:dyDescent="0.3">
      <c r="A542" s="1" t="s">
        <v>695</v>
      </c>
      <c r="B542" s="1">
        <v>0.5</v>
      </c>
      <c r="C542" s="1">
        <v>141.43</v>
      </c>
      <c r="D542" s="1">
        <v>5000</v>
      </c>
      <c r="E542" s="1">
        <v>1</v>
      </c>
      <c r="F542" s="1">
        <v>1</v>
      </c>
    </row>
    <row r="543" spans="1:8" x14ac:dyDescent="0.3">
      <c r="A543" s="1" t="s">
        <v>696</v>
      </c>
      <c r="B543" s="1">
        <v>50</v>
      </c>
      <c r="C543" s="1">
        <v>141.43</v>
      </c>
      <c r="D543" s="1">
        <v>5000</v>
      </c>
      <c r="E543" s="1">
        <v>1</v>
      </c>
      <c r="F543" s="1">
        <v>1</v>
      </c>
    </row>
    <row r="544" spans="1:8" x14ac:dyDescent="0.3">
      <c r="A544" s="1" t="s">
        <v>697</v>
      </c>
      <c r="B544" s="1">
        <v>5</v>
      </c>
      <c r="C544" s="1">
        <v>141.43</v>
      </c>
      <c r="D544" s="1">
        <v>5000</v>
      </c>
      <c r="E544" s="1">
        <v>1</v>
      </c>
      <c r="F544" s="1">
        <v>1</v>
      </c>
    </row>
    <row r="545" spans="1:6" x14ac:dyDescent="0.3">
      <c r="A545" s="1" t="s">
        <v>698</v>
      </c>
      <c r="B545" s="1">
        <v>0.5</v>
      </c>
      <c r="C545" s="1">
        <v>141.43</v>
      </c>
      <c r="D545" s="1">
        <v>5000</v>
      </c>
      <c r="E545" s="1">
        <v>1</v>
      </c>
      <c r="F545" s="1">
        <v>1</v>
      </c>
    </row>
    <row r="546" spans="1:6" x14ac:dyDescent="0.3">
      <c r="A546" s="1" t="s">
        <v>699</v>
      </c>
      <c r="B546" s="1">
        <v>250</v>
      </c>
      <c r="C546" s="1">
        <v>141.43</v>
      </c>
      <c r="D546" s="1">
        <v>5000</v>
      </c>
      <c r="E546" s="1">
        <v>0.1</v>
      </c>
      <c r="F546" s="1">
        <v>1</v>
      </c>
    </row>
    <row r="547" spans="1:6" x14ac:dyDescent="0.3">
      <c r="A547" s="1" t="s">
        <v>700</v>
      </c>
      <c r="B547" s="1">
        <v>50</v>
      </c>
      <c r="C547" s="1">
        <v>141.43</v>
      </c>
      <c r="D547" s="1">
        <v>5000</v>
      </c>
      <c r="E547" s="1">
        <v>0.1</v>
      </c>
      <c r="F547" s="1">
        <v>1</v>
      </c>
    </row>
    <row r="548" spans="1:6" x14ac:dyDescent="0.3">
      <c r="A548" s="1" t="s">
        <v>701</v>
      </c>
      <c r="B548" s="1">
        <v>10</v>
      </c>
      <c r="C548" s="1">
        <v>141.43</v>
      </c>
      <c r="D548" s="1">
        <v>5000</v>
      </c>
      <c r="E548" s="1">
        <v>0.1</v>
      </c>
      <c r="F548" s="1">
        <v>1</v>
      </c>
    </row>
    <row r="549" spans="1:6" x14ac:dyDescent="0.3">
      <c r="A549" s="1" t="s">
        <v>702</v>
      </c>
      <c r="B549" s="1">
        <v>0.1</v>
      </c>
      <c r="C549" s="1">
        <v>141.43</v>
      </c>
      <c r="D549" s="1">
        <v>5000</v>
      </c>
      <c r="E549" s="1">
        <v>0.1</v>
      </c>
      <c r="F549" s="1">
        <v>1</v>
      </c>
    </row>
    <row r="550" spans="1:6" x14ac:dyDescent="0.3">
      <c r="A550" s="1" t="s">
        <v>703</v>
      </c>
      <c r="B550" s="1">
        <v>500</v>
      </c>
      <c r="C550" s="1">
        <v>141.43</v>
      </c>
      <c r="D550" s="1">
        <v>5000</v>
      </c>
      <c r="E550" s="1">
        <v>0.2</v>
      </c>
      <c r="F550" s="1">
        <v>1</v>
      </c>
    </row>
    <row r="551" spans="1:6" x14ac:dyDescent="0.3">
      <c r="A551" s="1" t="s">
        <v>704</v>
      </c>
      <c r="B551" s="1">
        <v>100</v>
      </c>
      <c r="C551" s="1">
        <v>141.43</v>
      </c>
      <c r="D551" s="1">
        <v>5000</v>
      </c>
      <c r="E551" s="1">
        <v>0.2</v>
      </c>
      <c r="F551" s="1">
        <v>1</v>
      </c>
    </row>
    <row r="552" spans="1:6" x14ac:dyDescent="0.3">
      <c r="A552" s="1" t="s">
        <v>705</v>
      </c>
      <c r="B552" s="1">
        <v>25</v>
      </c>
      <c r="C552" s="1">
        <v>141.43</v>
      </c>
      <c r="D552" s="1">
        <v>5000</v>
      </c>
      <c r="E552" s="1">
        <v>0.2</v>
      </c>
      <c r="F552" s="1">
        <v>1</v>
      </c>
    </row>
    <row r="553" spans="1:6" x14ac:dyDescent="0.3">
      <c r="A553" s="1" t="s">
        <v>706</v>
      </c>
      <c r="B553" s="1">
        <v>0.1</v>
      </c>
      <c r="C553" s="1">
        <v>141.43</v>
      </c>
      <c r="D553" s="1">
        <v>5000</v>
      </c>
      <c r="E553" s="1">
        <v>0.2</v>
      </c>
      <c r="F553" s="1">
        <v>1</v>
      </c>
    </row>
    <row r="554" spans="1:6" x14ac:dyDescent="0.3">
      <c r="A554" s="1" t="s">
        <v>707</v>
      </c>
      <c r="B554" s="1">
        <v>250</v>
      </c>
      <c r="C554" s="1">
        <v>141.43</v>
      </c>
      <c r="D554" s="1">
        <v>5000</v>
      </c>
      <c r="E554" s="1">
        <v>1</v>
      </c>
      <c r="F554" s="1">
        <v>1</v>
      </c>
    </row>
    <row r="555" spans="1:6" x14ac:dyDescent="0.3">
      <c r="A555" s="1" t="s">
        <v>708</v>
      </c>
      <c r="B555" s="1">
        <v>50</v>
      </c>
      <c r="C555" s="1">
        <v>141.43</v>
      </c>
      <c r="D555" s="1">
        <v>5000</v>
      </c>
      <c r="E555" s="1">
        <v>1</v>
      </c>
      <c r="F555" s="1">
        <v>1</v>
      </c>
    </row>
    <row r="556" spans="1:6" x14ac:dyDescent="0.3">
      <c r="A556" s="1" t="s">
        <v>709</v>
      </c>
      <c r="B556" s="1">
        <v>10</v>
      </c>
      <c r="C556" s="1">
        <v>141.43</v>
      </c>
      <c r="D556" s="1">
        <v>5000</v>
      </c>
      <c r="E556" s="1">
        <v>1</v>
      </c>
      <c r="F556" s="1">
        <v>1</v>
      </c>
    </row>
    <row r="557" spans="1:6" x14ac:dyDescent="0.3">
      <c r="A557" s="1" t="s">
        <v>710</v>
      </c>
      <c r="B557" s="1">
        <v>10</v>
      </c>
      <c r="C557" s="1">
        <v>141.43</v>
      </c>
      <c r="D557" s="1">
        <v>5000</v>
      </c>
      <c r="E557" s="1">
        <v>1</v>
      </c>
      <c r="F557" s="1">
        <v>1</v>
      </c>
    </row>
    <row r="558" spans="1:6" x14ac:dyDescent="0.3">
      <c r="A558" s="1" t="s">
        <v>711</v>
      </c>
      <c r="B558" s="1">
        <v>500</v>
      </c>
      <c r="C558" s="1">
        <v>141.43</v>
      </c>
      <c r="D558" s="1">
        <v>5000</v>
      </c>
      <c r="E558" s="1">
        <v>1</v>
      </c>
      <c r="F558" s="1">
        <v>1</v>
      </c>
    </row>
    <row r="559" spans="1:6" x14ac:dyDescent="0.3">
      <c r="A559" s="1" t="s">
        <v>712</v>
      </c>
      <c r="B559" s="1">
        <v>100</v>
      </c>
      <c r="C559" s="1">
        <v>141.43</v>
      </c>
      <c r="D559" s="1">
        <v>5000</v>
      </c>
      <c r="E559" s="1">
        <v>1</v>
      </c>
      <c r="F559" s="1">
        <v>1</v>
      </c>
    </row>
    <row r="560" spans="1:6" x14ac:dyDescent="0.3">
      <c r="A560" s="1" t="s">
        <v>713</v>
      </c>
      <c r="B560" s="1">
        <v>25</v>
      </c>
      <c r="C560" s="1">
        <v>141.43</v>
      </c>
      <c r="D560" s="1">
        <v>5000</v>
      </c>
      <c r="E560" s="1">
        <v>1</v>
      </c>
      <c r="F560" s="1">
        <v>1</v>
      </c>
    </row>
    <row r="561" spans="1:8" x14ac:dyDescent="0.3">
      <c r="A561" s="9" t="s">
        <v>714</v>
      </c>
      <c r="B561" s="9">
        <v>25</v>
      </c>
      <c r="C561" s="9">
        <v>141.43</v>
      </c>
      <c r="D561" s="9">
        <v>5000</v>
      </c>
      <c r="E561" s="9">
        <v>1</v>
      </c>
      <c r="F561" s="9">
        <v>1</v>
      </c>
      <c r="G561" s="9"/>
      <c r="H561" s="10"/>
    </row>
    <row r="562" spans="1:8" x14ac:dyDescent="0.3">
      <c r="A562" s="1" t="s">
        <v>715</v>
      </c>
      <c r="B562" s="1" t="s">
        <v>323</v>
      </c>
      <c r="C562" s="1" t="s">
        <v>323</v>
      </c>
      <c r="D562" s="1" t="s">
        <v>323</v>
      </c>
      <c r="E562" s="1" t="s">
        <v>323</v>
      </c>
      <c r="F562" s="1" t="s">
        <v>323</v>
      </c>
      <c r="H562" s="7" t="s">
        <v>716</v>
      </c>
    </row>
    <row r="563" spans="1:8" x14ac:dyDescent="0.3">
      <c r="A563" s="1" t="s">
        <v>717</v>
      </c>
      <c r="B563" s="1" t="s">
        <v>323</v>
      </c>
      <c r="C563" s="1" t="s">
        <v>323</v>
      </c>
      <c r="D563" s="1" t="s">
        <v>323</v>
      </c>
      <c r="E563" s="1" t="s">
        <v>323</v>
      </c>
      <c r="F563" s="1" t="s">
        <v>323</v>
      </c>
      <c r="H563" s="7" t="s">
        <v>716</v>
      </c>
    </row>
    <row r="564" spans="1:8" x14ac:dyDescent="0.3">
      <c r="A564" s="1" t="s">
        <v>718</v>
      </c>
      <c r="B564" s="1" t="s">
        <v>323</v>
      </c>
      <c r="C564" s="1" t="s">
        <v>323</v>
      </c>
      <c r="D564" s="1" t="s">
        <v>323</v>
      </c>
      <c r="E564" s="1" t="s">
        <v>323</v>
      </c>
      <c r="F564" s="1" t="s">
        <v>323</v>
      </c>
      <c r="H564" s="7" t="s">
        <v>716</v>
      </c>
    </row>
    <row r="565" spans="1:8" x14ac:dyDescent="0.3">
      <c r="A565" s="1" t="s">
        <v>719</v>
      </c>
      <c r="B565" s="1">
        <v>5</v>
      </c>
      <c r="C565" s="1">
        <v>1.71</v>
      </c>
      <c r="D565" s="1">
        <v>250</v>
      </c>
      <c r="E565" s="1">
        <v>0.2</v>
      </c>
      <c r="F565" s="1">
        <v>0.2</v>
      </c>
    </row>
    <row r="566" spans="1:8" x14ac:dyDescent="0.3">
      <c r="A566" s="1" t="s">
        <v>720</v>
      </c>
      <c r="B566" s="1">
        <v>1</v>
      </c>
      <c r="C566" s="1">
        <v>1.71</v>
      </c>
      <c r="D566" s="1">
        <v>250</v>
      </c>
      <c r="E566" s="1">
        <v>0.2</v>
      </c>
      <c r="F566" s="1">
        <v>0.2</v>
      </c>
    </row>
    <row r="567" spans="1:8" x14ac:dyDescent="0.3">
      <c r="A567" s="1" t="s">
        <v>721</v>
      </c>
      <c r="B567" s="1">
        <v>0.01</v>
      </c>
      <c r="C567" s="1">
        <v>1.71</v>
      </c>
      <c r="D567" s="1">
        <v>250</v>
      </c>
      <c r="E567" s="1">
        <v>0.2</v>
      </c>
      <c r="F567" s="1">
        <v>0.2</v>
      </c>
    </row>
    <row r="568" spans="1:8" x14ac:dyDescent="0.3">
      <c r="A568" s="1" t="s">
        <v>722</v>
      </c>
      <c r="B568" s="1" t="s">
        <v>323</v>
      </c>
      <c r="C568" s="1" t="s">
        <v>323</v>
      </c>
      <c r="D568" s="1" t="s">
        <v>323</v>
      </c>
      <c r="E568" s="1" t="s">
        <v>323</v>
      </c>
      <c r="F568" s="1" t="s">
        <v>323</v>
      </c>
      <c r="H568" s="7" t="s">
        <v>716</v>
      </c>
    </row>
    <row r="569" spans="1:8" x14ac:dyDescent="0.3">
      <c r="A569" s="1" t="s">
        <v>723</v>
      </c>
      <c r="B569" s="1" t="s">
        <v>323</v>
      </c>
      <c r="C569" s="1" t="s">
        <v>323</v>
      </c>
      <c r="D569" s="1" t="s">
        <v>323</v>
      </c>
      <c r="E569" s="1" t="s">
        <v>323</v>
      </c>
      <c r="F569" s="1" t="s">
        <v>323</v>
      </c>
      <c r="H569" s="7" t="s">
        <v>716</v>
      </c>
    </row>
    <row r="570" spans="1:8" x14ac:dyDescent="0.3">
      <c r="A570" s="1" t="s">
        <v>724</v>
      </c>
      <c r="B570" s="1" t="s">
        <v>323</v>
      </c>
      <c r="C570" s="1" t="s">
        <v>323</v>
      </c>
      <c r="D570" s="1" t="s">
        <v>323</v>
      </c>
      <c r="E570" s="1" t="s">
        <v>323</v>
      </c>
      <c r="F570" s="1" t="s">
        <v>323</v>
      </c>
      <c r="H570" s="7" t="s">
        <v>716</v>
      </c>
    </row>
    <row r="571" spans="1:8" x14ac:dyDescent="0.3">
      <c r="A571" s="1" t="s">
        <v>725</v>
      </c>
      <c r="B571" s="1">
        <v>5</v>
      </c>
      <c r="C571" s="1">
        <v>1.71</v>
      </c>
      <c r="D571" s="1">
        <v>250</v>
      </c>
      <c r="E571" s="1">
        <v>1</v>
      </c>
      <c r="F571" s="1">
        <v>1</v>
      </c>
    </row>
    <row r="572" spans="1:8" x14ac:dyDescent="0.3">
      <c r="A572" s="1" t="s">
        <v>726</v>
      </c>
      <c r="B572" s="1">
        <v>1</v>
      </c>
      <c r="C572" s="1">
        <v>1.71</v>
      </c>
      <c r="D572" s="1">
        <v>250</v>
      </c>
      <c r="E572" s="1">
        <v>1</v>
      </c>
      <c r="F572" s="1">
        <v>1</v>
      </c>
    </row>
    <row r="573" spans="1:8" x14ac:dyDescent="0.3">
      <c r="A573" s="1" t="s">
        <v>727</v>
      </c>
      <c r="B573" s="1">
        <v>0.01</v>
      </c>
      <c r="C573" s="1">
        <v>1.71</v>
      </c>
      <c r="D573" s="1">
        <v>250</v>
      </c>
      <c r="E573" s="1">
        <v>1</v>
      </c>
      <c r="F573" s="1">
        <v>1</v>
      </c>
    </row>
    <row r="574" spans="1:8" x14ac:dyDescent="0.3">
      <c r="A574" s="1" t="s">
        <v>728</v>
      </c>
      <c r="B574" s="1" t="s">
        <v>323</v>
      </c>
      <c r="C574" s="1" t="s">
        <v>323</v>
      </c>
      <c r="D574" s="1" t="s">
        <v>323</v>
      </c>
      <c r="E574" s="1" t="s">
        <v>323</v>
      </c>
      <c r="F574" s="1" t="s">
        <v>323</v>
      </c>
      <c r="H574" s="7" t="s">
        <v>716</v>
      </c>
    </row>
    <row r="575" spans="1:8" x14ac:dyDescent="0.3">
      <c r="A575" s="1" t="s">
        <v>729</v>
      </c>
      <c r="B575" s="1" t="s">
        <v>323</v>
      </c>
      <c r="C575" s="1" t="s">
        <v>323</v>
      </c>
      <c r="D575" s="1" t="s">
        <v>323</v>
      </c>
      <c r="E575" s="1" t="s">
        <v>323</v>
      </c>
      <c r="F575" s="1" t="s">
        <v>323</v>
      </c>
      <c r="H575" s="7" t="s">
        <v>716</v>
      </c>
    </row>
    <row r="576" spans="1:8" x14ac:dyDescent="0.3">
      <c r="A576" s="1" t="s">
        <v>730</v>
      </c>
      <c r="B576" s="1" t="s">
        <v>323</v>
      </c>
      <c r="C576" s="1" t="s">
        <v>323</v>
      </c>
      <c r="D576" s="1" t="s">
        <v>323</v>
      </c>
      <c r="E576" s="1" t="s">
        <v>323</v>
      </c>
      <c r="F576" s="1" t="s">
        <v>323</v>
      </c>
      <c r="H576" s="7" t="s">
        <v>716</v>
      </c>
    </row>
    <row r="577" spans="1:8" x14ac:dyDescent="0.3">
      <c r="A577" s="1" t="s">
        <v>731</v>
      </c>
      <c r="B577" s="1" t="s">
        <v>323</v>
      </c>
      <c r="C577" s="1" t="s">
        <v>323</v>
      </c>
      <c r="D577" s="1" t="s">
        <v>323</v>
      </c>
      <c r="E577" s="1" t="s">
        <v>323</v>
      </c>
      <c r="F577" s="1" t="s">
        <v>323</v>
      </c>
      <c r="H577" s="7" t="s">
        <v>716</v>
      </c>
    </row>
    <row r="578" spans="1:8" x14ac:dyDescent="0.3">
      <c r="A578" s="1" t="s">
        <v>732</v>
      </c>
      <c r="B578" s="1">
        <v>50</v>
      </c>
      <c r="C578" s="1">
        <v>1.71</v>
      </c>
      <c r="D578" s="1">
        <v>250</v>
      </c>
      <c r="E578" s="1">
        <v>0.2</v>
      </c>
      <c r="F578" s="1">
        <v>0.2</v>
      </c>
    </row>
    <row r="579" spans="1:8" x14ac:dyDescent="0.3">
      <c r="A579" s="1" t="s">
        <v>733</v>
      </c>
      <c r="B579" s="1">
        <v>20</v>
      </c>
      <c r="C579" s="1">
        <v>1.71</v>
      </c>
      <c r="D579" s="1">
        <v>250</v>
      </c>
      <c r="E579" s="1">
        <v>0.2</v>
      </c>
      <c r="F579" s="1">
        <v>0.2</v>
      </c>
    </row>
    <row r="580" spans="1:8" x14ac:dyDescent="0.3">
      <c r="A580" s="1" t="s">
        <v>734</v>
      </c>
      <c r="B580" s="1">
        <v>5</v>
      </c>
      <c r="C580" s="1">
        <v>1.71</v>
      </c>
      <c r="D580" s="1">
        <v>250</v>
      </c>
      <c r="E580" s="1">
        <v>0.2</v>
      </c>
      <c r="F580" s="1">
        <v>0.2</v>
      </c>
    </row>
    <row r="581" spans="1:8" x14ac:dyDescent="0.3">
      <c r="A581" s="1" t="s">
        <v>735</v>
      </c>
      <c r="B581" s="1">
        <v>0.1</v>
      </c>
      <c r="C581" s="1">
        <v>1.71</v>
      </c>
      <c r="D581" s="1">
        <v>250</v>
      </c>
      <c r="E581" s="1">
        <v>0.2</v>
      </c>
      <c r="F581" s="1">
        <v>0.2</v>
      </c>
    </row>
    <row r="582" spans="1:8" x14ac:dyDescent="0.3">
      <c r="A582" s="1" t="s">
        <v>736</v>
      </c>
      <c r="B582" s="1" t="s">
        <v>323</v>
      </c>
      <c r="C582" s="1" t="s">
        <v>323</v>
      </c>
      <c r="D582" s="1" t="s">
        <v>323</v>
      </c>
      <c r="E582" s="1" t="s">
        <v>323</v>
      </c>
      <c r="F582" s="1" t="s">
        <v>323</v>
      </c>
      <c r="H582" s="7" t="s">
        <v>716</v>
      </c>
    </row>
    <row r="583" spans="1:8" x14ac:dyDescent="0.3">
      <c r="A583" s="1" t="s">
        <v>737</v>
      </c>
      <c r="B583" s="1" t="s">
        <v>323</v>
      </c>
      <c r="C583" s="1" t="s">
        <v>323</v>
      </c>
      <c r="D583" s="1" t="s">
        <v>323</v>
      </c>
      <c r="E583" s="1" t="s">
        <v>323</v>
      </c>
      <c r="F583" s="1" t="s">
        <v>323</v>
      </c>
      <c r="H583" s="7" t="s">
        <v>716</v>
      </c>
    </row>
    <row r="584" spans="1:8" x14ac:dyDescent="0.3">
      <c r="A584" s="1" t="s">
        <v>738</v>
      </c>
      <c r="B584" s="1" t="s">
        <v>323</v>
      </c>
      <c r="C584" s="1" t="s">
        <v>323</v>
      </c>
      <c r="D584" s="1" t="s">
        <v>323</v>
      </c>
      <c r="E584" s="1" t="s">
        <v>323</v>
      </c>
      <c r="F584" s="1" t="s">
        <v>323</v>
      </c>
      <c r="H584" s="7" t="s">
        <v>716</v>
      </c>
    </row>
    <row r="585" spans="1:8" x14ac:dyDescent="0.3">
      <c r="A585" s="1" t="s">
        <v>739</v>
      </c>
      <c r="B585" s="1" t="s">
        <v>323</v>
      </c>
      <c r="C585" s="1" t="s">
        <v>323</v>
      </c>
      <c r="D585" s="1" t="s">
        <v>323</v>
      </c>
      <c r="E585" s="1" t="s">
        <v>323</v>
      </c>
      <c r="F585" s="1" t="s">
        <v>323</v>
      </c>
      <c r="H585" s="7" t="s">
        <v>716</v>
      </c>
    </row>
    <row r="586" spans="1:8" x14ac:dyDescent="0.3">
      <c r="A586" s="1" t="s">
        <v>740</v>
      </c>
      <c r="B586" s="1">
        <v>50</v>
      </c>
      <c r="C586" s="1">
        <v>1.71</v>
      </c>
      <c r="D586" s="1">
        <v>250</v>
      </c>
      <c r="E586" s="1">
        <v>1</v>
      </c>
      <c r="F586" s="1">
        <v>1</v>
      </c>
    </row>
    <row r="587" spans="1:8" x14ac:dyDescent="0.3">
      <c r="A587" s="1" t="s">
        <v>741</v>
      </c>
      <c r="B587" s="1">
        <v>20</v>
      </c>
      <c r="C587" s="1">
        <v>1.71</v>
      </c>
      <c r="D587" s="1">
        <v>250</v>
      </c>
      <c r="E587" s="1">
        <v>1</v>
      </c>
      <c r="F587" s="1">
        <v>1</v>
      </c>
    </row>
    <row r="588" spans="1:8" x14ac:dyDescent="0.3">
      <c r="A588" s="1" t="s">
        <v>742</v>
      </c>
      <c r="B588" s="1">
        <v>5</v>
      </c>
      <c r="C588" s="1">
        <v>1.71</v>
      </c>
      <c r="D588" s="1">
        <v>250</v>
      </c>
      <c r="E588" s="1">
        <v>1</v>
      </c>
      <c r="F588" s="1">
        <v>1</v>
      </c>
    </row>
    <row r="589" spans="1:8" x14ac:dyDescent="0.3">
      <c r="A589" s="9" t="s">
        <v>743</v>
      </c>
      <c r="B589" s="9">
        <v>0.1</v>
      </c>
      <c r="C589" s="9">
        <v>1.71</v>
      </c>
      <c r="D589" s="9">
        <v>250</v>
      </c>
      <c r="E589" s="9">
        <v>1</v>
      </c>
      <c r="F589" s="9">
        <v>1</v>
      </c>
      <c r="G589" s="9"/>
      <c r="H589" s="10"/>
    </row>
    <row r="590" spans="1:8" x14ac:dyDescent="0.3">
      <c r="A590" s="1" t="s">
        <v>744</v>
      </c>
      <c r="B590" s="1">
        <v>10</v>
      </c>
      <c r="C590" s="1">
        <v>2.83</v>
      </c>
      <c r="D590" s="1">
        <v>100</v>
      </c>
      <c r="E590" s="1">
        <v>0.1</v>
      </c>
      <c r="F590" s="1">
        <v>0.1</v>
      </c>
    </row>
    <row r="591" spans="1:8" x14ac:dyDescent="0.3">
      <c r="A591" s="1" t="s">
        <v>745</v>
      </c>
      <c r="B591" s="1">
        <v>3</v>
      </c>
      <c r="C591" s="1">
        <v>2.83</v>
      </c>
      <c r="D591" s="1">
        <v>100</v>
      </c>
      <c r="E591" s="1">
        <v>0.1</v>
      </c>
      <c r="F591" s="1">
        <v>0.1</v>
      </c>
    </row>
    <row r="592" spans="1:8" x14ac:dyDescent="0.3">
      <c r="A592" s="1" t="s">
        <v>746</v>
      </c>
      <c r="B592" s="1">
        <v>1</v>
      </c>
      <c r="C592" s="1">
        <v>2.83</v>
      </c>
      <c r="D592" s="1">
        <v>100</v>
      </c>
      <c r="E592" s="1">
        <v>0.1</v>
      </c>
      <c r="F592" s="1">
        <v>0.1</v>
      </c>
    </row>
    <row r="593" spans="1:8" x14ac:dyDescent="0.3">
      <c r="A593" s="1" t="s">
        <v>747</v>
      </c>
      <c r="B593" s="1">
        <v>20</v>
      </c>
      <c r="C593" s="1">
        <v>2.83</v>
      </c>
      <c r="D593" s="1">
        <v>100</v>
      </c>
      <c r="E593" s="1">
        <v>0.2</v>
      </c>
      <c r="F593" s="1">
        <v>0.2</v>
      </c>
    </row>
    <row r="594" spans="1:8" x14ac:dyDescent="0.3">
      <c r="A594" s="1" t="s">
        <v>748</v>
      </c>
      <c r="B594" s="1">
        <v>5</v>
      </c>
      <c r="C594" s="1">
        <v>2.83</v>
      </c>
      <c r="D594" s="1">
        <v>100</v>
      </c>
      <c r="E594" s="1">
        <v>0.2</v>
      </c>
      <c r="F594" s="1">
        <v>0.2</v>
      </c>
    </row>
    <row r="595" spans="1:8" x14ac:dyDescent="0.3">
      <c r="A595" s="1" t="s">
        <v>749</v>
      </c>
      <c r="B595" s="1">
        <v>3</v>
      </c>
      <c r="C595" s="1">
        <v>2.83</v>
      </c>
      <c r="D595" s="1">
        <v>100</v>
      </c>
      <c r="E595" s="1">
        <v>0.2</v>
      </c>
      <c r="F595" s="1">
        <v>0.2</v>
      </c>
    </row>
    <row r="596" spans="1:8" x14ac:dyDescent="0.3">
      <c r="A596" s="1" t="s">
        <v>750</v>
      </c>
      <c r="B596" s="1">
        <v>10</v>
      </c>
      <c r="C596" s="1">
        <v>2.83</v>
      </c>
      <c r="D596" s="1">
        <v>100</v>
      </c>
      <c r="E596" s="1">
        <v>1</v>
      </c>
      <c r="F596" s="1">
        <v>1</v>
      </c>
    </row>
    <row r="597" spans="1:8" x14ac:dyDescent="0.3">
      <c r="A597" s="1" t="s">
        <v>751</v>
      </c>
      <c r="B597" s="1">
        <v>3</v>
      </c>
      <c r="C597" s="1">
        <v>2.83</v>
      </c>
      <c r="D597" s="1">
        <v>100</v>
      </c>
      <c r="E597" s="1">
        <v>1</v>
      </c>
      <c r="F597" s="1">
        <v>1</v>
      </c>
    </row>
    <row r="598" spans="1:8" x14ac:dyDescent="0.3">
      <c r="A598" s="1" t="s">
        <v>752</v>
      </c>
      <c r="B598" s="1">
        <v>1</v>
      </c>
      <c r="C598" s="1">
        <v>2.83</v>
      </c>
      <c r="D598" s="1">
        <v>100</v>
      </c>
      <c r="E598" s="1">
        <v>1</v>
      </c>
      <c r="F598" s="1">
        <v>1</v>
      </c>
    </row>
    <row r="599" spans="1:8" x14ac:dyDescent="0.3">
      <c r="A599" s="1" t="s">
        <v>753</v>
      </c>
      <c r="B599" s="1">
        <v>20</v>
      </c>
      <c r="C599" s="1">
        <v>2.83</v>
      </c>
      <c r="D599" s="1">
        <v>100</v>
      </c>
      <c r="E599" s="1">
        <v>1</v>
      </c>
      <c r="F599" s="1">
        <v>1</v>
      </c>
    </row>
    <row r="600" spans="1:8" x14ac:dyDescent="0.3">
      <c r="A600" s="1" t="s">
        <v>754</v>
      </c>
      <c r="B600" s="1">
        <v>5</v>
      </c>
      <c r="C600" s="1">
        <v>2.83</v>
      </c>
      <c r="D600" s="1">
        <v>100</v>
      </c>
      <c r="E600" s="1">
        <v>1</v>
      </c>
      <c r="F600" s="1">
        <v>1</v>
      </c>
    </row>
    <row r="601" spans="1:8" x14ac:dyDescent="0.3">
      <c r="A601" s="1" t="s">
        <v>755</v>
      </c>
      <c r="B601" s="1">
        <v>3</v>
      </c>
      <c r="C601" s="1">
        <v>2.83</v>
      </c>
      <c r="D601" s="1">
        <v>100</v>
      </c>
      <c r="E601" s="1">
        <v>1</v>
      </c>
      <c r="F601" s="1">
        <v>1</v>
      </c>
    </row>
    <row r="602" spans="1:8" x14ac:dyDescent="0.3">
      <c r="A602" s="1" t="s">
        <v>756</v>
      </c>
      <c r="B602" s="1" t="s">
        <v>323</v>
      </c>
      <c r="C602" s="1" t="s">
        <v>323</v>
      </c>
      <c r="D602" s="1" t="s">
        <v>323</v>
      </c>
      <c r="E602" s="1" t="s">
        <v>323</v>
      </c>
      <c r="F602" s="1" t="s">
        <v>323</v>
      </c>
      <c r="H602" s="7" t="s">
        <v>757</v>
      </c>
    </row>
    <row r="603" spans="1:8" x14ac:dyDescent="0.3">
      <c r="A603" s="1" t="s">
        <v>758</v>
      </c>
      <c r="B603" s="1" t="s">
        <v>323</v>
      </c>
      <c r="C603" s="1" t="s">
        <v>323</v>
      </c>
      <c r="D603" s="1" t="s">
        <v>323</v>
      </c>
      <c r="E603" s="1" t="s">
        <v>323</v>
      </c>
      <c r="F603" s="1" t="s">
        <v>323</v>
      </c>
      <c r="H603" s="7" t="s">
        <v>757</v>
      </c>
    </row>
    <row r="604" spans="1:8" x14ac:dyDescent="0.3">
      <c r="A604" s="1" t="s">
        <v>759</v>
      </c>
      <c r="B604" s="1" t="s">
        <v>323</v>
      </c>
      <c r="C604" s="1" t="s">
        <v>323</v>
      </c>
      <c r="D604" s="1" t="s">
        <v>323</v>
      </c>
      <c r="E604" s="1" t="s">
        <v>323</v>
      </c>
      <c r="F604" s="1" t="s">
        <v>323</v>
      </c>
      <c r="H604" s="7" t="s">
        <v>757</v>
      </c>
    </row>
    <row r="605" spans="1:8" x14ac:dyDescent="0.3">
      <c r="A605" s="1" t="s">
        <v>760</v>
      </c>
      <c r="B605" s="1" t="s">
        <v>323</v>
      </c>
      <c r="C605" s="1" t="s">
        <v>323</v>
      </c>
      <c r="D605" s="1" t="s">
        <v>323</v>
      </c>
      <c r="E605" s="1" t="s">
        <v>323</v>
      </c>
      <c r="F605" s="1" t="s">
        <v>323</v>
      </c>
      <c r="H605" s="7" t="s">
        <v>757</v>
      </c>
    </row>
    <row r="606" spans="1:8" x14ac:dyDescent="0.3">
      <c r="A606" s="1" t="s">
        <v>761</v>
      </c>
      <c r="B606" s="1" t="s">
        <v>323</v>
      </c>
      <c r="C606" s="1" t="s">
        <v>323</v>
      </c>
      <c r="D606" s="1" t="s">
        <v>323</v>
      </c>
      <c r="E606" s="1" t="s">
        <v>323</v>
      </c>
      <c r="F606" s="1" t="s">
        <v>323</v>
      </c>
      <c r="H606" s="7" t="s">
        <v>757</v>
      </c>
    </row>
    <row r="607" spans="1:8" x14ac:dyDescent="0.3">
      <c r="A607" s="1" t="s">
        <v>762</v>
      </c>
      <c r="B607" s="1" t="s">
        <v>323</v>
      </c>
      <c r="C607" s="1" t="s">
        <v>323</v>
      </c>
      <c r="D607" s="1" t="s">
        <v>323</v>
      </c>
      <c r="E607" s="1" t="s">
        <v>323</v>
      </c>
      <c r="F607" s="1" t="s">
        <v>323</v>
      </c>
      <c r="H607" s="7" t="s">
        <v>757</v>
      </c>
    </row>
    <row r="608" spans="1:8" x14ac:dyDescent="0.3">
      <c r="A608" s="1" t="s">
        <v>763</v>
      </c>
      <c r="B608" s="1" t="s">
        <v>323</v>
      </c>
      <c r="C608" s="1" t="s">
        <v>323</v>
      </c>
      <c r="D608" s="1" t="s">
        <v>323</v>
      </c>
      <c r="E608" s="1" t="s">
        <v>323</v>
      </c>
      <c r="F608" s="1" t="s">
        <v>323</v>
      </c>
      <c r="H608" s="7" t="s">
        <v>757</v>
      </c>
    </row>
    <row r="609" spans="1:8" x14ac:dyDescent="0.3">
      <c r="A609" s="1" t="s">
        <v>764</v>
      </c>
      <c r="B609" s="1" t="s">
        <v>323</v>
      </c>
      <c r="C609" s="1" t="s">
        <v>323</v>
      </c>
      <c r="D609" s="1" t="s">
        <v>323</v>
      </c>
      <c r="E609" s="1" t="s">
        <v>323</v>
      </c>
      <c r="F609" s="1" t="s">
        <v>323</v>
      </c>
      <c r="H609" s="7" t="s">
        <v>757</v>
      </c>
    </row>
    <row r="610" spans="1:8" x14ac:dyDescent="0.3">
      <c r="A610" s="1" t="s">
        <v>765</v>
      </c>
      <c r="B610" s="1" t="s">
        <v>323</v>
      </c>
      <c r="C610" s="1" t="s">
        <v>323</v>
      </c>
      <c r="D610" s="1" t="s">
        <v>323</v>
      </c>
      <c r="E610" s="1" t="s">
        <v>323</v>
      </c>
      <c r="F610" s="1" t="s">
        <v>323</v>
      </c>
      <c r="H610" s="7" t="s">
        <v>757</v>
      </c>
    </row>
    <row r="611" spans="1:8" x14ac:dyDescent="0.3">
      <c r="A611" s="1" t="s">
        <v>766</v>
      </c>
      <c r="B611" s="1" t="s">
        <v>323</v>
      </c>
      <c r="C611" s="1" t="s">
        <v>323</v>
      </c>
      <c r="D611" s="1" t="s">
        <v>323</v>
      </c>
      <c r="E611" s="1" t="s">
        <v>323</v>
      </c>
      <c r="F611" s="1" t="s">
        <v>323</v>
      </c>
      <c r="H611" s="7" t="s">
        <v>757</v>
      </c>
    </row>
    <row r="612" spans="1:8" x14ac:dyDescent="0.3">
      <c r="A612" s="1" t="s">
        <v>767</v>
      </c>
      <c r="B612" s="1" t="s">
        <v>323</v>
      </c>
      <c r="C612" s="1" t="s">
        <v>323</v>
      </c>
      <c r="D612" s="1" t="s">
        <v>323</v>
      </c>
      <c r="E612" s="1" t="s">
        <v>323</v>
      </c>
      <c r="F612" s="1" t="s">
        <v>323</v>
      </c>
      <c r="H612" s="7" t="s">
        <v>757</v>
      </c>
    </row>
    <row r="613" spans="1:8" x14ac:dyDescent="0.3">
      <c r="A613" s="1" t="s">
        <v>768</v>
      </c>
      <c r="B613" s="1" t="s">
        <v>323</v>
      </c>
      <c r="C613" s="1" t="s">
        <v>323</v>
      </c>
      <c r="D613" s="1" t="s">
        <v>323</v>
      </c>
      <c r="E613" s="1" t="s">
        <v>323</v>
      </c>
      <c r="F613" s="1" t="s">
        <v>323</v>
      </c>
      <c r="H613" s="7" t="s">
        <v>757</v>
      </c>
    </row>
    <row r="614" spans="1:8" x14ac:dyDescent="0.3">
      <c r="A614" s="1" t="s">
        <v>769</v>
      </c>
      <c r="B614" s="1" t="s">
        <v>323</v>
      </c>
      <c r="C614" s="1" t="s">
        <v>323</v>
      </c>
      <c r="D614" s="1" t="s">
        <v>323</v>
      </c>
      <c r="E614" s="1" t="s">
        <v>323</v>
      </c>
      <c r="F614" s="1" t="s">
        <v>323</v>
      </c>
      <c r="H614" s="7" t="s">
        <v>757</v>
      </c>
    </row>
    <row r="615" spans="1:8" x14ac:dyDescent="0.3">
      <c r="A615" s="1" t="s">
        <v>770</v>
      </c>
      <c r="B615" s="1" t="s">
        <v>323</v>
      </c>
      <c r="C615" s="1" t="s">
        <v>323</v>
      </c>
      <c r="D615" s="1" t="s">
        <v>323</v>
      </c>
      <c r="E615" s="1" t="s">
        <v>323</v>
      </c>
      <c r="F615" s="1" t="s">
        <v>323</v>
      </c>
      <c r="H615" s="7" t="s">
        <v>757</v>
      </c>
    </row>
    <row r="616" spans="1:8" x14ac:dyDescent="0.3">
      <c r="A616" s="1" t="s">
        <v>771</v>
      </c>
      <c r="B616" s="1" t="s">
        <v>323</v>
      </c>
      <c r="C616" s="1" t="s">
        <v>323</v>
      </c>
      <c r="D616" s="1" t="s">
        <v>323</v>
      </c>
      <c r="E616" s="1" t="s">
        <v>323</v>
      </c>
      <c r="F616" s="1" t="s">
        <v>323</v>
      </c>
      <c r="H616" s="7" t="s">
        <v>757</v>
      </c>
    </row>
    <row r="617" spans="1:8" x14ac:dyDescent="0.3">
      <c r="A617" s="9" t="s">
        <v>772</v>
      </c>
      <c r="B617" s="9" t="s">
        <v>323</v>
      </c>
      <c r="C617" s="9" t="s">
        <v>323</v>
      </c>
      <c r="D617" s="9" t="s">
        <v>323</v>
      </c>
      <c r="E617" s="9" t="s">
        <v>323</v>
      </c>
      <c r="F617" s="9" t="s">
        <v>323</v>
      </c>
      <c r="G617" s="9"/>
      <c r="H617" s="10" t="s">
        <v>757</v>
      </c>
    </row>
    <row r="618" spans="1:8" x14ac:dyDescent="0.3">
      <c r="A618" s="1" t="s">
        <v>773</v>
      </c>
      <c r="B618" s="1">
        <v>10</v>
      </c>
      <c r="C618" s="1">
        <v>2.83</v>
      </c>
      <c r="D618" s="1">
        <v>100</v>
      </c>
      <c r="E618" s="1">
        <v>0.1</v>
      </c>
      <c r="F618" s="1">
        <v>0.1</v>
      </c>
    </row>
    <row r="619" spans="1:8" x14ac:dyDescent="0.3">
      <c r="A619" s="1" t="s">
        <v>774</v>
      </c>
      <c r="B619" s="1">
        <v>3</v>
      </c>
      <c r="C619" s="1">
        <v>2.83</v>
      </c>
      <c r="D619" s="1">
        <v>100</v>
      </c>
      <c r="E619" s="1">
        <v>0.1</v>
      </c>
      <c r="F619" s="1">
        <v>0.1</v>
      </c>
    </row>
    <row r="620" spans="1:8" x14ac:dyDescent="0.3">
      <c r="A620" s="1" t="s">
        <v>775</v>
      </c>
      <c r="B620" s="1">
        <v>1</v>
      </c>
      <c r="C620" s="1">
        <v>2.83</v>
      </c>
      <c r="D620" s="1">
        <v>100</v>
      </c>
      <c r="E620" s="1">
        <v>0.1</v>
      </c>
      <c r="F620" s="1">
        <v>0.1</v>
      </c>
    </row>
    <row r="621" spans="1:8" x14ac:dyDescent="0.3">
      <c r="A621" s="1" t="s">
        <v>776</v>
      </c>
      <c r="B621" s="1" t="s">
        <v>323</v>
      </c>
      <c r="C621" s="1" t="s">
        <v>323</v>
      </c>
      <c r="D621" s="1" t="s">
        <v>323</v>
      </c>
      <c r="E621" s="1" t="s">
        <v>323</v>
      </c>
      <c r="F621" s="1" t="s">
        <v>323</v>
      </c>
      <c r="H621" s="7" t="s">
        <v>777</v>
      </c>
    </row>
    <row r="622" spans="1:8" x14ac:dyDescent="0.3">
      <c r="A622" s="1" t="s">
        <v>778</v>
      </c>
      <c r="B622" s="1" t="s">
        <v>323</v>
      </c>
      <c r="C622" s="1" t="s">
        <v>323</v>
      </c>
      <c r="D622" s="1" t="s">
        <v>323</v>
      </c>
      <c r="E622" s="1" t="s">
        <v>323</v>
      </c>
      <c r="F622" s="1" t="s">
        <v>323</v>
      </c>
      <c r="H622" s="7" t="s">
        <v>777</v>
      </c>
    </row>
    <row r="623" spans="1:8" x14ac:dyDescent="0.3">
      <c r="A623" s="1" t="s">
        <v>779</v>
      </c>
      <c r="B623" s="1" t="s">
        <v>323</v>
      </c>
      <c r="C623" s="1" t="s">
        <v>323</v>
      </c>
      <c r="D623" s="1" t="s">
        <v>323</v>
      </c>
      <c r="E623" s="1" t="s">
        <v>323</v>
      </c>
      <c r="F623" s="1" t="s">
        <v>323</v>
      </c>
      <c r="H623" s="7" t="s">
        <v>777</v>
      </c>
    </row>
    <row r="624" spans="1:8" x14ac:dyDescent="0.3">
      <c r="A624" s="1" t="s">
        <v>780</v>
      </c>
      <c r="B624" s="1">
        <v>10</v>
      </c>
      <c r="C624" s="1">
        <v>2.83</v>
      </c>
      <c r="D624" s="1">
        <v>100</v>
      </c>
      <c r="E624" s="1">
        <v>1</v>
      </c>
      <c r="F624" s="1">
        <v>1</v>
      </c>
    </row>
    <row r="625" spans="1:8" x14ac:dyDescent="0.3">
      <c r="A625" s="1" t="s">
        <v>781</v>
      </c>
      <c r="B625" s="1">
        <v>3</v>
      </c>
      <c r="C625" s="1">
        <v>2.83</v>
      </c>
      <c r="D625" s="1">
        <v>100</v>
      </c>
      <c r="E625" s="1">
        <v>1</v>
      </c>
      <c r="F625" s="1">
        <v>1</v>
      </c>
    </row>
    <row r="626" spans="1:8" x14ac:dyDescent="0.3">
      <c r="A626" s="1" t="s">
        <v>782</v>
      </c>
      <c r="B626" s="1">
        <v>1</v>
      </c>
      <c r="C626" s="1">
        <v>2.83</v>
      </c>
      <c r="D626" s="1">
        <v>100</v>
      </c>
      <c r="E626" s="1">
        <v>1</v>
      </c>
      <c r="F626" s="1">
        <v>1</v>
      </c>
    </row>
    <row r="627" spans="1:8" x14ac:dyDescent="0.3">
      <c r="A627" s="1" t="s">
        <v>783</v>
      </c>
      <c r="B627" s="1" t="s">
        <v>323</v>
      </c>
      <c r="C627" s="1" t="s">
        <v>323</v>
      </c>
      <c r="D627" s="1" t="s">
        <v>323</v>
      </c>
      <c r="E627" s="1" t="s">
        <v>323</v>
      </c>
      <c r="F627" s="1" t="s">
        <v>323</v>
      </c>
      <c r="H627" s="7" t="s">
        <v>777</v>
      </c>
    </row>
    <row r="628" spans="1:8" x14ac:dyDescent="0.3">
      <c r="A628" s="1" t="s">
        <v>784</v>
      </c>
      <c r="B628" s="1" t="s">
        <v>323</v>
      </c>
      <c r="C628" s="1" t="s">
        <v>323</v>
      </c>
      <c r="D628" s="1" t="s">
        <v>323</v>
      </c>
      <c r="E628" s="1" t="s">
        <v>323</v>
      </c>
      <c r="F628" s="1" t="s">
        <v>323</v>
      </c>
      <c r="H628" s="7" t="s">
        <v>777</v>
      </c>
    </row>
    <row r="629" spans="1:8" x14ac:dyDescent="0.3">
      <c r="A629" s="1" t="s">
        <v>785</v>
      </c>
      <c r="B629" s="1" t="s">
        <v>323</v>
      </c>
      <c r="C629" s="1" t="s">
        <v>323</v>
      </c>
      <c r="D629" s="1" t="s">
        <v>323</v>
      </c>
      <c r="E629" s="1" t="s">
        <v>323</v>
      </c>
      <c r="F629" s="1" t="s">
        <v>323</v>
      </c>
      <c r="H629" s="7" t="s">
        <v>777</v>
      </c>
    </row>
    <row r="630" spans="1:8" x14ac:dyDescent="0.3">
      <c r="A630" s="1" t="s">
        <v>786</v>
      </c>
      <c r="B630" s="1" t="s">
        <v>323</v>
      </c>
      <c r="C630" s="1" t="s">
        <v>323</v>
      </c>
      <c r="D630" s="1" t="s">
        <v>323</v>
      </c>
      <c r="E630" s="1" t="s">
        <v>323</v>
      </c>
      <c r="F630" s="1" t="s">
        <v>323</v>
      </c>
      <c r="H630" s="7" t="s">
        <v>757</v>
      </c>
    </row>
    <row r="631" spans="1:8" x14ac:dyDescent="0.3">
      <c r="A631" s="1" t="s">
        <v>787</v>
      </c>
      <c r="B631" s="1" t="s">
        <v>323</v>
      </c>
      <c r="C631" s="1" t="s">
        <v>323</v>
      </c>
      <c r="D631" s="1" t="s">
        <v>323</v>
      </c>
      <c r="E631" s="1" t="s">
        <v>323</v>
      </c>
      <c r="F631" s="1" t="s">
        <v>323</v>
      </c>
      <c r="H631" s="7" t="s">
        <v>757</v>
      </c>
    </row>
    <row r="632" spans="1:8" x14ac:dyDescent="0.3">
      <c r="A632" s="1" t="s">
        <v>788</v>
      </c>
      <c r="B632" s="1" t="s">
        <v>323</v>
      </c>
      <c r="C632" s="1" t="s">
        <v>323</v>
      </c>
      <c r="D632" s="1" t="s">
        <v>323</v>
      </c>
      <c r="E632" s="1" t="s">
        <v>323</v>
      </c>
      <c r="F632" s="1" t="s">
        <v>323</v>
      </c>
      <c r="H632" s="7" t="s">
        <v>757</v>
      </c>
    </row>
    <row r="633" spans="1:8" x14ac:dyDescent="0.3">
      <c r="A633" s="1" t="s">
        <v>789</v>
      </c>
      <c r="B633" s="1" t="s">
        <v>323</v>
      </c>
      <c r="C633" s="1" t="s">
        <v>323</v>
      </c>
      <c r="D633" s="1" t="s">
        <v>323</v>
      </c>
      <c r="E633" s="1" t="s">
        <v>323</v>
      </c>
      <c r="F633" s="1" t="s">
        <v>323</v>
      </c>
      <c r="H633" s="7" t="s">
        <v>757</v>
      </c>
    </row>
    <row r="634" spans="1:8" x14ac:dyDescent="0.3">
      <c r="A634" s="1" t="s">
        <v>790</v>
      </c>
      <c r="B634" s="1" t="s">
        <v>323</v>
      </c>
      <c r="C634" s="1" t="s">
        <v>323</v>
      </c>
      <c r="D634" s="1" t="s">
        <v>323</v>
      </c>
      <c r="E634" s="1" t="s">
        <v>323</v>
      </c>
      <c r="F634" s="1" t="s">
        <v>323</v>
      </c>
      <c r="H634" s="7" t="s">
        <v>757</v>
      </c>
    </row>
    <row r="635" spans="1:8" x14ac:dyDescent="0.3">
      <c r="A635" s="1" t="s">
        <v>791</v>
      </c>
      <c r="B635" s="1" t="s">
        <v>323</v>
      </c>
      <c r="C635" s="1" t="s">
        <v>323</v>
      </c>
      <c r="D635" s="1" t="s">
        <v>323</v>
      </c>
      <c r="E635" s="1" t="s">
        <v>323</v>
      </c>
      <c r="F635" s="1" t="s">
        <v>323</v>
      </c>
      <c r="H635" s="7" t="s">
        <v>757</v>
      </c>
    </row>
    <row r="636" spans="1:8" x14ac:dyDescent="0.3">
      <c r="A636" s="1" t="s">
        <v>792</v>
      </c>
      <c r="B636" s="1" t="s">
        <v>323</v>
      </c>
      <c r="C636" s="1" t="s">
        <v>323</v>
      </c>
      <c r="D636" s="1" t="s">
        <v>323</v>
      </c>
      <c r="E636" s="1" t="s">
        <v>323</v>
      </c>
      <c r="F636" s="1" t="s">
        <v>323</v>
      </c>
      <c r="H636" s="7" t="s">
        <v>757</v>
      </c>
    </row>
    <row r="637" spans="1:8" x14ac:dyDescent="0.3">
      <c r="A637" s="1" t="s">
        <v>793</v>
      </c>
      <c r="B637" s="1" t="s">
        <v>323</v>
      </c>
      <c r="C637" s="1" t="s">
        <v>323</v>
      </c>
      <c r="D637" s="1" t="s">
        <v>323</v>
      </c>
      <c r="E637" s="1" t="s">
        <v>323</v>
      </c>
      <c r="F637" s="1" t="s">
        <v>323</v>
      </c>
      <c r="H637" s="7" t="s">
        <v>757</v>
      </c>
    </row>
    <row r="638" spans="1:8" x14ac:dyDescent="0.3">
      <c r="A638" s="1" t="s">
        <v>794</v>
      </c>
      <c r="B638" s="1" t="s">
        <v>323</v>
      </c>
      <c r="C638" s="1" t="s">
        <v>323</v>
      </c>
      <c r="D638" s="1" t="s">
        <v>323</v>
      </c>
      <c r="E638" s="1" t="s">
        <v>323</v>
      </c>
      <c r="F638" s="1" t="s">
        <v>323</v>
      </c>
      <c r="H638" s="7" t="s">
        <v>757</v>
      </c>
    </row>
    <row r="639" spans="1:8" x14ac:dyDescent="0.3">
      <c r="A639" s="1" t="s">
        <v>795</v>
      </c>
      <c r="B639" s="1" t="s">
        <v>323</v>
      </c>
      <c r="C639" s="1" t="s">
        <v>323</v>
      </c>
      <c r="D639" s="1" t="s">
        <v>323</v>
      </c>
      <c r="E639" s="1" t="s">
        <v>323</v>
      </c>
      <c r="F639" s="1" t="s">
        <v>323</v>
      </c>
      <c r="H639" s="7" t="s">
        <v>757</v>
      </c>
    </row>
    <row r="640" spans="1:8" x14ac:dyDescent="0.3">
      <c r="A640" s="1" t="s">
        <v>796</v>
      </c>
      <c r="B640" s="1" t="s">
        <v>323</v>
      </c>
      <c r="C640" s="1" t="s">
        <v>323</v>
      </c>
      <c r="D640" s="1" t="s">
        <v>323</v>
      </c>
      <c r="E640" s="1" t="s">
        <v>323</v>
      </c>
      <c r="F640" s="1" t="s">
        <v>323</v>
      </c>
      <c r="H640" s="7" t="s">
        <v>757</v>
      </c>
    </row>
    <row r="641" spans="1:8" x14ac:dyDescent="0.3">
      <c r="A641" s="1" t="s">
        <v>797</v>
      </c>
      <c r="B641" s="1" t="s">
        <v>323</v>
      </c>
      <c r="C641" s="1" t="s">
        <v>323</v>
      </c>
      <c r="D641" s="1" t="s">
        <v>323</v>
      </c>
      <c r="E641" s="1" t="s">
        <v>323</v>
      </c>
      <c r="F641" s="1" t="s">
        <v>323</v>
      </c>
      <c r="H641" s="7" t="s">
        <v>757</v>
      </c>
    </row>
    <row r="642" spans="1:8" x14ac:dyDescent="0.3">
      <c r="A642" s="1" t="s">
        <v>798</v>
      </c>
      <c r="B642" s="1" t="s">
        <v>323</v>
      </c>
      <c r="C642" s="1" t="s">
        <v>323</v>
      </c>
      <c r="D642" s="1" t="s">
        <v>323</v>
      </c>
      <c r="E642" s="1" t="s">
        <v>323</v>
      </c>
      <c r="F642" s="1" t="s">
        <v>323</v>
      </c>
      <c r="H642" s="7" t="s">
        <v>757</v>
      </c>
    </row>
    <row r="643" spans="1:8" x14ac:dyDescent="0.3">
      <c r="A643" s="1" t="s">
        <v>799</v>
      </c>
      <c r="B643" s="1" t="s">
        <v>323</v>
      </c>
      <c r="C643" s="1" t="s">
        <v>323</v>
      </c>
      <c r="D643" s="1" t="s">
        <v>323</v>
      </c>
      <c r="E643" s="1" t="s">
        <v>323</v>
      </c>
      <c r="F643" s="1" t="s">
        <v>323</v>
      </c>
      <c r="H643" s="7" t="s">
        <v>757</v>
      </c>
    </row>
    <row r="644" spans="1:8" x14ac:dyDescent="0.3">
      <c r="A644" s="1" t="s">
        <v>800</v>
      </c>
      <c r="B644" s="1" t="s">
        <v>323</v>
      </c>
      <c r="C644" s="1" t="s">
        <v>323</v>
      </c>
      <c r="D644" s="1" t="s">
        <v>323</v>
      </c>
      <c r="E644" s="1" t="s">
        <v>323</v>
      </c>
      <c r="F644" s="1" t="s">
        <v>323</v>
      </c>
      <c r="H644" s="7" t="s">
        <v>757</v>
      </c>
    </row>
    <row r="645" spans="1:8" x14ac:dyDescent="0.3">
      <c r="A645" s="9" t="s">
        <v>801</v>
      </c>
      <c r="B645" s="9" t="s">
        <v>323</v>
      </c>
      <c r="C645" s="9" t="s">
        <v>323</v>
      </c>
      <c r="D645" s="9" t="s">
        <v>323</v>
      </c>
      <c r="E645" s="9" t="s">
        <v>323</v>
      </c>
      <c r="F645" s="9" t="s">
        <v>323</v>
      </c>
      <c r="G645" s="9"/>
      <c r="H645" s="10" t="s">
        <v>757</v>
      </c>
    </row>
    <row r="646" spans="1:8" x14ac:dyDescent="0.3">
      <c r="A646" s="1" t="s">
        <v>802</v>
      </c>
      <c r="B646" s="1">
        <v>10</v>
      </c>
      <c r="C646" s="1">
        <v>1.41</v>
      </c>
      <c r="D646" s="1">
        <v>50</v>
      </c>
      <c r="E646" s="1">
        <v>0.1</v>
      </c>
      <c r="F646" s="1">
        <v>0.1</v>
      </c>
    </row>
    <row r="647" spans="1:8" x14ac:dyDescent="0.3">
      <c r="A647" s="1" t="s">
        <v>803</v>
      </c>
      <c r="B647" s="1">
        <v>3</v>
      </c>
      <c r="C647" s="1">
        <v>1.41</v>
      </c>
      <c r="D647" s="1">
        <v>50</v>
      </c>
      <c r="E647" s="1">
        <v>0.1</v>
      </c>
      <c r="F647" s="1">
        <v>0.1</v>
      </c>
    </row>
    <row r="648" spans="1:8" x14ac:dyDescent="0.3">
      <c r="A648" s="1" t="s">
        <v>804</v>
      </c>
      <c r="B648" s="1">
        <v>1</v>
      </c>
      <c r="C648" s="1">
        <v>1.41</v>
      </c>
      <c r="D648" s="1">
        <v>50</v>
      </c>
      <c r="E648" s="1">
        <v>0.1</v>
      </c>
      <c r="F648" s="1">
        <v>0.1</v>
      </c>
    </row>
    <row r="649" spans="1:8" x14ac:dyDescent="0.3">
      <c r="A649" s="1" t="s">
        <v>805</v>
      </c>
      <c r="B649" s="1">
        <v>20</v>
      </c>
      <c r="C649" s="1">
        <v>1.41</v>
      </c>
      <c r="D649" s="1">
        <v>50</v>
      </c>
      <c r="E649" s="1">
        <v>0.2</v>
      </c>
      <c r="F649" s="1">
        <v>0.2</v>
      </c>
    </row>
    <row r="650" spans="1:8" x14ac:dyDescent="0.3">
      <c r="A650" s="1" t="s">
        <v>806</v>
      </c>
      <c r="B650" s="1">
        <v>5</v>
      </c>
      <c r="C650" s="1">
        <v>1.41</v>
      </c>
      <c r="D650" s="1">
        <v>50</v>
      </c>
      <c r="E650" s="1">
        <v>0.2</v>
      </c>
      <c r="F650" s="1">
        <v>0.2</v>
      </c>
    </row>
    <row r="651" spans="1:8" x14ac:dyDescent="0.3">
      <c r="A651" s="1" t="s">
        <v>807</v>
      </c>
      <c r="B651" s="1">
        <v>3</v>
      </c>
      <c r="C651" s="1">
        <v>1.41</v>
      </c>
      <c r="D651" s="1">
        <v>50</v>
      </c>
      <c r="E651" s="1">
        <v>0.2</v>
      </c>
      <c r="F651" s="1">
        <v>0.2</v>
      </c>
    </row>
    <row r="652" spans="1:8" x14ac:dyDescent="0.3">
      <c r="A652" s="1" t="s">
        <v>808</v>
      </c>
      <c r="B652" s="1">
        <v>10</v>
      </c>
      <c r="C652" s="1">
        <v>1.41</v>
      </c>
      <c r="D652" s="1">
        <v>50</v>
      </c>
      <c r="E652" s="1">
        <v>1</v>
      </c>
      <c r="F652" s="1">
        <v>1</v>
      </c>
    </row>
    <row r="653" spans="1:8" x14ac:dyDescent="0.3">
      <c r="A653" s="1" t="s">
        <v>809</v>
      </c>
      <c r="B653" s="1">
        <v>3</v>
      </c>
      <c r="C653" s="1">
        <v>1.41</v>
      </c>
      <c r="D653" s="1">
        <v>50</v>
      </c>
      <c r="E653" s="1">
        <v>1</v>
      </c>
      <c r="F653" s="1">
        <v>1</v>
      </c>
    </row>
    <row r="654" spans="1:8" x14ac:dyDescent="0.3">
      <c r="A654" s="1" t="s">
        <v>810</v>
      </c>
      <c r="B654" s="1">
        <v>1</v>
      </c>
      <c r="C654" s="1">
        <v>1.41</v>
      </c>
      <c r="D654" s="1">
        <v>50</v>
      </c>
      <c r="E654" s="1">
        <v>1</v>
      </c>
      <c r="F654" s="1">
        <v>1</v>
      </c>
    </row>
    <row r="655" spans="1:8" x14ac:dyDescent="0.3">
      <c r="A655" s="1" t="s">
        <v>811</v>
      </c>
      <c r="B655" s="1">
        <v>20</v>
      </c>
      <c r="C655" s="1">
        <v>1.41</v>
      </c>
      <c r="D655" s="1">
        <v>50</v>
      </c>
      <c r="E655" s="1">
        <v>1</v>
      </c>
      <c r="F655" s="1">
        <v>1</v>
      </c>
    </row>
    <row r="656" spans="1:8" x14ac:dyDescent="0.3">
      <c r="A656" s="1" t="s">
        <v>812</v>
      </c>
      <c r="B656" s="1">
        <v>5</v>
      </c>
      <c r="C656" s="1">
        <v>1.41</v>
      </c>
      <c r="D656" s="1">
        <v>50</v>
      </c>
      <c r="E656" s="1">
        <v>1</v>
      </c>
      <c r="F656" s="1">
        <v>1</v>
      </c>
    </row>
    <row r="657" spans="1:8" x14ac:dyDescent="0.3">
      <c r="A657" s="1" t="s">
        <v>813</v>
      </c>
      <c r="B657" s="1">
        <v>3</v>
      </c>
      <c r="C657" s="1">
        <v>1.41</v>
      </c>
      <c r="D657" s="1">
        <v>50</v>
      </c>
      <c r="E657" s="1">
        <v>1</v>
      </c>
      <c r="F657" s="1">
        <v>1</v>
      </c>
    </row>
    <row r="658" spans="1:8" x14ac:dyDescent="0.3">
      <c r="A658" s="1" t="s">
        <v>814</v>
      </c>
      <c r="B658" s="1" t="s">
        <v>323</v>
      </c>
      <c r="C658" s="1" t="s">
        <v>323</v>
      </c>
      <c r="D658" s="1" t="s">
        <v>323</v>
      </c>
      <c r="E658" s="1" t="s">
        <v>323</v>
      </c>
      <c r="F658" s="1" t="s">
        <v>323</v>
      </c>
      <c r="H658" s="7" t="s">
        <v>757</v>
      </c>
    </row>
    <row r="659" spans="1:8" x14ac:dyDescent="0.3">
      <c r="A659" s="1" t="s">
        <v>815</v>
      </c>
      <c r="B659" s="1" t="s">
        <v>323</v>
      </c>
      <c r="C659" s="1" t="s">
        <v>323</v>
      </c>
      <c r="D659" s="1" t="s">
        <v>323</v>
      </c>
      <c r="E659" s="1" t="s">
        <v>323</v>
      </c>
      <c r="F659" s="1" t="s">
        <v>323</v>
      </c>
      <c r="H659" s="7" t="s">
        <v>757</v>
      </c>
    </row>
    <row r="660" spans="1:8" x14ac:dyDescent="0.3">
      <c r="A660" s="1" t="s">
        <v>816</v>
      </c>
      <c r="B660" s="1" t="s">
        <v>323</v>
      </c>
      <c r="C660" s="1" t="s">
        <v>323</v>
      </c>
      <c r="D660" s="1" t="s">
        <v>323</v>
      </c>
      <c r="E660" s="1" t="s">
        <v>323</v>
      </c>
      <c r="F660" s="1" t="s">
        <v>323</v>
      </c>
      <c r="H660" s="7" t="s">
        <v>757</v>
      </c>
    </row>
    <row r="661" spans="1:8" x14ac:dyDescent="0.3">
      <c r="A661" s="1" t="s">
        <v>817</v>
      </c>
      <c r="B661" s="1" t="s">
        <v>323</v>
      </c>
      <c r="C661" s="1" t="s">
        <v>323</v>
      </c>
      <c r="D661" s="1" t="s">
        <v>323</v>
      </c>
      <c r="E661" s="1" t="s">
        <v>323</v>
      </c>
      <c r="F661" s="1" t="s">
        <v>323</v>
      </c>
      <c r="H661" s="7" t="s">
        <v>757</v>
      </c>
    </row>
    <row r="662" spans="1:8" x14ac:dyDescent="0.3">
      <c r="A662" s="1" t="s">
        <v>818</v>
      </c>
      <c r="B662" s="1" t="s">
        <v>323</v>
      </c>
      <c r="C662" s="1" t="s">
        <v>323</v>
      </c>
      <c r="D662" s="1" t="s">
        <v>323</v>
      </c>
      <c r="E662" s="1" t="s">
        <v>323</v>
      </c>
      <c r="F662" s="1" t="s">
        <v>323</v>
      </c>
      <c r="H662" s="7" t="s">
        <v>757</v>
      </c>
    </row>
    <row r="663" spans="1:8" x14ac:dyDescent="0.3">
      <c r="A663" s="1" t="s">
        <v>819</v>
      </c>
      <c r="B663" s="1" t="s">
        <v>323</v>
      </c>
      <c r="C663" s="1" t="s">
        <v>323</v>
      </c>
      <c r="D663" s="1" t="s">
        <v>323</v>
      </c>
      <c r="E663" s="1" t="s">
        <v>323</v>
      </c>
      <c r="F663" s="1" t="s">
        <v>323</v>
      </c>
      <c r="H663" s="7" t="s">
        <v>757</v>
      </c>
    </row>
    <row r="664" spans="1:8" x14ac:dyDescent="0.3">
      <c r="A664" s="1" t="s">
        <v>820</v>
      </c>
      <c r="B664" s="1" t="s">
        <v>323</v>
      </c>
      <c r="C664" s="1" t="s">
        <v>323</v>
      </c>
      <c r="D664" s="1" t="s">
        <v>323</v>
      </c>
      <c r="E664" s="1" t="s">
        <v>323</v>
      </c>
      <c r="F664" s="1" t="s">
        <v>323</v>
      </c>
      <c r="H664" s="7" t="s">
        <v>757</v>
      </c>
    </row>
    <row r="665" spans="1:8" x14ac:dyDescent="0.3">
      <c r="A665" s="1" t="s">
        <v>821</v>
      </c>
      <c r="B665" s="1" t="s">
        <v>323</v>
      </c>
      <c r="C665" s="1" t="s">
        <v>323</v>
      </c>
      <c r="D665" s="1" t="s">
        <v>323</v>
      </c>
      <c r="E665" s="1" t="s">
        <v>323</v>
      </c>
      <c r="F665" s="1" t="s">
        <v>323</v>
      </c>
      <c r="H665" s="7" t="s">
        <v>757</v>
      </c>
    </row>
    <row r="666" spans="1:8" x14ac:dyDescent="0.3">
      <c r="A666" s="1" t="s">
        <v>822</v>
      </c>
      <c r="B666" s="1" t="s">
        <v>323</v>
      </c>
      <c r="C666" s="1" t="s">
        <v>323</v>
      </c>
      <c r="D666" s="1" t="s">
        <v>323</v>
      </c>
      <c r="E666" s="1" t="s">
        <v>323</v>
      </c>
      <c r="F666" s="1" t="s">
        <v>323</v>
      </c>
      <c r="H666" s="7" t="s">
        <v>757</v>
      </c>
    </row>
    <row r="667" spans="1:8" x14ac:dyDescent="0.3">
      <c r="A667" s="1" t="s">
        <v>823</v>
      </c>
      <c r="B667" s="1" t="s">
        <v>323</v>
      </c>
      <c r="C667" s="1" t="s">
        <v>323</v>
      </c>
      <c r="D667" s="1" t="s">
        <v>323</v>
      </c>
      <c r="E667" s="1" t="s">
        <v>323</v>
      </c>
      <c r="F667" s="1" t="s">
        <v>323</v>
      </c>
      <c r="H667" s="7" t="s">
        <v>757</v>
      </c>
    </row>
    <row r="668" spans="1:8" x14ac:dyDescent="0.3">
      <c r="A668" s="1" t="s">
        <v>824</v>
      </c>
      <c r="B668" s="1" t="s">
        <v>323</v>
      </c>
      <c r="C668" s="1" t="s">
        <v>323</v>
      </c>
      <c r="D668" s="1" t="s">
        <v>323</v>
      </c>
      <c r="E668" s="1" t="s">
        <v>323</v>
      </c>
      <c r="F668" s="1" t="s">
        <v>323</v>
      </c>
      <c r="H668" s="7" t="s">
        <v>757</v>
      </c>
    </row>
    <row r="669" spans="1:8" x14ac:dyDescent="0.3">
      <c r="A669" s="1" t="s">
        <v>825</v>
      </c>
      <c r="B669" s="1" t="s">
        <v>323</v>
      </c>
      <c r="C669" s="1" t="s">
        <v>323</v>
      </c>
      <c r="D669" s="1" t="s">
        <v>323</v>
      </c>
      <c r="E669" s="1" t="s">
        <v>323</v>
      </c>
      <c r="F669" s="1" t="s">
        <v>323</v>
      </c>
      <c r="H669" s="7" t="s">
        <v>757</v>
      </c>
    </row>
    <row r="670" spans="1:8" x14ac:dyDescent="0.3">
      <c r="A670" s="1" t="s">
        <v>826</v>
      </c>
      <c r="B670" s="1" t="s">
        <v>323</v>
      </c>
      <c r="C670" s="1" t="s">
        <v>323</v>
      </c>
      <c r="D670" s="1" t="s">
        <v>323</v>
      </c>
      <c r="E670" s="1" t="s">
        <v>323</v>
      </c>
      <c r="F670" s="1" t="s">
        <v>323</v>
      </c>
      <c r="H670" s="7" t="s">
        <v>757</v>
      </c>
    </row>
    <row r="671" spans="1:8" x14ac:dyDescent="0.3">
      <c r="A671" s="1" t="s">
        <v>827</v>
      </c>
      <c r="B671" s="1" t="s">
        <v>323</v>
      </c>
      <c r="C671" s="1" t="s">
        <v>323</v>
      </c>
      <c r="D671" s="1" t="s">
        <v>323</v>
      </c>
      <c r="E671" s="1" t="s">
        <v>323</v>
      </c>
      <c r="F671" s="1" t="s">
        <v>323</v>
      </c>
      <c r="H671" s="7" t="s">
        <v>757</v>
      </c>
    </row>
    <row r="672" spans="1:8" x14ac:dyDescent="0.3">
      <c r="A672" s="1" t="s">
        <v>828</v>
      </c>
      <c r="B672" s="1" t="s">
        <v>323</v>
      </c>
      <c r="C672" s="1" t="s">
        <v>323</v>
      </c>
      <c r="D672" s="1" t="s">
        <v>323</v>
      </c>
      <c r="E672" s="1" t="s">
        <v>323</v>
      </c>
      <c r="F672" s="1" t="s">
        <v>323</v>
      </c>
      <c r="H672" s="7" t="s">
        <v>757</v>
      </c>
    </row>
    <row r="673" spans="1:8" x14ac:dyDescent="0.3">
      <c r="A673" s="9" t="s">
        <v>829</v>
      </c>
      <c r="B673" s="9" t="s">
        <v>323</v>
      </c>
      <c r="C673" s="9" t="s">
        <v>323</v>
      </c>
      <c r="D673" s="9" t="s">
        <v>323</v>
      </c>
      <c r="E673" s="9" t="s">
        <v>323</v>
      </c>
      <c r="F673" s="9" t="s">
        <v>323</v>
      </c>
      <c r="G673" s="9"/>
      <c r="H673" s="10" t="s">
        <v>757</v>
      </c>
    </row>
    <row r="674" spans="1:8" x14ac:dyDescent="0.3">
      <c r="A674" s="1" t="s">
        <v>830</v>
      </c>
      <c r="B674" s="1">
        <v>10</v>
      </c>
      <c r="C674" s="1">
        <v>2.83</v>
      </c>
      <c r="D674" s="1">
        <v>100</v>
      </c>
      <c r="E674" s="1">
        <v>0.2</v>
      </c>
      <c r="F674" s="1">
        <v>0.2</v>
      </c>
    </row>
    <row r="675" spans="1:8" x14ac:dyDescent="0.3">
      <c r="A675" s="1" t="s">
        <v>831</v>
      </c>
      <c r="B675" s="1">
        <v>3</v>
      </c>
      <c r="C675" s="1">
        <v>2.83</v>
      </c>
      <c r="D675" s="1">
        <v>100</v>
      </c>
      <c r="E675" s="1">
        <v>0.2</v>
      </c>
      <c r="F675" s="1">
        <v>0.2</v>
      </c>
    </row>
    <row r="676" spans="1:8" x14ac:dyDescent="0.3">
      <c r="A676" s="1" t="s">
        <v>832</v>
      </c>
      <c r="B676" s="1">
        <v>1</v>
      </c>
      <c r="C676" s="1">
        <v>2.83</v>
      </c>
      <c r="D676" s="1">
        <v>100</v>
      </c>
      <c r="E676" s="1">
        <v>0.2</v>
      </c>
      <c r="F676" s="1">
        <v>0.2</v>
      </c>
    </row>
    <row r="677" spans="1:8" x14ac:dyDescent="0.3">
      <c r="A677" s="1" t="s">
        <v>833</v>
      </c>
      <c r="B677" s="1">
        <v>20</v>
      </c>
      <c r="C677" s="1">
        <v>2.83</v>
      </c>
      <c r="D677" s="1">
        <v>100</v>
      </c>
      <c r="E677" s="1">
        <v>0.25</v>
      </c>
      <c r="F677" s="1">
        <v>0.25</v>
      </c>
    </row>
    <row r="678" spans="1:8" x14ac:dyDescent="0.3">
      <c r="A678" s="1" t="s">
        <v>834</v>
      </c>
      <c r="B678" s="1">
        <v>5</v>
      </c>
      <c r="C678" s="1">
        <v>2.83</v>
      </c>
      <c r="D678" s="1">
        <v>100</v>
      </c>
      <c r="E678" s="1">
        <v>0.25</v>
      </c>
      <c r="F678" s="1">
        <v>0.25</v>
      </c>
    </row>
    <row r="679" spans="1:8" x14ac:dyDescent="0.3">
      <c r="A679" s="1" t="s">
        <v>835</v>
      </c>
      <c r="B679" s="1">
        <v>3</v>
      </c>
      <c r="C679" s="1">
        <v>2.83</v>
      </c>
      <c r="D679" s="1">
        <v>100</v>
      </c>
      <c r="E679" s="1">
        <v>0.25</v>
      </c>
      <c r="F679" s="1">
        <v>0.25</v>
      </c>
    </row>
    <row r="680" spans="1:8" x14ac:dyDescent="0.3">
      <c r="A680" s="1" t="s">
        <v>836</v>
      </c>
      <c r="B680" s="1">
        <v>10</v>
      </c>
      <c r="C680" s="1">
        <v>2.83</v>
      </c>
      <c r="D680" s="1">
        <v>100</v>
      </c>
      <c r="E680" s="1">
        <v>1</v>
      </c>
      <c r="F680" s="1">
        <v>1</v>
      </c>
    </row>
    <row r="681" spans="1:8" x14ac:dyDescent="0.3">
      <c r="A681" s="1" t="s">
        <v>837</v>
      </c>
      <c r="B681" s="1">
        <v>3</v>
      </c>
      <c r="C681" s="1">
        <v>2.83</v>
      </c>
      <c r="D681" s="1">
        <v>100</v>
      </c>
      <c r="E681" s="1">
        <v>1</v>
      </c>
      <c r="F681" s="1">
        <v>1</v>
      </c>
    </row>
    <row r="682" spans="1:8" x14ac:dyDescent="0.3">
      <c r="A682" s="1" t="s">
        <v>838</v>
      </c>
      <c r="B682" s="1">
        <v>1</v>
      </c>
      <c r="C682" s="1">
        <v>2.83</v>
      </c>
      <c r="D682" s="1">
        <v>100</v>
      </c>
      <c r="E682" s="1">
        <v>1</v>
      </c>
      <c r="F682" s="1">
        <v>1</v>
      </c>
    </row>
    <row r="683" spans="1:8" x14ac:dyDescent="0.3">
      <c r="A683" s="1" t="s">
        <v>839</v>
      </c>
      <c r="B683" s="1">
        <v>20</v>
      </c>
      <c r="C683" s="1">
        <v>2.83</v>
      </c>
      <c r="D683" s="1">
        <v>100</v>
      </c>
      <c r="E683" s="1">
        <v>1</v>
      </c>
      <c r="F683" s="1">
        <v>1</v>
      </c>
    </row>
    <row r="684" spans="1:8" x14ac:dyDescent="0.3">
      <c r="A684" s="1" t="s">
        <v>840</v>
      </c>
      <c r="B684" s="1">
        <v>5</v>
      </c>
      <c r="C684" s="1">
        <v>2.83</v>
      </c>
      <c r="D684" s="1">
        <v>100</v>
      </c>
      <c r="E684" s="1">
        <v>1</v>
      </c>
      <c r="F684" s="1">
        <v>1</v>
      </c>
    </row>
    <row r="685" spans="1:8" x14ac:dyDescent="0.3">
      <c r="A685" s="1" t="s">
        <v>841</v>
      </c>
      <c r="B685" s="1">
        <v>3</v>
      </c>
      <c r="C685" s="1">
        <v>2.83</v>
      </c>
      <c r="D685" s="1">
        <v>100</v>
      </c>
      <c r="E685" s="1">
        <v>1</v>
      </c>
      <c r="F685" s="1">
        <v>1</v>
      </c>
    </row>
    <row r="686" spans="1:8" x14ac:dyDescent="0.3">
      <c r="A686" s="1" t="s">
        <v>842</v>
      </c>
      <c r="B686" s="1" t="s">
        <v>323</v>
      </c>
      <c r="C686" s="1" t="s">
        <v>323</v>
      </c>
      <c r="D686" s="1" t="s">
        <v>323</v>
      </c>
      <c r="E686" s="1" t="s">
        <v>323</v>
      </c>
      <c r="F686" s="1" t="s">
        <v>323</v>
      </c>
      <c r="H686" s="7" t="s">
        <v>757</v>
      </c>
    </row>
    <row r="687" spans="1:8" x14ac:dyDescent="0.3">
      <c r="A687" s="1" t="s">
        <v>843</v>
      </c>
      <c r="B687" s="1" t="s">
        <v>323</v>
      </c>
      <c r="C687" s="1" t="s">
        <v>323</v>
      </c>
      <c r="D687" s="1" t="s">
        <v>323</v>
      </c>
      <c r="E687" s="1" t="s">
        <v>323</v>
      </c>
      <c r="F687" s="1" t="s">
        <v>323</v>
      </c>
      <c r="H687" s="7" t="s">
        <v>757</v>
      </c>
    </row>
    <row r="688" spans="1:8" x14ac:dyDescent="0.3">
      <c r="A688" s="1" t="s">
        <v>788</v>
      </c>
      <c r="B688" s="1" t="s">
        <v>323</v>
      </c>
      <c r="C688" s="1" t="s">
        <v>323</v>
      </c>
      <c r="D688" s="1" t="s">
        <v>323</v>
      </c>
      <c r="E688" s="1" t="s">
        <v>323</v>
      </c>
      <c r="F688" s="1" t="s">
        <v>323</v>
      </c>
      <c r="H688" s="7" t="s">
        <v>757</v>
      </c>
    </row>
    <row r="689" spans="1:8" x14ac:dyDescent="0.3">
      <c r="A689" s="1" t="s">
        <v>844</v>
      </c>
      <c r="B689" s="1" t="s">
        <v>323</v>
      </c>
      <c r="C689" s="1" t="s">
        <v>323</v>
      </c>
      <c r="D689" s="1" t="s">
        <v>323</v>
      </c>
      <c r="E689" s="1" t="s">
        <v>323</v>
      </c>
      <c r="F689" s="1" t="s">
        <v>323</v>
      </c>
      <c r="H689" s="7" t="s">
        <v>757</v>
      </c>
    </row>
    <row r="690" spans="1:8" x14ac:dyDescent="0.3">
      <c r="A690" s="1" t="s">
        <v>845</v>
      </c>
      <c r="B690" s="1" t="s">
        <v>323</v>
      </c>
      <c r="C690" s="1" t="s">
        <v>323</v>
      </c>
      <c r="D690" s="1" t="s">
        <v>323</v>
      </c>
      <c r="E690" s="1" t="s">
        <v>323</v>
      </c>
      <c r="F690" s="1" t="s">
        <v>323</v>
      </c>
      <c r="H690" s="7" t="s">
        <v>757</v>
      </c>
    </row>
    <row r="691" spans="1:8" x14ac:dyDescent="0.3">
      <c r="A691" s="1" t="s">
        <v>846</v>
      </c>
      <c r="B691" s="1" t="s">
        <v>323</v>
      </c>
      <c r="C691" s="1" t="s">
        <v>323</v>
      </c>
      <c r="D691" s="1" t="s">
        <v>323</v>
      </c>
      <c r="E691" s="1" t="s">
        <v>323</v>
      </c>
      <c r="F691" s="1" t="s">
        <v>323</v>
      </c>
      <c r="H691" s="7" t="s">
        <v>757</v>
      </c>
    </row>
    <row r="692" spans="1:8" x14ac:dyDescent="0.3">
      <c r="A692" s="1" t="s">
        <v>847</v>
      </c>
      <c r="B692" s="1" t="s">
        <v>323</v>
      </c>
      <c r="C692" s="1" t="s">
        <v>323</v>
      </c>
      <c r="D692" s="1" t="s">
        <v>323</v>
      </c>
      <c r="E692" s="1" t="s">
        <v>323</v>
      </c>
      <c r="F692" s="1" t="s">
        <v>323</v>
      </c>
      <c r="H692" s="7" t="s">
        <v>757</v>
      </c>
    </row>
    <row r="693" spans="1:8" x14ac:dyDescent="0.3">
      <c r="A693" s="1" t="s">
        <v>848</v>
      </c>
      <c r="B693" s="1" t="s">
        <v>323</v>
      </c>
      <c r="C693" s="1" t="s">
        <v>323</v>
      </c>
      <c r="D693" s="1" t="s">
        <v>323</v>
      </c>
      <c r="E693" s="1" t="s">
        <v>323</v>
      </c>
      <c r="F693" s="1" t="s">
        <v>323</v>
      </c>
      <c r="H693" s="7" t="s">
        <v>757</v>
      </c>
    </row>
    <row r="694" spans="1:8" x14ac:dyDescent="0.3">
      <c r="A694" s="1" t="s">
        <v>849</v>
      </c>
      <c r="B694" s="1" t="s">
        <v>323</v>
      </c>
      <c r="C694" s="1" t="s">
        <v>323</v>
      </c>
      <c r="D694" s="1" t="s">
        <v>323</v>
      </c>
      <c r="E694" s="1" t="s">
        <v>323</v>
      </c>
      <c r="F694" s="1" t="s">
        <v>323</v>
      </c>
      <c r="H694" s="7" t="s">
        <v>757</v>
      </c>
    </row>
    <row r="695" spans="1:8" x14ac:dyDescent="0.3">
      <c r="A695" s="1" t="s">
        <v>850</v>
      </c>
      <c r="B695" s="1" t="s">
        <v>323</v>
      </c>
      <c r="C695" s="1" t="s">
        <v>323</v>
      </c>
      <c r="D695" s="1" t="s">
        <v>323</v>
      </c>
      <c r="E695" s="1" t="s">
        <v>323</v>
      </c>
      <c r="F695" s="1" t="s">
        <v>323</v>
      </c>
      <c r="H695" s="7" t="s">
        <v>757</v>
      </c>
    </row>
    <row r="696" spans="1:8" x14ac:dyDescent="0.3">
      <c r="A696" s="1" t="s">
        <v>851</v>
      </c>
      <c r="B696" s="1" t="s">
        <v>323</v>
      </c>
      <c r="C696" s="1" t="s">
        <v>323</v>
      </c>
      <c r="D696" s="1" t="s">
        <v>323</v>
      </c>
      <c r="E696" s="1" t="s">
        <v>323</v>
      </c>
      <c r="F696" s="1" t="s">
        <v>323</v>
      </c>
      <c r="H696" s="7" t="s">
        <v>757</v>
      </c>
    </row>
    <row r="697" spans="1:8" x14ac:dyDescent="0.3">
      <c r="A697" s="1" t="s">
        <v>852</v>
      </c>
      <c r="B697" s="1" t="s">
        <v>323</v>
      </c>
      <c r="C697" s="1" t="s">
        <v>323</v>
      </c>
      <c r="D697" s="1" t="s">
        <v>323</v>
      </c>
      <c r="E697" s="1" t="s">
        <v>323</v>
      </c>
      <c r="F697" s="1" t="s">
        <v>323</v>
      </c>
      <c r="H697" s="7" t="s">
        <v>757</v>
      </c>
    </row>
    <row r="698" spans="1:8" x14ac:dyDescent="0.3">
      <c r="A698" s="1" t="s">
        <v>853</v>
      </c>
      <c r="B698" s="1" t="s">
        <v>323</v>
      </c>
      <c r="C698" s="1" t="s">
        <v>323</v>
      </c>
      <c r="D698" s="1" t="s">
        <v>323</v>
      </c>
      <c r="E698" s="1" t="s">
        <v>323</v>
      </c>
      <c r="F698" s="1" t="s">
        <v>323</v>
      </c>
      <c r="H698" s="7" t="s">
        <v>757</v>
      </c>
    </row>
    <row r="699" spans="1:8" x14ac:dyDescent="0.3">
      <c r="A699" s="1" t="s">
        <v>854</v>
      </c>
      <c r="B699" s="1" t="s">
        <v>323</v>
      </c>
      <c r="C699" s="1" t="s">
        <v>323</v>
      </c>
      <c r="D699" s="1" t="s">
        <v>323</v>
      </c>
      <c r="E699" s="1" t="s">
        <v>323</v>
      </c>
      <c r="F699" s="1" t="s">
        <v>323</v>
      </c>
      <c r="H699" s="7" t="s">
        <v>757</v>
      </c>
    </row>
    <row r="700" spans="1:8" x14ac:dyDescent="0.3">
      <c r="A700" s="1" t="s">
        <v>855</v>
      </c>
      <c r="B700" s="1" t="s">
        <v>323</v>
      </c>
      <c r="C700" s="1" t="s">
        <v>323</v>
      </c>
      <c r="D700" s="1" t="s">
        <v>323</v>
      </c>
      <c r="E700" s="1" t="s">
        <v>323</v>
      </c>
      <c r="F700" s="1" t="s">
        <v>323</v>
      </c>
      <c r="H700" s="7" t="s">
        <v>757</v>
      </c>
    </row>
    <row r="701" spans="1:8" x14ac:dyDescent="0.3">
      <c r="A701" s="9" t="s">
        <v>856</v>
      </c>
      <c r="B701" s="9" t="s">
        <v>323</v>
      </c>
      <c r="C701" s="9" t="s">
        <v>323</v>
      </c>
      <c r="D701" s="9" t="s">
        <v>323</v>
      </c>
      <c r="E701" s="9" t="s">
        <v>323</v>
      </c>
      <c r="F701" s="9" t="s">
        <v>323</v>
      </c>
      <c r="G701" s="9"/>
      <c r="H701" s="10" t="s">
        <v>757</v>
      </c>
    </row>
    <row r="702" spans="1:8" x14ac:dyDescent="0.3">
      <c r="A702" s="1" t="s">
        <v>857</v>
      </c>
      <c r="B702" s="1">
        <v>5</v>
      </c>
      <c r="C702" s="1">
        <v>0.28000000000000003</v>
      </c>
      <c r="D702" s="1">
        <v>10</v>
      </c>
      <c r="E702" s="1">
        <v>0.1</v>
      </c>
      <c r="F702" s="1">
        <v>0.1</v>
      </c>
    </row>
    <row r="703" spans="1:8" x14ac:dyDescent="0.3">
      <c r="A703" s="1" t="s">
        <v>858</v>
      </c>
      <c r="B703" s="1">
        <v>5</v>
      </c>
      <c r="C703" s="1">
        <v>0.28000000000000003</v>
      </c>
      <c r="D703" s="1">
        <v>10</v>
      </c>
      <c r="E703" s="1">
        <v>0.1</v>
      </c>
      <c r="F703" s="1">
        <v>0.1</v>
      </c>
    </row>
    <row r="704" spans="1:8" x14ac:dyDescent="0.3">
      <c r="A704" s="1" t="s">
        <v>859</v>
      </c>
      <c r="B704" s="1">
        <v>5</v>
      </c>
      <c r="C704" s="1">
        <v>0.28000000000000003</v>
      </c>
      <c r="D704" s="1">
        <v>10</v>
      </c>
      <c r="E704" s="1">
        <v>0.1</v>
      </c>
      <c r="F704" s="1">
        <v>0.1</v>
      </c>
    </row>
    <row r="705" spans="1:8" x14ac:dyDescent="0.3">
      <c r="A705" s="1" t="s">
        <v>860</v>
      </c>
      <c r="B705" s="1">
        <v>10</v>
      </c>
      <c r="C705" s="1">
        <v>0.28000000000000003</v>
      </c>
      <c r="D705" s="1">
        <v>10</v>
      </c>
      <c r="E705" s="1">
        <v>0.2</v>
      </c>
      <c r="F705" s="1">
        <v>0.2</v>
      </c>
    </row>
    <row r="706" spans="1:8" x14ac:dyDescent="0.3">
      <c r="A706" s="1" t="s">
        <v>861</v>
      </c>
      <c r="B706" s="1">
        <v>10</v>
      </c>
      <c r="C706" s="1">
        <v>0.28000000000000003</v>
      </c>
      <c r="D706" s="1">
        <v>10</v>
      </c>
      <c r="E706" s="1">
        <v>0.2</v>
      </c>
      <c r="F706" s="1">
        <v>0.2</v>
      </c>
    </row>
    <row r="707" spans="1:8" x14ac:dyDescent="0.3">
      <c r="A707" s="1" t="s">
        <v>862</v>
      </c>
      <c r="B707" s="1">
        <v>10</v>
      </c>
      <c r="C707" s="1">
        <v>0.28000000000000003</v>
      </c>
      <c r="D707" s="1">
        <v>10</v>
      </c>
      <c r="E707" s="1">
        <v>0.2</v>
      </c>
      <c r="F707" s="1">
        <v>0.2</v>
      </c>
    </row>
    <row r="708" spans="1:8" x14ac:dyDescent="0.3">
      <c r="A708" s="1" t="s">
        <v>863</v>
      </c>
      <c r="B708" s="1">
        <v>5</v>
      </c>
      <c r="C708" s="1">
        <v>0.28000000000000003</v>
      </c>
      <c r="D708" s="1">
        <v>10</v>
      </c>
      <c r="E708" s="1">
        <v>1</v>
      </c>
      <c r="F708" s="1">
        <v>1</v>
      </c>
    </row>
    <row r="709" spans="1:8" x14ac:dyDescent="0.3">
      <c r="A709" s="1" t="s">
        <v>864</v>
      </c>
      <c r="B709" s="1">
        <v>5</v>
      </c>
      <c r="C709" s="1">
        <v>0.28000000000000003</v>
      </c>
      <c r="D709" s="1">
        <v>10</v>
      </c>
      <c r="E709" s="1">
        <v>1</v>
      </c>
      <c r="F709" s="1">
        <v>1</v>
      </c>
    </row>
    <row r="710" spans="1:8" x14ac:dyDescent="0.3">
      <c r="A710" s="1" t="s">
        <v>865</v>
      </c>
      <c r="B710" s="1">
        <v>5</v>
      </c>
      <c r="C710" s="1">
        <v>0.28000000000000003</v>
      </c>
      <c r="D710" s="1">
        <v>10</v>
      </c>
      <c r="E710" s="1">
        <v>1</v>
      </c>
      <c r="F710" s="1">
        <v>1</v>
      </c>
    </row>
    <row r="711" spans="1:8" x14ac:dyDescent="0.3">
      <c r="A711" s="1" t="s">
        <v>866</v>
      </c>
      <c r="B711" s="1">
        <v>10</v>
      </c>
      <c r="C711" s="1">
        <v>0.28000000000000003</v>
      </c>
      <c r="D711" s="1">
        <v>10</v>
      </c>
      <c r="E711" s="1">
        <v>1</v>
      </c>
      <c r="F711" s="1">
        <v>1</v>
      </c>
    </row>
    <row r="712" spans="1:8" x14ac:dyDescent="0.3">
      <c r="A712" s="1" t="s">
        <v>867</v>
      </c>
      <c r="B712" s="1">
        <v>10</v>
      </c>
      <c r="C712" s="1">
        <v>0.28000000000000003</v>
      </c>
      <c r="D712" s="1">
        <v>10</v>
      </c>
      <c r="E712" s="1">
        <v>1</v>
      </c>
      <c r="F712" s="1">
        <v>1</v>
      </c>
    </row>
    <row r="713" spans="1:8" x14ac:dyDescent="0.3">
      <c r="A713" s="1" t="s">
        <v>868</v>
      </c>
      <c r="B713" s="1">
        <v>10</v>
      </c>
      <c r="C713" s="1">
        <v>0.28000000000000003</v>
      </c>
      <c r="D713" s="1">
        <v>10</v>
      </c>
      <c r="E713" s="1">
        <v>1</v>
      </c>
      <c r="F713" s="1">
        <v>1</v>
      </c>
    </row>
    <row r="714" spans="1:8" x14ac:dyDescent="0.3">
      <c r="A714" s="1" t="s">
        <v>869</v>
      </c>
      <c r="B714" s="1" t="s">
        <v>323</v>
      </c>
      <c r="C714" s="1" t="s">
        <v>323</v>
      </c>
      <c r="D714" s="1" t="s">
        <v>323</v>
      </c>
      <c r="E714" s="1" t="s">
        <v>323</v>
      </c>
      <c r="F714" s="1" t="s">
        <v>323</v>
      </c>
      <c r="H714" s="7" t="s">
        <v>757</v>
      </c>
    </row>
    <row r="715" spans="1:8" x14ac:dyDescent="0.3">
      <c r="A715" s="1" t="s">
        <v>870</v>
      </c>
      <c r="B715" s="1" t="s">
        <v>323</v>
      </c>
      <c r="C715" s="1" t="s">
        <v>323</v>
      </c>
      <c r="D715" s="1" t="s">
        <v>323</v>
      </c>
      <c r="E715" s="1" t="s">
        <v>323</v>
      </c>
      <c r="F715" s="1" t="s">
        <v>323</v>
      </c>
      <c r="H715" s="7" t="s">
        <v>757</v>
      </c>
    </row>
    <row r="716" spans="1:8" x14ac:dyDescent="0.3">
      <c r="A716" s="1" t="s">
        <v>871</v>
      </c>
      <c r="B716" s="1" t="s">
        <v>323</v>
      </c>
      <c r="C716" s="1" t="s">
        <v>323</v>
      </c>
      <c r="D716" s="1" t="s">
        <v>323</v>
      </c>
      <c r="E716" s="1" t="s">
        <v>323</v>
      </c>
      <c r="F716" s="1" t="s">
        <v>323</v>
      </c>
      <c r="H716" s="7" t="s">
        <v>757</v>
      </c>
    </row>
    <row r="717" spans="1:8" x14ac:dyDescent="0.3">
      <c r="A717" s="1" t="s">
        <v>872</v>
      </c>
      <c r="B717" s="1" t="s">
        <v>323</v>
      </c>
      <c r="C717" s="1" t="s">
        <v>323</v>
      </c>
      <c r="D717" s="1" t="s">
        <v>323</v>
      </c>
      <c r="E717" s="1" t="s">
        <v>323</v>
      </c>
      <c r="F717" s="1" t="s">
        <v>323</v>
      </c>
      <c r="H717" s="7" t="s">
        <v>757</v>
      </c>
    </row>
    <row r="718" spans="1:8" x14ac:dyDescent="0.3">
      <c r="A718" s="1" t="s">
        <v>873</v>
      </c>
      <c r="B718" s="1" t="s">
        <v>323</v>
      </c>
      <c r="C718" s="1" t="s">
        <v>323</v>
      </c>
      <c r="D718" s="1" t="s">
        <v>323</v>
      </c>
      <c r="E718" s="1" t="s">
        <v>323</v>
      </c>
      <c r="F718" s="1" t="s">
        <v>323</v>
      </c>
      <c r="H718" s="7" t="s">
        <v>757</v>
      </c>
    </row>
    <row r="719" spans="1:8" x14ac:dyDescent="0.3">
      <c r="A719" s="1" t="s">
        <v>874</v>
      </c>
      <c r="B719" s="1" t="s">
        <v>323</v>
      </c>
      <c r="C719" s="1" t="s">
        <v>323</v>
      </c>
      <c r="D719" s="1" t="s">
        <v>323</v>
      </c>
      <c r="E719" s="1" t="s">
        <v>323</v>
      </c>
      <c r="F719" s="1" t="s">
        <v>323</v>
      </c>
      <c r="H719" s="7" t="s">
        <v>757</v>
      </c>
    </row>
    <row r="720" spans="1:8" x14ac:dyDescent="0.3">
      <c r="A720" s="1" t="s">
        <v>875</v>
      </c>
      <c r="B720" s="1" t="s">
        <v>323</v>
      </c>
      <c r="C720" s="1" t="s">
        <v>323</v>
      </c>
      <c r="D720" s="1" t="s">
        <v>323</v>
      </c>
      <c r="E720" s="1" t="s">
        <v>323</v>
      </c>
      <c r="F720" s="1" t="s">
        <v>323</v>
      </c>
      <c r="H720" s="7" t="s">
        <v>757</v>
      </c>
    </row>
    <row r="721" spans="1:8" x14ac:dyDescent="0.3">
      <c r="A721" s="1" t="s">
        <v>876</v>
      </c>
      <c r="B721" s="1" t="s">
        <v>323</v>
      </c>
      <c r="C721" s="1" t="s">
        <v>323</v>
      </c>
      <c r="D721" s="1" t="s">
        <v>323</v>
      </c>
      <c r="E721" s="1" t="s">
        <v>323</v>
      </c>
      <c r="F721" s="1" t="s">
        <v>323</v>
      </c>
      <c r="H721" s="7" t="s">
        <v>757</v>
      </c>
    </row>
    <row r="722" spans="1:8" x14ac:dyDescent="0.3">
      <c r="A722" s="1" t="s">
        <v>877</v>
      </c>
      <c r="B722" s="1" t="s">
        <v>323</v>
      </c>
      <c r="C722" s="1" t="s">
        <v>323</v>
      </c>
      <c r="D722" s="1" t="s">
        <v>323</v>
      </c>
      <c r="E722" s="1" t="s">
        <v>323</v>
      </c>
      <c r="F722" s="1" t="s">
        <v>323</v>
      </c>
      <c r="H722" s="7" t="s">
        <v>757</v>
      </c>
    </row>
    <row r="723" spans="1:8" x14ac:dyDescent="0.3">
      <c r="A723" s="1" t="s">
        <v>878</v>
      </c>
      <c r="B723" s="1" t="s">
        <v>323</v>
      </c>
      <c r="C723" s="1" t="s">
        <v>323</v>
      </c>
      <c r="D723" s="1" t="s">
        <v>323</v>
      </c>
      <c r="E723" s="1" t="s">
        <v>323</v>
      </c>
      <c r="F723" s="1" t="s">
        <v>323</v>
      </c>
      <c r="H723" s="7" t="s">
        <v>757</v>
      </c>
    </row>
    <row r="724" spans="1:8" x14ac:dyDescent="0.3">
      <c r="A724" s="1" t="s">
        <v>879</v>
      </c>
      <c r="B724" s="1" t="s">
        <v>323</v>
      </c>
      <c r="C724" s="1" t="s">
        <v>323</v>
      </c>
      <c r="D724" s="1" t="s">
        <v>323</v>
      </c>
      <c r="E724" s="1" t="s">
        <v>323</v>
      </c>
      <c r="F724" s="1" t="s">
        <v>323</v>
      </c>
      <c r="H724" s="7" t="s">
        <v>757</v>
      </c>
    </row>
    <row r="725" spans="1:8" x14ac:dyDescent="0.3">
      <c r="A725" s="1" t="s">
        <v>880</v>
      </c>
      <c r="B725" s="1" t="s">
        <v>323</v>
      </c>
      <c r="C725" s="1" t="s">
        <v>323</v>
      </c>
      <c r="D725" s="1" t="s">
        <v>323</v>
      </c>
      <c r="E725" s="1" t="s">
        <v>323</v>
      </c>
      <c r="F725" s="1" t="s">
        <v>323</v>
      </c>
      <c r="H725" s="7" t="s">
        <v>757</v>
      </c>
    </row>
    <row r="726" spans="1:8" x14ac:dyDescent="0.3">
      <c r="A726" s="1" t="s">
        <v>881</v>
      </c>
      <c r="B726" s="1" t="s">
        <v>323</v>
      </c>
      <c r="C726" s="1" t="s">
        <v>323</v>
      </c>
      <c r="D726" s="1" t="s">
        <v>323</v>
      </c>
      <c r="E726" s="1" t="s">
        <v>323</v>
      </c>
      <c r="F726" s="1" t="s">
        <v>323</v>
      </c>
      <c r="H726" s="7" t="s">
        <v>757</v>
      </c>
    </row>
    <row r="727" spans="1:8" x14ac:dyDescent="0.3">
      <c r="A727" s="1" t="s">
        <v>882</v>
      </c>
      <c r="B727" s="1" t="s">
        <v>323</v>
      </c>
      <c r="C727" s="1" t="s">
        <v>323</v>
      </c>
      <c r="D727" s="1" t="s">
        <v>323</v>
      </c>
      <c r="E727" s="1" t="s">
        <v>323</v>
      </c>
      <c r="F727" s="1" t="s">
        <v>323</v>
      </c>
      <c r="H727" s="7" t="s">
        <v>757</v>
      </c>
    </row>
    <row r="728" spans="1:8" x14ac:dyDescent="0.3">
      <c r="A728" s="1" t="s">
        <v>883</v>
      </c>
      <c r="B728" s="1" t="s">
        <v>323</v>
      </c>
      <c r="C728" s="1" t="s">
        <v>323</v>
      </c>
      <c r="D728" s="1" t="s">
        <v>323</v>
      </c>
      <c r="E728" s="1" t="s">
        <v>323</v>
      </c>
      <c r="F728" s="1" t="s">
        <v>323</v>
      </c>
      <c r="H728" s="7" t="s">
        <v>757</v>
      </c>
    </row>
    <row r="729" spans="1:8" x14ac:dyDescent="0.3">
      <c r="A729" s="9" t="s">
        <v>884</v>
      </c>
      <c r="B729" s="9" t="s">
        <v>323</v>
      </c>
      <c r="C729" s="9" t="s">
        <v>323</v>
      </c>
      <c r="D729" s="9" t="s">
        <v>323</v>
      </c>
      <c r="E729" s="9" t="s">
        <v>323</v>
      </c>
      <c r="F729" s="9" t="s">
        <v>323</v>
      </c>
      <c r="G729" s="9"/>
      <c r="H729" s="10" t="s">
        <v>757</v>
      </c>
    </row>
  </sheetData>
  <sheetProtection algorithmName="SHA-512" hashValue="pKRJNYebkN5gtemObrEH7EaksO/wL7KRP3/5MAprvcOLTN7kpEp/pSdVE3EjTtPLSTS4EkK4A2Lsgi1uBPIZHQ==" saltValue="5GmLyQSkEaznE9TgZN1PXQ==" spinCount="100000" sheet="1" objects="1" scenarios="1"/>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10</vt:i4>
      </vt:variant>
    </vt:vector>
  </HeadingPairs>
  <TitlesOfParts>
    <vt:vector size="12" baseType="lpstr">
      <vt:lpstr>TRA calculation</vt:lpstr>
      <vt:lpstr>TRAlookup</vt:lpstr>
      <vt:lpstr>ind</vt:lpstr>
      <vt:lpstr>ind_pro</vt:lpstr>
      <vt:lpstr>indpro</vt:lpstr>
      <vt:lpstr>liquid</vt:lpstr>
      <vt:lpstr>phys.state</vt:lpstr>
      <vt:lpstr>'TRA calculation'!Print_Area</vt:lpstr>
      <vt:lpstr>'TRA calculation'!Print_Titles</vt:lpstr>
      <vt:lpstr>pro</vt:lpstr>
      <vt:lpstr>prof</vt:lpstr>
      <vt:lpstr>solid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2023-09-21T12:48:30Z</dcterms:created>
  <dcterms:modified xsi:type="dcterms:W3CDTF">2024-06-06T22:27:44Z</dcterms:modified>
  <cp:category/>
  <cp:contentStatus/>
</cp:coreProperties>
</file>